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13_ncr:1_{D314628E-192D-4C71-B15F-D79B389831FD}" xr6:coauthVersionLast="47" xr6:coauthVersionMax="47" xr10:uidLastSave="{00000000-0000-0000-0000-000000000000}"/>
  <bookViews>
    <workbookView xWindow="-108" yWindow="-108" windowWidth="23256" windowHeight="12456" xr2:uid="{6C81CDB1-FD07-45A9-AABE-54BB3D092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9" i="1" l="1"/>
  <c r="M129" i="1"/>
  <c r="L129" i="1"/>
  <c r="K129" i="1"/>
  <c r="N128" i="1"/>
  <c r="M128" i="1"/>
  <c r="L128" i="1"/>
  <c r="K128" i="1"/>
  <c r="N127" i="1"/>
  <c r="M127" i="1"/>
  <c r="L127" i="1"/>
  <c r="K127" i="1"/>
  <c r="K115" i="1"/>
  <c r="J115" i="1"/>
  <c r="I115" i="1"/>
  <c r="H115" i="1"/>
  <c r="K114" i="1"/>
  <c r="J114" i="1"/>
  <c r="I114" i="1"/>
  <c r="H114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92" i="1"/>
  <c r="J92" i="1"/>
  <c r="I92" i="1"/>
  <c r="K91" i="1"/>
  <c r="J91" i="1"/>
  <c r="I91" i="1"/>
  <c r="K90" i="1"/>
  <c r="J90" i="1"/>
  <c r="I90" i="1"/>
  <c r="J78" i="1"/>
  <c r="J77" i="1"/>
  <c r="J76" i="1"/>
  <c r="J75" i="1"/>
  <c r="J74" i="1"/>
  <c r="J63" i="1"/>
  <c r="J62" i="1"/>
  <c r="J61" i="1"/>
</calcChain>
</file>

<file path=xl/sharedStrings.xml><?xml version="1.0" encoding="utf-8"?>
<sst xmlns="http://schemas.openxmlformats.org/spreadsheetml/2006/main" count="152" uniqueCount="130">
  <si>
    <t>DATA VALIDATION</t>
  </si>
  <si>
    <r>
      <rPr>
        <b/>
        <u/>
        <sz val="11"/>
        <color rgb="FFFF0000"/>
        <rFont val="Calibri"/>
        <family val="2"/>
        <scheme val="minor"/>
      </rPr>
      <t>* Accepts only specified Value</t>
    </r>
    <r>
      <rPr>
        <sz val="11"/>
        <color theme="1"/>
        <rFont val="Calibri"/>
        <family val="2"/>
        <scheme val="minor"/>
      </rPr>
      <t xml:space="preserve"> (whole number)</t>
    </r>
  </si>
  <si>
    <t>* create a table which accepts only whole number from 1 to 100, or it will show an error.</t>
  </si>
  <si>
    <t>* select whole table &gt; Data &gt; Data Validation &gt;(settings) Allow:Whole number , Data:Between , Minimum:1 , Maximum&gt;100</t>
  </si>
  <si>
    <t>Whole Number</t>
  </si>
  <si>
    <t>&lt;- this table accepts only whole number from 1 to 100</t>
  </si>
  <si>
    <t>* Show Message</t>
  </si>
  <si>
    <r>
      <t>* create a table which</t>
    </r>
    <r>
      <rPr>
        <b/>
        <u/>
        <sz val="11"/>
        <color theme="9" tint="-0.499984740745262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will show a message for taking minimum 3 digits</t>
    </r>
  </si>
  <si>
    <t>* select whole table &gt; Data &gt; Data Validation &gt; (Input Message) Title: Message, Input Msg: Minimum 3 digits</t>
  </si>
  <si>
    <t>Name (min 3 char)</t>
  </si>
  <si>
    <t>Arna</t>
  </si>
  <si>
    <t>su</t>
  </si>
  <si>
    <t>&lt;- this table will show a message when clicked on any cell.</t>
  </si>
  <si>
    <t>mu</t>
  </si>
  <si>
    <t>* Error Alert</t>
  </si>
  <si>
    <r>
      <t>* create a table which</t>
    </r>
    <r>
      <rPr>
        <b/>
        <u/>
        <sz val="11"/>
        <color theme="9" tint="-0.499984740745262"/>
        <rFont val="Calibri"/>
        <family val="2"/>
        <scheme val="minor"/>
      </rPr>
      <t xml:space="preserve"> takes minimum 3 characters</t>
    </r>
    <r>
      <rPr>
        <b/>
        <u/>
        <sz val="11"/>
        <color theme="1"/>
        <rFont val="Calibri"/>
        <family val="2"/>
        <scheme val="minor"/>
      </rPr>
      <t xml:space="preserve"> or it will show an error alert.</t>
    </r>
  </si>
  <si>
    <t>* select whole table &gt; Data &gt; Data Validation &gt; (settings) Allow: text length, Data: Greater than or equal to , Minimum:3</t>
  </si>
  <si>
    <t>(Error Alert) Title: Message, Input Msg: Minimum 3 digits</t>
  </si>
  <si>
    <t>Arn</t>
  </si>
  <si>
    <t>&lt;- this table will show alert when input char is &lt;3.</t>
  </si>
  <si>
    <t>* Circle Invalid Data.</t>
  </si>
  <si>
    <r>
      <t>* create a table</t>
    </r>
    <r>
      <rPr>
        <b/>
        <u/>
        <sz val="11"/>
        <color theme="9" tint="-0.499984740745262"/>
        <rFont val="Calibri"/>
        <family val="2"/>
        <scheme val="minor"/>
      </rPr>
      <t xml:space="preserve"> takes minimum 3 characters</t>
    </r>
    <r>
      <rPr>
        <b/>
        <u/>
        <sz val="11"/>
        <color theme="1"/>
        <rFont val="Calibri"/>
        <family val="2"/>
        <scheme val="minor"/>
      </rPr>
      <t xml:space="preserve"> and whole number between 1 to 100 or it circles invalid data.</t>
    </r>
  </si>
  <si>
    <r>
      <t>*</t>
    </r>
    <r>
      <rPr>
        <i/>
        <sz val="11"/>
        <color theme="1"/>
        <rFont val="Calibri"/>
        <family val="2"/>
        <scheme val="minor"/>
      </rPr>
      <t xml:space="preserve"> create validation by above methods</t>
    </r>
    <r>
      <rPr>
        <i/>
        <sz val="11"/>
        <color theme="5" tint="-0.499984740745262"/>
        <rFont val="Calibri"/>
        <family val="2"/>
        <scheme val="minor"/>
      </rPr>
      <t xml:space="preserve"> &gt; Data &gt; Data Validation &gt; Circle Invalid Data.    </t>
    </r>
    <r>
      <rPr>
        <sz val="11"/>
        <color theme="5" tint="-0.499984740745262"/>
        <rFont val="Calibri"/>
        <family val="2"/>
        <scheme val="minor"/>
      </rPr>
      <t xml:space="preserve"> | </t>
    </r>
    <r>
      <rPr>
        <i/>
        <sz val="11"/>
        <color theme="5" tint="-0.499984740745262"/>
        <rFont val="Calibri"/>
        <family val="2"/>
        <scheme val="minor"/>
      </rPr>
      <t>To remove: Data&gt; Validation&gt;remove circle.</t>
    </r>
  </si>
  <si>
    <t>Arnab</t>
  </si>
  <si>
    <r>
      <t>*</t>
    </r>
    <r>
      <rPr>
        <b/>
        <u/>
        <sz val="11"/>
        <color rgb="FFFF0000"/>
        <rFont val="Calibri"/>
        <family val="2"/>
        <scheme val="minor"/>
      </rPr>
      <t xml:space="preserve"> Dependent Dropdown List</t>
    </r>
  </si>
  <si>
    <t>Create a Dependent dropdown list for category(fruits/flowers) and sub category using data validation.</t>
  </si>
  <si>
    <r>
      <t xml:space="preserve">1. Making Dropdown list for </t>
    </r>
    <r>
      <rPr>
        <b/>
        <i/>
        <sz val="11"/>
        <color theme="5" tint="-0.499984740745262"/>
        <rFont val="Calibri"/>
        <family val="2"/>
        <scheme val="minor"/>
      </rPr>
      <t>Category</t>
    </r>
    <r>
      <rPr>
        <i/>
        <sz val="11"/>
        <color theme="5" tint="-0.499984740745262"/>
        <rFont val="Calibri"/>
        <family val="2"/>
        <scheme val="minor"/>
      </rPr>
      <t>: choose cell &gt; Data &gt; Data Validation &gt; allow: List, Source: select header name rows (fruits, flowers)</t>
    </r>
  </si>
  <si>
    <t>2. Naming Column Dataset header wise: Select 1st col, 2nd col &gt; Formulas &gt; Create form Selection &gt; check:Top row</t>
  </si>
  <si>
    <r>
      <t xml:space="preserve">3. Making </t>
    </r>
    <r>
      <rPr>
        <b/>
        <i/>
        <sz val="11"/>
        <color theme="5" tint="-0.499984740745262"/>
        <rFont val="Calibri"/>
        <family val="2"/>
        <scheme val="minor"/>
      </rPr>
      <t>Sub-category</t>
    </r>
    <r>
      <rPr>
        <i/>
        <sz val="11"/>
        <color theme="5" tint="-0.499984740745262"/>
        <rFont val="Calibri"/>
        <family val="2"/>
        <scheme val="minor"/>
      </rPr>
      <t xml:space="preserve">: Data &gt; Data Validation &gt; allow: list, Source: </t>
    </r>
    <r>
      <rPr>
        <b/>
        <i/>
        <sz val="11"/>
        <color theme="5" tint="-0.499984740745262"/>
        <rFont val="Calibri"/>
        <family val="2"/>
        <scheme val="minor"/>
      </rPr>
      <t>=INDIRECT(category_cell)</t>
    </r>
  </si>
  <si>
    <t>Fruits</t>
  </si>
  <si>
    <t>Flowers</t>
  </si>
  <si>
    <t>Mango</t>
  </si>
  <si>
    <t>Lotus</t>
  </si>
  <si>
    <t>Category</t>
  </si>
  <si>
    <t>Sub-Category</t>
  </si>
  <si>
    <t>Apple</t>
  </si>
  <si>
    <t>Rose</t>
  </si>
  <si>
    <t>Orange</t>
  </si>
  <si>
    <t>Grapes</t>
  </si>
  <si>
    <t>Marigold</t>
  </si>
  <si>
    <t>Hibiscus</t>
  </si>
  <si>
    <t xml:space="preserve"> </t>
  </si>
  <si>
    <t>Banana</t>
  </si>
  <si>
    <r>
      <t>*</t>
    </r>
    <r>
      <rPr>
        <b/>
        <u/>
        <sz val="11"/>
        <color rgb="FFFF0000"/>
        <rFont val="Calibri"/>
        <family val="2"/>
        <scheme val="minor"/>
      </rPr>
      <t xml:space="preserve"> Custom Data Validation</t>
    </r>
  </si>
  <si>
    <t>Create a Table which accepts value in capital letter.</t>
  </si>
  <si>
    <t>* select whole table &gt; data &gt; validation &gt;(settings) allow:custom, formula: =EXACT(UPPER(cell),cell)</t>
  </si>
  <si>
    <t>Formula Used</t>
  </si>
  <si>
    <t>(Error Alert) Title: Invalid, Input Msg: Enter Uppercase</t>
  </si>
  <si>
    <t>If the data is exactly same, it returns true</t>
  </si>
  <si>
    <t>Name</t>
  </si>
  <si>
    <t>Syntax: =EXACT(value, check_value)</t>
  </si>
  <si>
    <t>AR</t>
  </si>
  <si>
    <t>Status</t>
  </si>
  <si>
    <t>working-&gt;</t>
  </si>
  <si>
    <t>ARNAB</t>
  </si>
  <si>
    <t>arnab</t>
  </si>
  <si>
    <r>
      <rPr>
        <sz val="11"/>
        <color rgb="FFFF0000"/>
        <rFont val="Calibri"/>
        <family val="2"/>
        <scheme val="minor"/>
      </rPr>
      <t>*</t>
    </r>
    <r>
      <rPr>
        <b/>
        <u/>
        <sz val="11"/>
        <color rgb="FFFF0000"/>
        <rFont val="Calibri"/>
        <family val="2"/>
        <scheme val="minor"/>
      </rPr>
      <t xml:space="preserve"> Accepts Unique Value only </t>
    </r>
    <r>
      <rPr>
        <b/>
        <u/>
        <sz val="11"/>
        <color theme="1"/>
        <rFont val="Calibri"/>
        <family val="2"/>
        <scheme val="minor"/>
      </rPr>
      <t>(Roll/ID)</t>
    </r>
  </si>
  <si>
    <t>Create a table where duplicate values are not allowed.</t>
  </si>
  <si>
    <t>* select whole table &gt; data &gt; validation &gt;(settings) allow:custom, formula: =COUNTIF(range,cell_ref)=1</t>
  </si>
  <si>
    <t>Roll Number</t>
  </si>
  <si>
    <t>(Error Alert) Title: Invalid, Input Msg: Value already exists</t>
  </si>
  <si>
    <t xml:space="preserve">* If the table contains existing data, it will </t>
  </si>
  <si>
    <t>return false</t>
  </si>
  <si>
    <t>* Syntax: =COUNTIF(range, cell_ref)=1</t>
  </si>
  <si>
    <t>Roll</t>
  </si>
  <si>
    <t>&lt;- this table will show error if we input existing data.</t>
  </si>
  <si>
    <t>* Phone Number</t>
  </si>
  <si>
    <t>Create a table which takes valid phone number, else shows error.</t>
  </si>
  <si>
    <t>Phone Number</t>
  </si>
  <si>
    <t>1. Check cell contains number</t>
  </si>
  <si>
    <t>Syntax: =ISNUMBER(cell)</t>
  </si>
  <si>
    <t>2. Check cell contains length 10</t>
  </si>
  <si>
    <t>Syntax: =len(cell)=10</t>
  </si>
  <si>
    <t>3. combine formulas with AND</t>
  </si>
  <si>
    <t>Syntax: =(ISNUMBER(cell),len(cell)=10)</t>
  </si>
  <si>
    <t>&lt;- this table will show error if invalid phone number is inserted.</t>
  </si>
  <si>
    <t>Phone</t>
  </si>
  <si>
    <t>Check num</t>
  </si>
  <si>
    <t>Check len</t>
  </si>
  <si>
    <t>Combine</t>
  </si>
  <si>
    <t>9875dw</t>
  </si>
  <si>
    <t>* Alphanumeric Number</t>
  </si>
  <si>
    <t>Q1. Create a table which takes 5 character Alphaneumeric number where initial shoud be Alphabet and last 4 digit should be in numeric value.</t>
  </si>
  <si>
    <t>* select whole table &gt; data &gt; validation &gt;(settings) allow:custom, formula: =AND(LEN(cell)=5, ISNUMBER(VALUE(RIGHT(cell,4))), NOT(ISNUMBER(LEFT(cell,1))))</t>
  </si>
  <si>
    <t>AlphaNeumeric</t>
  </si>
  <si>
    <t>A2104</t>
  </si>
  <si>
    <t>1. Check cell contains length 5</t>
  </si>
  <si>
    <t>Syntax: =len(cell)=5</t>
  </si>
  <si>
    <t>&lt;- this table will only allow alphaneumeric value.</t>
  </si>
  <si>
    <t>2. Check last 4 characters are numbers or not</t>
  </si>
  <si>
    <t>Syntax: =ISNUMBER(VALUE(RIGHT(cell,4)))</t>
  </si>
  <si>
    <t>3. Check last 4 characters are numbers or not</t>
  </si>
  <si>
    <t>Syntax: =NOT(ISNUMBER(LEFT(cell,1)))</t>
  </si>
  <si>
    <t>4. combine formulas with AND</t>
  </si>
  <si>
    <t>Syntax: =AND(LEN(cell)=5, ISNUMBER(VALUE(RIGHT(cell,4))), NOT(ISNUMBER(LEFT(cell,1))))</t>
  </si>
  <si>
    <t>Length 5</t>
  </si>
  <si>
    <t>check last 4</t>
  </si>
  <si>
    <t>Check start</t>
  </si>
  <si>
    <t>A8764</t>
  </si>
  <si>
    <t>F725</t>
  </si>
  <si>
    <t>7634G</t>
  </si>
  <si>
    <t>Q2. Create a Table which takes 6 aphaneumeric registration number starting with "AN" and followed by 4 digits.</t>
  </si>
  <si>
    <t>* select whole table &gt; data &gt; validation &gt;(settings) allow:custom, formula: =AND(LEN(G114)=6, ISNUMBER(VALUE(RIGHT(G114,4))), LEFT(G114,2)="AN")</t>
  </si>
  <si>
    <t>Registration Number</t>
  </si>
  <si>
    <t>AN7654</t>
  </si>
  <si>
    <t>Reg No.</t>
  </si>
  <si>
    <t>Length 6</t>
  </si>
  <si>
    <t>check initial "AN"</t>
  </si>
  <si>
    <t>AN8764</t>
  </si>
  <si>
    <t>FC7250</t>
  </si>
  <si>
    <t>* Email Id</t>
  </si>
  <si>
    <t>Create a table which only takes valid email Id.</t>
  </si>
  <si>
    <t>* select whole table &gt; data &gt; validation &gt;(settings) allow:custom, formula:=AND(ISNUMBER(SEARCH("@",G127)), ISNUMBER(SEARCH(".",G127)), ISERROR(SEARCH(" ",G127)))</t>
  </si>
  <si>
    <t>Email Id</t>
  </si>
  <si>
    <t>(Error Alert) Title: Invalid, Input Msg: Enter email Id in correct format</t>
  </si>
  <si>
    <t>arnab@gmail.com</t>
  </si>
  <si>
    <r>
      <t>1. Check cell contains "</t>
    </r>
    <r>
      <rPr>
        <b/>
        <i/>
        <sz val="11"/>
        <color theme="5" tint="-0.499984740745262"/>
        <rFont val="Calibri"/>
        <family val="2"/>
        <scheme val="minor"/>
      </rPr>
      <t>@</t>
    </r>
    <r>
      <rPr>
        <i/>
        <sz val="11"/>
        <color theme="5" tint="-0.499984740745262"/>
        <rFont val="Calibri"/>
        <family val="2"/>
        <scheme val="minor"/>
      </rPr>
      <t>"</t>
    </r>
  </si>
  <si>
    <t>Syntax: =ISNUMBER(SEARCH("@",cell))</t>
  </si>
  <si>
    <t>2. Check cell contains space" "</t>
  </si>
  <si>
    <t>Syntax: =ISERROR(SEARCH(" ",cell))</t>
  </si>
  <si>
    <t>3. Check cell contains "."</t>
  </si>
  <si>
    <t>Syntax: =ISNUMBER(SEARCH(".",cell))</t>
  </si>
  <si>
    <t>&lt;- this table will only accept valid email</t>
  </si>
  <si>
    <t>Email</t>
  </si>
  <si>
    <t>Check @</t>
  </si>
  <si>
    <t>Check .</t>
  </si>
  <si>
    <t>Check Space</t>
  </si>
  <si>
    <t>abc@gmail.com</t>
  </si>
  <si>
    <t>abc @com</t>
  </si>
  <si>
    <t>a@com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</si>
</sst>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3" borderId="2" xfId="0" applyFill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7" xfId="0" applyFont="1" applyBorder="1"/>
    <xf numFmtId="0" fontId="2" fillId="0" borderId="8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0" xfId="0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5" fillId="3" borderId="2" xfId="0" applyFont="1" applyFill="1" applyBorder="1"/>
    <xf numFmtId="0" fontId="7" fillId="0" borderId="0" xfId="0" applyFont="1"/>
    <xf numFmtId="0" fontId="6" fillId="3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/>
    <xf numFmtId="0" fontId="2" fillId="4" borderId="14" xfId="0" applyFont="1" applyFill="1" applyBorder="1"/>
    <xf numFmtId="0" fontId="0" fillId="5" borderId="14" xfId="0" applyFill="1" applyBorder="1"/>
    <xf numFmtId="0" fontId="0" fillId="6" borderId="14" xfId="0" applyFill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3" borderId="4" xfId="0" applyFont="1" applyFill="1" applyBorder="1"/>
    <xf numFmtId="0" fontId="10" fillId="0" borderId="0" xfId="0" applyFont="1"/>
    <xf numFmtId="0" fontId="10" fillId="0" borderId="7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5" fillId="3" borderId="0" xfId="0" applyFont="1" applyFill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3" fillId="0" borderId="9" xfId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0" fillId="0" borderId="7" xfId="0" applyBorder="1"/>
    <xf numFmtId="0" fontId="3" fillId="0" borderId="17" xfId="1" applyBorder="1"/>
    <xf numFmtId="0" fontId="3" fillId="0" borderId="19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nab@gmail.com" TargetMode="External"/><Relationship Id="rId2" Type="http://schemas.openxmlformats.org/officeDocument/2006/relationships/hyperlink" Target="mailto:a@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F001-C741-483D-A2D0-FD46D327B32C}">
  <dimension ref="A1:N129"/>
  <sheetViews>
    <sheetView tabSelected="1" topLeftCell="A79" workbookViewId="0">
      <selection activeCell="M15" sqref="M15"/>
    </sheetView>
  </sheetViews>
  <sheetFormatPr defaultRowHeight="14.4" x14ac:dyDescent="0.3"/>
  <cols>
    <col min="1" max="1" width="18.5546875" bestFit="1" customWidth="1"/>
    <col min="2" max="2" width="16.6640625" bestFit="1" customWidth="1"/>
    <col min="6" max="6" width="11.88671875" bestFit="1" customWidth="1"/>
    <col min="8" max="8" width="11" bestFit="1" customWidth="1"/>
    <col min="9" max="9" width="10.44140625" bestFit="1" customWidth="1"/>
    <col min="10" max="10" width="15.77734375" bestFit="1" customWidth="1"/>
  </cols>
  <sheetData>
    <row r="1" spans="1:11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thickBo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spans="1:11" ht="15" thickBot="1" x14ac:dyDescent="0.35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" thickBot="1" x14ac:dyDescent="0.35">
      <c r="A5" s="9" t="s">
        <v>4</v>
      </c>
      <c r="K5" s="10"/>
    </row>
    <row r="6" spans="1:11" x14ac:dyDescent="0.3">
      <c r="A6" s="11">
        <v>12</v>
      </c>
      <c r="K6" s="10"/>
    </row>
    <row r="7" spans="1:11" x14ac:dyDescent="0.3">
      <c r="A7" s="12"/>
      <c r="B7" s="13" t="s">
        <v>5</v>
      </c>
      <c r="C7" s="14"/>
      <c r="D7" s="14"/>
      <c r="E7" s="14"/>
      <c r="F7" s="14"/>
      <c r="K7" s="10"/>
    </row>
    <row r="8" spans="1:11" x14ac:dyDescent="0.3">
      <c r="A8" s="12"/>
      <c r="K8" s="10"/>
    </row>
    <row r="9" spans="1:11" x14ac:dyDescent="0.3">
      <c r="A9" s="12"/>
      <c r="K9" s="10"/>
    </row>
    <row r="10" spans="1:11" x14ac:dyDescent="0.3">
      <c r="A10" s="12"/>
      <c r="K10" s="10"/>
    </row>
    <row r="11" spans="1:11" x14ac:dyDescent="0.3">
      <c r="A11" s="12"/>
      <c r="K11" s="10"/>
    </row>
    <row r="12" spans="1:11" x14ac:dyDescent="0.3">
      <c r="A12" s="12"/>
      <c r="K12" s="10"/>
    </row>
    <row r="13" spans="1:11" ht="15" thickBot="1" x14ac:dyDescent="0.3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7"/>
    </row>
    <row r="14" spans="1:11" ht="15" thickBot="1" x14ac:dyDescent="0.35">
      <c r="A14" s="18" t="s">
        <v>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1" x14ac:dyDescent="0.3">
      <c r="A15" s="3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5"/>
    </row>
    <row r="16" spans="1:11" ht="15" thickBot="1" x14ac:dyDescent="0.35">
      <c r="A16" s="6" t="s">
        <v>8</v>
      </c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ht="15" thickBot="1" x14ac:dyDescent="0.35">
      <c r="A17" s="9" t="s">
        <v>9</v>
      </c>
      <c r="K17" s="10"/>
    </row>
    <row r="18" spans="1:11" x14ac:dyDescent="0.3">
      <c r="A18" s="11" t="s">
        <v>10</v>
      </c>
      <c r="K18" s="10"/>
    </row>
    <row r="19" spans="1:11" x14ac:dyDescent="0.3">
      <c r="A19" s="12" t="s">
        <v>11</v>
      </c>
      <c r="B19" s="13" t="s">
        <v>12</v>
      </c>
      <c r="C19" s="14"/>
      <c r="D19" s="14"/>
      <c r="E19" s="14"/>
      <c r="F19" s="14"/>
      <c r="G19" s="14"/>
      <c r="K19" s="10"/>
    </row>
    <row r="20" spans="1:11" x14ac:dyDescent="0.3">
      <c r="A20" s="12" t="s">
        <v>13</v>
      </c>
      <c r="K20" s="10"/>
    </row>
    <row r="21" spans="1:11" x14ac:dyDescent="0.3">
      <c r="A21" s="12"/>
      <c r="K21" s="10"/>
    </row>
    <row r="22" spans="1:11" x14ac:dyDescent="0.3">
      <c r="A22" s="12"/>
      <c r="K22" s="10"/>
    </row>
    <row r="23" spans="1:11" ht="15" thickBot="1" x14ac:dyDescent="0.3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7"/>
    </row>
    <row r="24" spans="1:11" ht="15" thickBot="1" x14ac:dyDescent="0.35">
      <c r="A24" s="18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3" t="s">
        <v>15</v>
      </c>
      <c r="B25" s="4"/>
      <c r="C25" s="4"/>
      <c r="D25" s="4"/>
      <c r="E25" s="4"/>
      <c r="F25" s="4"/>
      <c r="G25" s="4"/>
      <c r="H25" s="4"/>
      <c r="I25" s="4"/>
      <c r="J25" s="4"/>
      <c r="K25" s="5"/>
    </row>
    <row r="26" spans="1:11" ht="15" thickBot="1" x14ac:dyDescent="0.35">
      <c r="A26" s="6" t="s">
        <v>16</v>
      </c>
      <c r="B26" s="7"/>
      <c r="C26" s="7"/>
      <c r="D26" s="7"/>
      <c r="E26" s="7"/>
      <c r="F26" s="7"/>
      <c r="G26" s="7"/>
      <c r="H26" s="7"/>
      <c r="I26" s="7"/>
      <c r="J26" s="7"/>
      <c r="K26" s="8"/>
    </row>
    <row r="27" spans="1:11" ht="15" thickBot="1" x14ac:dyDescent="0.35">
      <c r="A27" s="9" t="s">
        <v>9</v>
      </c>
      <c r="C27" s="19"/>
      <c r="D27" s="7" t="s">
        <v>17</v>
      </c>
      <c r="E27" s="7"/>
      <c r="F27" s="7"/>
      <c r="G27" s="7"/>
      <c r="H27" s="7"/>
      <c r="I27" s="7"/>
      <c r="J27" s="7"/>
      <c r="K27" s="8"/>
    </row>
    <row r="28" spans="1:11" x14ac:dyDescent="0.3">
      <c r="A28" s="11" t="s">
        <v>18</v>
      </c>
      <c r="K28" s="10"/>
    </row>
    <row r="29" spans="1:11" x14ac:dyDescent="0.3">
      <c r="A29" s="12"/>
      <c r="B29" s="13" t="s">
        <v>19</v>
      </c>
      <c r="C29" s="14"/>
      <c r="D29" s="14"/>
      <c r="E29" s="14"/>
      <c r="F29" s="14"/>
      <c r="K29" s="10"/>
    </row>
    <row r="30" spans="1:11" x14ac:dyDescent="0.3">
      <c r="A30" s="12"/>
      <c r="K30" s="10"/>
    </row>
    <row r="31" spans="1:11" x14ac:dyDescent="0.3">
      <c r="A31" s="12"/>
      <c r="K31" s="10"/>
    </row>
    <row r="32" spans="1:11" x14ac:dyDescent="0.3">
      <c r="A32" s="12"/>
      <c r="K32" s="10"/>
    </row>
    <row r="33" spans="1:11" ht="15" thickBot="1" x14ac:dyDescent="0.3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7"/>
    </row>
    <row r="34" spans="1:11" ht="15" thickBot="1" x14ac:dyDescent="0.35">
      <c r="A34" s="18" t="s">
        <v>20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x14ac:dyDescent="0.3">
      <c r="A35" s="3" t="s">
        <v>21</v>
      </c>
      <c r="B35" s="4"/>
      <c r="C35" s="4"/>
      <c r="D35" s="4"/>
      <c r="E35" s="4"/>
      <c r="F35" s="4"/>
      <c r="G35" s="4"/>
      <c r="H35" s="4"/>
      <c r="I35" s="4"/>
      <c r="J35" s="4"/>
      <c r="K35" s="5"/>
    </row>
    <row r="36" spans="1:11" ht="15" thickBot="1" x14ac:dyDescent="0.35">
      <c r="A36" s="6" t="s">
        <v>22</v>
      </c>
      <c r="B36" s="7"/>
      <c r="C36" s="7"/>
      <c r="D36" s="7"/>
      <c r="E36" s="7"/>
      <c r="F36" s="7"/>
      <c r="G36" s="7"/>
      <c r="H36" s="7"/>
      <c r="I36" s="7"/>
      <c r="J36" s="7"/>
      <c r="K36" s="8"/>
    </row>
    <row r="37" spans="1:11" ht="15" thickBot="1" x14ac:dyDescent="0.35">
      <c r="A37" s="9" t="s">
        <v>4</v>
      </c>
      <c r="B37" s="9" t="s">
        <v>9</v>
      </c>
      <c r="K37" s="10"/>
    </row>
    <row r="38" spans="1:11" x14ac:dyDescent="0.3">
      <c r="A38" s="11">
        <v>12</v>
      </c>
      <c r="B38" s="11" t="s">
        <v>23</v>
      </c>
      <c r="K38" s="10"/>
    </row>
    <row r="39" spans="1:11" x14ac:dyDescent="0.3">
      <c r="A39" s="12">
        <v>4</v>
      </c>
      <c r="B39" s="12" t="s">
        <v>11</v>
      </c>
      <c r="K39" s="10"/>
    </row>
    <row r="40" spans="1:11" x14ac:dyDescent="0.3">
      <c r="A40" s="12">
        <v>21</v>
      </c>
      <c r="B40" s="12"/>
      <c r="K40" s="10"/>
    </row>
    <row r="41" spans="1:11" x14ac:dyDescent="0.3">
      <c r="A41" s="12">
        <v>112</v>
      </c>
      <c r="B41" s="12"/>
      <c r="K41" s="10"/>
    </row>
    <row r="42" spans="1:11" x14ac:dyDescent="0.3">
      <c r="A42" s="12">
        <v>7</v>
      </c>
      <c r="B42" s="12"/>
      <c r="K42" s="10"/>
    </row>
    <row r="43" spans="1:11" ht="15" thickBot="1" x14ac:dyDescent="0.35">
      <c r="A43" s="15">
        <v>14</v>
      </c>
      <c r="B43" s="15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5" thickBot="1" x14ac:dyDescent="0.35">
      <c r="A44" s="20" t="s">
        <v>24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1" t="s">
        <v>25</v>
      </c>
      <c r="B45" s="22"/>
      <c r="C45" s="22"/>
      <c r="D45" s="22"/>
      <c r="E45" s="22"/>
      <c r="F45" s="22"/>
      <c r="G45" s="22"/>
      <c r="H45" s="22"/>
      <c r="I45" s="22"/>
      <c r="J45" s="22"/>
      <c r="K45" s="23"/>
    </row>
    <row r="46" spans="1:11" x14ac:dyDescent="0.3">
      <c r="A46" s="6" t="s">
        <v>26</v>
      </c>
      <c r="B46" s="7"/>
      <c r="C46" s="7"/>
      <c r="D46" s="7"/>
      <c r="E46" s="7"/>
      <c r="F46" s="7"/>
      <c r="G46" s="7"/>
      <c r="H46" s="7"/>
      <c r="I46" s="7"/>
      <c r="J46" s="7"/>
      <c r="K46" s="8"/>
    </row>
    <row r="47" spans="1:11" x14ac:dyDescent="0.3">
      <c r="A47" s="6" t="s">
        <v>27</v>
      </c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thickBot="1" x14ac:dyDescent="0.35">
      <c r="A48" s="6" t="s">
        <v>28</v>
      </c>
      <c r="B48" s="7"/>
      <c r="C48" s="7"/>
      <c r="D48" s="7"/>
      <c r="E48" s="7"/>
      <c r="F48" s="7"/>
      <c r="G48" s="7"/>
      <c r="H48" s="7"/>
      <c r="I48" s="7"/>
      <c r="J48" s="7"/>
      <c r="K48" s="8"/>
    </row>
    <row r="49" spans="1:12" x14ac:dyDescent="0.3">
      <c r="A49" s="24" t="s">
        <v>29</v>
      </c>
      <c r="B49" s="24" t="s">
        <v>30</v>
      </c>
      <c r="K49" s="10"/>
    </row>
    <row r="50" spans="1:12" x14ac:dyDescent="0.3">
      <c r="A50" s="12" t="s">
        <v>31</v>
      </c>
      <c r="B50" s="12" t="s">
        <v>32</v>
      </c>
      <c r="E50" s="25" t="s">
        <v>33</v>
      </c>
      <c r="F50" s="25" t="s">
        <v>34</v>
      </c>
      <c r="K50" s="10"/>
    </row>
    <row r="51" spans="1:12" x14ac:dyDescent="0.3">
      <c r="A51" s="12" t="s">
        <v>35</v>
      </c>
      <c r="B51" s="12" t="s">
        <v>36</v>
      </c>
      <c r="E51" s="26" t="s">
        <v>29</v>
      </c>
      <c r="F51" s="27" t="s">
        <v>37</v>
      </c>
      <c r="K51" s="10"/>
    </row>
    <row r="52" spans="1:12" x14ac:dyDescent="0.3">
      <c r="A52" s="12" t="s">
        <v>38</v>
      </c>
      <c r="B52" s="12" t="s">
        <v>39</v>
      </c>
      <c r="K52" s="10"/>
      <c r="L52" s="28"/>
    </row>
    <row r="53" spans="1:12" x14ac:dyDescent="0.3">
      <c r="A53" s="12" t="s">
        <v>37</v>
      </c>
      <c r="B53" s="12" t="s">
        <v>40</v>
      </c>
      <c r="D53" t="s">
        <v>41</v>
      </c>
      <c r="K53" s="29"/>
    </row>
    <row r="54" spans="1:12" ht="15" thickBot="1" x14ac:dyDescent="0.35">
      <c r="A54" s="15" t="s">
        <v>42</v>
      </c>
      <c r="B54" s="15"/>
      <c r="C54" s="16"/>
      <c r="D54" s="16"/>
      <c r="E54" s="16"/>
      <c r="F54" s="16"/>
      <c r="G54" s="16"/>
      <c r="H54" s="16"/>
      <c r="I54" s="16"/>
      <c r="J54" s="16"/>
      <c r="K54" s="17"/>
    </row>
    <row r="55" spans="1:12" ht="15" thickBot="1" x14ac:dyDescent="0.35">
      <c r="A55" s="20" t="s">
        <v>43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2" ht="15" thickBot="1" x14ac:dyDescent="0.35">
      <c r="A56" s="21" t="s">
        <v>44</v>
      </c>
      <c r="B56" s="22"/>
      <c r="C56" s="22"/>
      <c r="D56" s="22"/>
      <c r="E56" s="22"/>
      <c r="F56" s="22"/>
      <c r="G56" s="22"/>
      <c r="H56" s="22"/>
      <c r="I56" s="22"/>
      <c r="J56" s="22"/>
      <c r="K56" s="23"/>
    </row>
    <row r="57" spans="1:12" x14ac:dyDescent="0.3">
      <c r="A57" s="6" t="s">
        <v>45</v>
      </c>
      <c r="B57" s="7"/>
      <c r="C57" s="7"/>
      <c r="D57" s="7"/>
      <c r="E57" s="7"/>
      <c r="F57" s="7"/>
      <c r="G57" s="8"/>
      <c r="H57" s="30" t="s">
        <v>46</v>
      </c>
      <c r="I57" s="31"/>
      <c r="J57" s="31"/>
      <c r="K57" s="32"/>
    </row>
    <row r="58" spans="1:12" ht="15" thickBot="1" x14ac:dyDescent="0.35">
      <c r="A58" s="33"/>
      <c r="C58" s="7" t="s">
        <v>47</v>
      </c>
      <c r="D58" s="7"/>
      <c r="E58" s="7"/>
      <c r="F58" s="7"/>
      <c r="G58" s="8"/>
      <c r="H58" s="6" t="s">
        <v>48</v>
      </c>
      <c r="I58" s="7"/>
      <c r="J58" s="7"/>
      <c r="K58" s="8"/>
    </row>
    <row r="59" spans="1:12" ht="15" thickBot="1" x14ac:dyDescent="0.35">
      <c r="A59" s="9" t="s">
        <v>49</v>
      </c>
      <c r="H59" s="6" t="s">
        <v>50</v>
      </c>
      <c r="I59" s="7"/>
      <c r="J59" s="7"/>
      <c r="K59" s="8"/>
    </row>
    <row r="60" spans="1:12" x14ac:dyDescent="0.3">
      <c r="A60" s="11" t="s">
        <v>51</v>
      </c>
      <c r="H60" s="33"/>
      <c r="I60" s="34" t="s">
        <v>49</v>
      </c>
      <c r="J60" s="34" t="s">
        <v>52</v>
      </c>
      <c r="K60" s="10"/>
    </row>
    <row r="61" spans="1:12" x14ac:dyDescent="0.3">
      <c r="A61" s="12"/>
      <c r="H61" s="33" t="s">
        <v>53</v>
      </c>
      <c r="I61" s="35" t="s">
        <v>23</v>
      </c>
      <c r="J61" s="35" t="b">
        <f>EXACT(UPPER(I61),I61)</f>
        <v>0</v>
      </c>
      <c r="K61" s="10"/>
    </row>
    <row r="62" spans="1:12" x14ac:dyDescent="0.3">
      <c r="A62" s="12"/>
      <c r="H62" s="33"/>
      <c r="I62" s="35" t="s">
        <v>54</v>
      </c>
      <c r="J62" s="35" t="b">
        <f t="shared" ref="J62:J63" si="0">EXACT(UPPER(I62),I62)</f>
        <v>1</v>
      </c>
      <c r="K62" s="10"/>
    </row>
    <row r="63" spans="1:12" x14ac:dyDescent="0.3">
      <c r="A63" s="12"/>
      <c r="H63" s="33"/>
      <c r="I63" s="35" t="s">
        <v>55</v>
      </c>
      <c r="J63" s="35" t="b">
        <f t="shared" si="0"/>
        <v>0</v>
      </c>
      <c r="K63" s="10"/>
    </row>
    <row r="64" spans="1:12" ht="15" thickBot="1" x14ac:dyDescent="0.35">
      <c r="A64" s="12"/>
      <c r="H64" s="36"/>
      <c r="I64" s="16"/>
      <c r="J64" s="16"/>
      <c r="K64" s="17"/>
    </row>
    <row r="65" spans="1:11" ht="15" thickBot="1" x14ac:dyDescent="0.3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7"/>
    </row>
    <row r="66" spans="1:11" ht="15" thickBot="1" x14ac:dyDescent="0.35">
      <c r="A66" s="2" t="s">
        <v>56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s="21" t="s">
        <v>57</v>
      </c>
      <c r="B67" s="22"/>
      <c r="C67" s="22"/>
      <c r="D67" s="22"/>
      <c r="E67" s="22"/>
      <c r="F67" s="22"/>
      <c r="G67" s="22"/>
      <c r="H67" s="22"/>
      <c r="I67" s="22"/>
      <c r="J67" s="22"/>
      <c r="K67" s="23"/>
    </row>
    <row r="68" spans="1:11" ht="15" thickBot="1" x14ac:dyDescent="0.35">
      <c r="A68" s="6" t="s">
        <v>58</v>
      </c>
      <c r="B68" s="7"/>
      <c r="C68" s="7"/>
      <c r="D68" s="7"/>
      <c r="E68" s="7"/>
      <c r="F68" s="7"/>
      <c r="G68" s="7"/>
      <c r="H68" s="7"/>
      <c r="I68" s="7"/>
      <c r="J68" s="7"/>
      <c r="K68" s="8"/>
    </row>
    <row r="69" spans="1:11" ht="15" thickBot="1" x14ac:dyDescent="0.35">
      <c r="A69" s="9" t="s">
        <v>59</v>
      </c>
      <c r="C69" s="7" t="s">
        <v>60</v>
      </c>
      <c r="D69" s="7"/>
      <c r="E69" s="7"/>
      <c r="F69" s="7"/>
      <c r="G69" s="7"/>
      <c r="H69" s="21" t="s">
        <v>46</v>
      </c>
      <c r="I69" s="22"/>
      <c r="J69" s="22"/>
      <c r="K69" s="23"/>
    </row>
    <row r="70" spans="1:11" x14ac:dyDescent="0.3">
      <c r="A70" s="11">
        <v>1</v>
      </c>
      <c r="H70" s="6" t="s">
        <v>61</v>
      </c>
      <c r="I70" s="7"/>
      <c r="J70" s="7"/>
      <c r="K70" s="8"/>
    </row>
    <row r="71" spans="1:11" x14ac:dyDescent="0.3">
      <c r="A71" s="12">
        <v>2</v>
      </c>
      <c r="H71" s="6" t="s">
        <v>62</v>
      </c>
      <c r="I71" s="7"/>
      <c r="J71" s="7"/>
      <c r="K71" s="8"/>
    </row>
    <row r="72" spans="1:11" x14ac:dyDescent="0.3">
      <c r="A72" s="12">
        <v>3</v>
      </c>
      <c r="H72" s="6" t="s">
        <v>63</v>
      </c>
      <c r="I72" s="7"/>
      <c r="J72" s="7"/>
      <c r="K72" s="8"/>
    </row>
    <row r="73" spans="1:11" x14ac:dyDescent="0.3">
      <c r="A73" s="12">
        <v>4</v>
      </c>
      <c r="H73" s="33" t="s">
        <v>53</v>
      </c>
      <c r="I73" s="34" t="s">
        <v>64</v>
      </c>
      <c r="J73" s="34" t="s">
        <v>52</v>
      </c>
      <c r="K73" s="10"/>
    </row>
    <row r="74" spans="1:11" x14ac:dyDescent="0.3">
      <c r="A74" s="12">
        <v>5</v>
      </c>
      <c r="H74" s="33"/>
      <c r="I74" s="35">
        <v>1</v>
      </c>
      <c r="J74" s="35" t="b">
        <f>COUNTIF($I$74:$I$78, I74)=1</f>
        <v>0</v>
      </c>
      <c r="K74" s="10"/>
    </row>
    <row r="75" spans="1:11" x14ac:dyDescent="0.3">
      <c r="A75" s="12">
        <v>6</v>
      </c>
      <c r="H75" s="33"/>
      <c r="I75" s="35">
        <v>2</v>
      </c>
      <c r="J75" s="35" t="b">
        <f t="shared" ref="J75:J78" si="1">COUNTIF($I$74:$I$78, I75)=1</f>
        <v>1</v>
      </c>
      <c r="K75" s="10"/>
    </row>
    <row r="76" spans="1:11" x14ac:dyDescent="0.3">
      <c r="A76" s="12"/>
      <c r="B76" s="13" t="s">
        <v>65</v>
      </c>
      <c r="C76" s="14"/>
      <c r="D76" s="14"/>
      <c r="E76" s="14"/>
      <c r="F76" s="14"/>
      <c r="H76" s="33"/>
      <c r="I76" s="35">
        <v>3</v>
      </c>
      <c r="J76" s="35" t="b">
        <f t="shared" si="1"/>
        <v>1</v>
      </c>
      <c r="K76" s="10"/>
    </row>
    <row r="77" spans="1:11" x14ac:dyDescent="0.3">
      <c r="A77" s="12"/>
      <c r="H77" s="33"/>
      <c r="I77" s="35">
        <v>4</v>
      </c>
      <c r="J77" s="35" t="b">
        <f>COUNTIF($I$74:$I$78, I77)=1</f>
        <v>1</v>
      </c>
      <c r="K77" s="10"/>
    </row>
    <row r="78" spans="1:11" ht="15" thickBot="1" x14ac:dyDescent="0.35">
      <c r="A78" s="15"/>
      <c r="B78" s="16"/>
      <c r="C78" s="16"/>
      <c r="D78" s="16"/>
      <c r="E78" s="16"/>
      <c r="F78" s="16"/>
      <c r="G78" s="16"/>
      <c r="H78" s="36"/>
      <c r="I78" s="37">
        <v>1</v>
      </c>
      <c r="J78" s="37" t="b">
        <f t="shared" si="1"/>
        <v>0</v>
      </c>
      <c r="K78" s="17"/>
    </row>
    <row r="79" spans="1:11" ht="15" thickBot="1" x14ac:dyDescent="0.35">
      <c r="A79" s="38" t="s">
        <v>66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spans="1:11" x14ac:dyDescent="0.3">
      <c r="A80" s="21" t="s">
        <v>67</v>
      </c>
      <c r="B80" s="22"/>
      <c r="C80" s="22"/>
      <c r="D80" s="22"/>
      <c r="E80" s="22"/>
      <c r="F80" s="22"/>
      <c r="G80" s="22"/>
      <c r="H80" s="22"/>
      <c r="I80" s="22"/>
      <c r="J80" s="22"/>
      <c r="K80" s="23"/>
    </row>
    <row r="81" spans="1:14" ht="15" thickBot="1" x14ac:dyDescent="0.35">
      <c r="A81" s="6" t="s">
        <v>58</v>
      </c>
      <c r="B81" s="7"/>
      <c r="C81" s="7"/>
      <c r="D81" s="7"/>
      <c r="E81" s="7"/>
      <c r="F81" s="7"/>
      <c r="G81" s="7"/>
      <c r="H81" s="7"/>
      <c r="I81" s="7"/>
      <c r="J81" s="7"/>
      <c r="K81" s="8"/>
    </row>
    <row r="82" spans="1:14" ht="15" thickBot="1" x14ac:dyDescent="0.35">
      <c r="A82" s="9" t="s">
        <v>68</v>
      </c>
      <c r="C82" s="7" t="s">
        <v>60</v>
      </c>
      <c r="D82" s="7"/>
      <c r="E82" s="7"/>
      <c r="F82" s="7"/>
      <c r="G82" s="7"/>
      <c r="H82" s="21" t="s">
        <v>46</v>
      </c>
      <c r="I82" s="22"/>
      <c r="J82" s="22"/>
      <c r="K82" s="23"/>
    </row>
    <row r="83" spans="1:14" x14ac:dyDescent="0.3">
      <c r="A83" s="11">
        <v>9876543210</v>
      </c>
      <c r="H83" s="6" t="s">
        <v>69</v>
      </c>
      <c r="I83" s="7"/>
      <c r="J83" s="7"/>
      <c r="K83" s="8"/>
    </row>
    <row r="84" spans="1:14" x14ac:dyDescent="0.3">
      <c r="A84" s="12"/>
      <c r="H84" s="6" t="s">
        <v>70</v>
      </c>
      <c r="I84" s="7"/>
      <c r="J84" s="7"/>
      <c r="K84" s="8"/>
    </row>
    <row r="85" spans="1:14" x14ac:dyDescent="0.3">
      <c r="A85" s="12"/>
      <c r="H85" s="6" t="s">
        <v>71</v>
      </c>
      <c r="I85" s="7"/>
      <c r="J85" s="7"/>
      <c r="K85" s="8"/>
    </row>
    <row r="86" spans="1:14" x14ac:dyDescent="0.3">
      <c r="A86" s="12"/>
      <c r="H86" s="6" t="s">
        <v>72</v>
      </c>
      <c r="I86" s="39"/>
      <c r="J86" s="39"/>
      <c r="K86" s="40"/>
    </row>
    <row r="87" spans="1:14" x14ac:dyDescent="0.3">
      <c r="A87" s="12"/>
      <c r="H87" s="6" t="s">
        <v>73</v>
      </c>
      <c r="I87" s="7"/>
      <c r="J87" s="7"/>
      <c r="K87" s="8"/>
    </row>
    <row r="88" spans="1:14" x14ac:dyDescent="0.3">
      <c r="A88" s="12"/>
      <c r="H88" s="6" t="s">
        <v>74</v>
      </c>
      <c r="I88" s="7"/>
      <c r="J88" s="7"/>
      <c r="K88" s="8"/>
    </row>
    <row r="89" spans="1:14" x14ac:dyDescent="0.3">
      <c r="A89" s="12"/>
      <c r="B89" s="14" t="s">
        <v>75</v>
      </c>
      <c r="C89" s="14"/>
      <c r="D89" s="14"/>
      <c r="E89" s="14"/>
      <c r="F89" s="14"/>
      <c r="H89" s="41" t="s">
        <v>76</v>
      </c>
      <c r="I89" s="34" t="s">
        <v>77</v>
      </c>
      <c r="J89" s="34" t="s">
        <v>78</v>
      </c>
      <c r="K89" s="42" t="s">
        <v>79</v>
      </c>
    </row>
    <row r="90" spans="1:14" x14ac:dyDescent="0.3">
      <c r="A90" s="12"/>
      <c r="H90" s="43">
        <v>987</v>
      </c>
      <c r="I90" s="35" t="b">
        <f>ISNUMBER(H90)</f>
        <v>1</v>
      </c>
      <c r="J90" s="35" t="b">
        <f>LEN(H90)=10</f>
        <v>0</v>
      </c>
      <c r="K90" s="44" t="b">
        <f>AND(ISNUMBER(H90),LEN(H90)=10)</f>
        <v>0</v>
      </c>
    </row>
    <row r="91" spans="1:14" x14ac:dyDescent="0.3">
      <c r="A91" s="12"/>
      <c r="H91" s="43">
        <v>9876543210</v>
      </c>
      <c r="I91" s="35" t="b">
        <f t="shared" ref="I91:I92" si="2">ISNUMBER(H91)</f>
        <v>1</v>
      </c>
      <c r="J91" s="35" t="b">
        <f t="shared" ref="J91:J92" si="3">LEN(H91)=10</f>
        <v>1</v>
      </c>
      <c r="K91" s="44" t="b">
        <f t="shared" ref="K91:K92" si="4">AND(ISNUMBER(H91),LEN(H91)=10)</f>
        <v>1</v>
      </c>
    </row>
    <row r="92" spans="1:14" ht="15" thickBot="1" x14ac:dyDescent="0.35">
      <c r="A92" s="15"/>
      <c r="B92" s="16"/>
      <c r="C92" s="16"/>
      <c r="D92" s="16"/>
      <c r="E92" s="16"/>
      <c r="F92" s="16"/>
      <c r="G92" s="16"/>
      <c r="H92" s="45" t="s">
        <v>80</v>
      </c>
      <c r="I92" s="37" t="b">
        <f t="shared" si="2"/>
        <v>0</v>
      </c>
      <c r="J92" s="37" t="b">
        <f t="shared" si="3"/>
        <v>0</v>
      </c>
      <c r="K92" s="46" t="b">
        <f t="shared" si="4"/>
        <v>0</v>
      </c>
    </row>
    <row r="93" spans="1:14" ht="15" thickBot="1" x14ac:dyDescent="0.35">
      <c r="A93" s="47" t="s">
        <v>81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</row>
    <row r="94" spans="1:14" x14ac:dyDescent="0.3">
      <c r="A94" s="21" t="s">
        <v>82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3"/>
    </row>
    <row r="95" spans="1:14" ht="15" thickBot="1" x14ac:dyDescent="0.35">
      <c r="A95" s="6" t="s">
        <v>83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8"/>
    </row>
    <row r="96" spans="1:14" x14ac:dyDescent="0.3">
      <c r="A96" s="24" t="s">
        <v>84</v>
      </c>
      <c r="G96" s="21" t="s">
        <v>46</v>
      </c>
      <c r="H96" s="22"/>
      <c r="I96" s="22"/>
      <c r="J96" s="22"/>
      <c r="K96" s="22"/>
      <c r="L96" s="31"/>
      <c r="M96" s="31"/>
      <c r="N96" s="32"/>
    </row>
    <row r="97" spans="1:14" x14ac:dyDescent="0.3">
      <c r="A97" s="12" t="s">
        <v>85</v>
      </c>
      <c r="G97" s="6" t="s">
        <v>86</v>
      </c>
      <c r="H97" s="7"/>
      <c r="I97" s="7"/>
      <c r="J97" s="7"/>
      <c r="K97" s="7"/>
      <c r="L97" s="7"/>
      <c r="M97" s="7"/>
      <c r="N97" s="8"/>
    </row>
    <row r="98" spans="1:14" x14ac:dyDescent="0.3">
      <c r="A98" s="12"/>
      <c r="G98" s="6" t="s">
        <v>87</v>
      </c>
      <c r="H98" s="7"/>
      <c r="I98" s="7"/>
      <c r="J98" s="7"/>
      <c r="K98" s="7"/>
      <c r="L98" s="7"/>
      <c r="M98" s="7"/>
      <c r="N98" s="8"/>
    </row>
    <row r="99" spans="1:14" x14ac:dyDescent="0.3">
      <c r="A99" s="12"/>
      <c r="B99" s="14" t="s">
        <v>88</v>
      </c>
      <c r="C99" s="14"/>
      <c r="D99" s="14"/>
      <c r="E99" s="14"/>
      <c r="F99" s="14"/>
      <c r="G99" s="6" t="s">
        <v>89</v>
      </c>
      <c r="H99" s="7"/>
      <c r="I99" s="7"/>
      <c r="J99" s="7"/>
      <c r="K99" s="7"/>
      <c r="L99" s="7"/>
      <c r="M99" s="7"/>
      <c r="N99" s="8"/>
    </row>
    <row r="100" spans="1:14" x14ac:dyDescent="0.3">
      <c r="A100" s="12"/>
      <c r="G100" s="6" t="s">
        <v>90</v>
      </c>
      <c r="H100" s="7"/>
      <c r="I100" s="7"/>
      <c r="J100" s="7"/>
      <c r="K100" s="7"/>
      <c r="L100" s="7"/>
      <c r="M100" s="7"/>
      <c r="N100" s="8"/>
    </row>
    <row r="101" spans="1:14" x14ac:dyDescent="0.3">
      <c r="A101" s="12"/>
      <c r="G101" s="6" t="s">
        <v>91</v>
      </c>
      <c r="H101" s="7"/>
      <c r="I101" s="7"/>
      <c r="J101" s="7"/>
      <c r="K101" s="7"/>
      <c r="L101" s="7"/>
      <c r="M101" s="7"/>
      <c r="N101" s="8"/>
    </row>
    <row r="102" spans="1:14" x14ac:dyDescent="0.3">
      <c r="A102" s="12"/>
      <c r="G102" s="6" t="s">
        <v>92</v>
      </c>
      <c r="H102" s="7"/>
      <c r="I102" s="7"/>
      <c r="J102" s="7"/>
      <c r="K102" s="7"/>
      <c r="L102" s="7"/>
      <c r="M102" s="7"/>
      <c r="N102" s="8"/>
    </row>
    <row r="103" spans="1:14" x14ac:dyDescent="0.3">
      <c r="A103" s="12"/>
      <c r="G103" s="6" t="s">
        <v>93</v>
      </c>
      <c r="H103" s="7"/>
      <c r="I103" s="7"/>
      <c r="J103" s="7"/>
      <c r="K103" s="7"/>
      <c r="L103" s="7"/>
      <c r="M103" s="7"/>
      <c r="N103" s="8"/>
    </row>
    <row r="104" spans="1:14" x14ac:dyDescent="0.3">
      <c r="A104" s="12"/>
      <c r="G104" s="6" t="s">
        <v>94</v>
      </c>
      <c r="H104" s="7"/>
      <c r="I104" s="7"/>
      <c r="J104" s="7"/>
      <c r="K104" s="7"/>
      <c r="L104" s="7"/>
      <c r="M104" s="7"/>
      <c r="N104" s="8"/>
    </row>
    <row r="105" spans="1:14" x14ac:dyDescent="0.3">
      <c r="A105" s="12"/>
      <c r="G105" s="41" t="s">
        <v>84</v>
      </c>
      <c r="H105" s="34" t="s">
        <v>95</v>
      </c>
      <c r="I105" s="34" t="s">
        <v>96</v>
      </c>
      <c r="J105" s="34" t="s">
        <v>97</v>
      </c>
      <c r="K105" s="34" t="s">
        <v>79</v>
      </c>
      <c r="N105" s="10"/>
    </row>
    <row r="106" spans="1:14" x14ac:dyDescent="0.3">
      <c r="A106" s="12"/>
      <c r="G106" s="43" t="s">
        <v>98</v>
      </c>
      <c r="H106" s="35" t="b">
        <f>LEN(G106)=5</f>
        <v>1</v>
      </c>
      <c r="I106" s="35" t="b">
        <f>ISNUMBER(VALUE(RIGHT(G106,4)))</f>
        <v>1</v>
      </c>
      <c r="J106" s="35" t="b">
        <f>NOT(ISNUMBER(LEFT(G106,1)))</f>
        <v>1</v>
      </c>
      <c r="K106" s="35" t="b">
        <f>AND(LEN(G106)=5, ISNUMBER(VALUE(RIGHT(G106,4))), NOT(ISNUMBER(LEFT(G106,1))))</f>
        <v>1</v>
      </c>
      <c r="N106" s="10"/>
    </row>
    <row r="107" spans="1:14" x14ac:dyDescent="0.3">
      <c r="A107" s="12"/>
      <c r="G107" s="43" t="s">
        <v>99</v>
      </c>
      <c r="H107" s="35" t="b">
        <f t="shared" ref="H107:H108" si="5">LEN(G107)=5</f>
        <v>0</v>
      </c>
      <c r="I107" s="35" t="b">
        <f t="shared" ref="I107:I108" si="6">ISNUMBER(VALUE(RIGHT(G107,4)))</f>
        <v>0</v>
      </c>
      <c r="J107" s="35" t="b">
        <f t="shared" ref="J107:J108" si="7">NOT(ISNUMBER(LEFT(G107,1)))</f>
        <v>1</v>
      </c>
      <c r="K107" s="35" t="b">
        <f t="shared" ref="K107:K108" si="8">AND(LEN(G107)=5, ISNUMBER(VALUE(RIGHT(G107,4))), NOT(ISNUMBER(LEFT(G107,1))))</f>
        <v>0</v>
      </c>
      <c r="N107" s="10"/>
    </row>
    <row r="108" spans="1:14" ht="15" thickBot="1" x14ac:dyDescent="0.35">
      <c r="A108" s="15"/>
      <c r="G108" s="45" t="s">
        <v>100</v>
      </c>
      <c r="H108" s="37" t="b">
        <f t="shared" si="5"/>
        <v>1</v>
      </c>
      <c r="I108" s="37" t="b">
        <f t="shared" si="6"/>
        <v>0</v>
      </c>
      <c r="J108" s="37" t="b">
        <f t="shared" si="7"/>
        <v>1</v>
      </c>
      <c r="K108" s="37" t="b">
        <f t="shared" si="8"/>
        <v>0</v>
      </c>
      <c r="L108" s="16"/>
      <c r="M108" s="16"/>
      <c r="N108" s="17"/>
    </row>
    <row r="109" spans="1:14" x14ac:dyDescent="0.3">
      <c r="A109" s="48" t="s">
        <v>101</v>
      </c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50"/>
    </row>
    <row r="110" spans="1:14" ht="15" thickBot="1" x14ac:dyDescent="0.35">
      <c r="A110" s="6" t="s">
        <v>102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8"/>
    </row>
    <row r="111" spans="1:14" ht="15" thickBot="1" x14ac:dyDescent="0.35">
      <c r="A111" s="24" t="s">
        <v>103</v>
      </c>
      <c r="N111" s="10"/>
    </row>
    <row r="112" spans="1:14" x14ac:dyDescent="0.3">
      <c r="A112" s="12" t="s">
        <v>104</v>
      </c>
      <c r="G112" s="30" t="s">
        <v>46</v>
      </c>
      <c r="H112" s="31"/>
      <c r="I112" s="31"/>
      <c r="J112" s="31"/>
      <c r="K112" s="32"/>
      <c r="N112" s="10"/>
    </row>
    <row r="113" spans="1:14" x14ac:dyDescent="0.3">
      <c r="A113" s="12"/>
      <c r="G113" s="41" t="s">
        <v>105</v>
      </c>
      <c r="H113" s="34" t="s">
        <v>106</v>
      </c>
      <c r="I113" s="34" t="s">
        <v>96</v>
      </c>
      <c r="J113" s="34" t="s">
        <v>107</v>
      </c>
      <c r="K113" s="42" t="s">
        <v>79</v>
      </c>
      <c r="N113" s="10"/>
    </row>
    <row r="114" spans="1:14" x14ac:dyDescent="0.3">
      <c r="A114" s="12"/>
      <c r="G114" s="43" t="s">
        <v>108</v>
      </c>
      <c r="H114" s="35" t="b">
        <f>LEN(G114)=6</f>
        <v>1</v>
      </c>
      <c r="I114" s="35" t="b">
        <f>ISNUMBER(VALUE(RIGHT(G114,4)))</f>
        <v>1</v>
      </c>
      <c r="J114" s="35" t="b">
        <f>LEFT(G114,2)="AN"</f>
        <v>1</v>
      </c>
      <c r="K114" s="44" t="b">
        <f>AND(LEN(G114)=6, ISNUMBER(VALUE(RIGHT(G114,4))), LEFT(G114,2)="AN")</f>
        <v>1</v>
      </c>
      <c r="N114" s="10"/>
    </row>
    <row r="115" spans="1:14" ht="15" thickBot="1" x14ac:dyDescent="0.35">
      <c r="A115" s="15"/>
      <c r="B115" s="16"/>
      <c r="C115" s="16"/>
      <c r="D115" s="16"/>
      <c r="E115" s="16"/>
      <c r="F115" s="16"/>
      <c r="G115" s="45" t="s">
        <v>109</v>
      </c>
      <c r="H115" s="37" t="b">
        <f>LEN(G115)=6</f>
        <v>1</v>
      </c>
      <c r="I115" s="37" t="b">
        <f t="shared" ref="I115" si="9">ISNUMBER(VALUE(RIGHT(G115,4)))</f>
        <v>1</v>
      </c>
      <c r="J115" s="37" t="b">
        <f>LEFT(G115,2)="AN"</f>
        <v>0</v>
      </c>
      <c r="K115" s="46" t="b">
        <f>AND(LEN(G115)=6, ISNUMBER(VALUE(RIGHT(G115,4))), LEFT(G115,2)="AN")</f>
        <v>0</v>
      </c>
      <c r="L115" s="16"/>
      <c r="M115" s="16"/>
      <c r="N115" s="17"/>
    </row>
    <row r="116" spans="1:14" ht="15" thickBot="1" x14ac:dyDescent="0.35">
      <c r="A116" s="38" t="s">
        <v>110</v>
      </c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</row>
    <row r="117" spans="1:14" x14ac:dyDescent="0.3">
      <c r="A117" s="21" t="s">
        <v>111</v>
      </c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3"/>
    </row>
    <row r="118" spans="1:14" ht="15" thickBot="1" x14ac:dyDescent="0.35">
      <c r="A118" s="6" t="s">
        <v>112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8"/>
    </row>
    <row r="119" spans="1:14" ht="15" thickBot="1" x14ac:dyDescent="0.35">
      <c r="A119" s="9" t="s">
        <v>113</v>
      </c>
      <c r="C119" s="7" t="s">
        <v>114</v>
      </c>
      <c r="D119" s="7"/>
      <c r="E119" s="7"/>
      <c r="F119" s="7"/>
      <c r="G119" s="7"/>
      <c r="H119" s="7"/>
      <c r="I119" s="8"/>
      <c r="J119" s="21" t="s">
        <v>46</v>
      </c>
      <c r="K119" s="22"/>
      <c r="L119" s="22"/>
      <c r="M119" s="22"/>
      <c r="N119" s="23"/>
    </row>
    <row r="120" spans="1:14" x14ac:dyDescent="0.3">
      <c r="A120" s="51" t="s">
        <v>115</v>
      </c>
      <c r="J120" s="6" t="s">
        <v>116</v>
      </c>
      <c r="K120" s="7"/>
      <c r="L120" s="7"/>
      <c r="M120" s="7"/>
      <c r="N120" s="8"/>
    </row>
    <row r="121" spans="1:14" x14ac:dyDescent="0.3">
      <c r="A121" s="12"/>
      <c r="J121" s="6" t="s">
        <v>117</v>
      </c>
      <c r="K121" s="7"/>
      <c r="L121" s="7"/>
      <c r="M121" s="7"/>
      <c r="N121" s="8"/>
    </row>
    <row r="122" spans="1:14" x14ac:dyDescent="0.3">
      <c r="A122" s="12"/>
      <c r="J122" s="6" t="s">
        <v>118</v>
      </c>
      <c r="K122" s="7"/>
      <c r="L122" s="7"/>
      <c r="M122" s="7"/>
      <c r="N122" s="8"/>
    </row>
    <row r="123" spans="1:14" x14ac:dyDescent="0.3">
      <c r="A123" s="12"/>
      <c r="J123" s="6" t="s">
        <v>119</v>
      </c>
      <c r="K123" s="7"/>
      <c r="L123" s="7"/>
      <c r="M123" s="7"/>
      <c r="N123" s="8"/>
    </row>
    <row r="124" spans="1:14" x14ac:dyDescent="0.3">
      <c r="A124" s="12"/>
      <c r="J124" s="6" t="s">
        <v>120</v>
      </c>
      <c r="K124" s="7"/>
      <c r="L124" s="7"/>
      <c r="M124" s="7"/>
      <c r="N124" s="8"/>
    </row>
    <row r="125" spans="1:14" x14ac:dyDescent="0.3">
      <c r="A125" s="12"/>
      <c r="J125" s="52" t="s">
        <v>121</v>
      </c>
      <c r="K125" s="53"/>
      <c r="L125" s="53"/>
      <c r="M125" s="53"/>
      <c r="N125" s="54"/>
    </row>
    <row r="126" spans="1:14" x14ac:dyDescent="0.3">
      <c r="A126" s="12"/>
      <c r="B126" s="13" t="s">
        <v>122</v>
      </c>
      <c r="C126" s="14"/>
      <c r="D126" s="14"/>
      <c r="E126" s="14"/>
      <c r="F126" s="14"/>
      <c r="G126" s="14"/>
      <c r="H126" s="14"/>
      <c r="I126" s="55"/>
      <c r="J126" s="41" t="s">
        <v>123</v>
      </c>
      <c r="K126" s="34" t="s">
        <v>124</v>
      </c>
      <c r="L126" s="34" t="s">
        <v>125</v>
      </c>
      <c r="M126" s="34" t="s">
        <v>126</v>
      </c>
      <c r="N126" s="42" t="s">
        <v>79</v>
      </c>
    </row>
    <row r="127" spans="1:14" x14ac:dyDescent="0.3">
      <c r="A127" s="12"/>
      <c r="J127" s="56" t="s">
        <v>127</v>
      </c>
      <c r="K127" s="35" t="b">
        <f>ISNUMBER(SEARCH("@",J127))</f>
        <v>1</v>
      </c>
      <c r="L127" s="35" t="b">
        <f>ISNUMBER(SEARCH(".",J127))</f>
        <v>1</v>
      </c>
      <c r="M127" s="35" t="b">
        <f>ISERROR(SEARCH(" ",J127))</f>
        <v>1</v>
      </c>
      <c r="N127" s="44" t="b">
        <f>AND(ISNUMBER(SEARCH("@",J127)), ISNUMBER(SEARCH(".",J127)), ISERROR(SEARCH(" ",J127)))</f>
        <v>1</v>
      </c>
    </row>
    <row r="128" spans="1:14" x14ac:dyDescent="0.3">
      <c r="A128" s="12"/>
      <c r="J128" s="43" t="s">
        <v>128</v>
      </c>
      <c r="K128" s="35" t="b">
        <f t="shared" ref="K128:K129" si="10">ISNUMBER(SEARCH("@",J128))</f>
        <v>1</v>
      </c>
      <c r="L128" s="35" t="b">
        <f t="shared" ref="L128:L129" si="11">ISNUMBER(SEARCH(".",J128))</f>
        <v>0</v>
      </c>
      <c r="M128" s="35" t="b">
        <f t="shared" ref="M128:M129" si="12">ISERROR(SEARCH(" ",J128))</f>
        <v>0</v>
      </c>
      <c r="N128" s="44" t="b">
        <f t="shared" ref="N128:N129" si="13">AND(ISNUMBER(SEARCH("@",J128)), ISNUMBER(SEARCH(".",J128)), ISERROR(SEARCH(" ",J128)))</f>
        <v>0</v>
      </c>
    </row>
    <row r="129" spans="1:14" ht="15" thickBot="1" x14ac:dyDescent="0.35">
      <c r="A129" s="15"/>
      <c r="B129" s="16"/>
      <c r="C129" s="16"/>
      <c r="D129" s="16"/>
      <c r="E129" s="16"/>
      <c r="F129" s="16"/>
      <c r="G129" s="16"/>
      <c r="H129" s="16"/>
      <c r="I129" s="16"/>
      <c r="J129" s="57" t="s">
        <v>129</v>
      </c>
      <c r="K129" s="37" t="b">
        <f t="shared" si="10"/>
        <v>1</v>
      </c>
      <c r="L129" s="37" t="b">
        <f t="shared" si="11"/>
        <v>0</v>
      </c>
      <c r="M129" s="37" t="b">
        <f t="shared" si="12"/>
        <v>1</v>
      </c>
      <c r="N129" s="46" t="b">
        <f t="shared" si="13"/>
        <v>0</v>
      </c>
    </row>
  </sheetData>
  <mergeCells count="76">
    <mergeCell ref="J123:N123"/>
    <mergeCell ref="J124:N124"/>
    <mergeCell ref="J125:N125"/>
    <mergeCell ref="B126:I126"/>
    <mergeCell ref="A118:N118"/>
    <mergeCell ref="C119:I119"/>
    <mergeCell ref="J119:N119"/>
    <mergeCell ref="J120:N120"/>
    <mergeCell ref="J121:N121"/>
    <mergeCell ref="J122:N122"/>
    <mergeCell ref="G103:N103"/>
    <mergeCell ref="G104:N104"/>
    <mergeCell ref="A109:N109"/>
    <mergeCell ref="A110:N110"/>
    <mergeCell ref="A116:N116"/>
    <mergeCell ref="A117:N117"/>
    <mergeCell ref="G98:N98"/>
    <mergeCell ref="B99:F99"/>
    <mergeCell ref="G99:N99"/>
    <mergeCell ref="G100:N100"/>
    <mergeCell ref="G101:N101"/>
    <mergeCell ref="G102:N102"/>
    <mergeCell ref="B89:F89"/>
    <mergeCell ref="A93:N93"/>
    <mergeCell ref="A94:N94"/>
    <mergeCell ref="A95:N95"/>
    <mergeCell ref="G96:K96"/>
    <mergeCell ref="G97:N97"/>
    <mergeCell ref="H83:K83"/>
    <mergeCell ref="H84:K84"/>
    <mergeCell ref="H85:K85"/>
    <mergeCell ref="H86:K86"/>
    <mergeCell ref="H87:K87"/>
    <mergeCell ref="H88:K88"/>
    <mergeCell ref="B76:F76"/>
    <mergeCell ref="A79:K79"/>
    <mergeCell ref="A80:K80"/>
    <mergeCell ref="A81:K81"/>
    <mergeCell ref="C82:G82"/>
    <mergeCell ref="H82:K82"/>
    <mergeCell ref="A68:K68"/>
    <mergeCell ref="C69:G69"/>
    <mergeCell ref="H69:K69"/>
    <mergeCell ref="H70:K70"/>
    <mergeCell ref="H71:K71"/>
    <mergeCell ref="H72:K72"/>
    <mergeCell ref="A57:G57"/>
    <mergeCell ref="C58:G58"/>
    <mergeCell ref="H58:K58"/>
    <mergeCell ref="H59:K59"/>
    <mergeCell ref="A66:K66"/>
    <mergeCell ref="A67:K67"/>
    <mergeCell ref="A45:K45"/>
    <mergeCell ref="A46:K46"/>
    <mergeCell ref="A47:K47"/>
    <mergeCell ref="A48:K48"/>
    <mergeCell ref="A55:K55"/>
    <mergeCell ref="A56:K56"/>
    <mergeCell ref="D27:K27"/>
    <mergeCell ref="B29:F29"/>
    <mergeCell ref="A34:K34"/>
    <mergeCell ref="A35:K35"/>
    <mergeCell ref="A36:K36"/>
    <mergeCell ref="A44:K44"/>
    <mergeCell ref="A15:K15"/>
    <mergeCell ref="A16:K16"/>
    <mergeCell ref="B19:G19"/>
    <mergeCell ref="A24:K24"/>
    <mergeCell ref="A25:K25"/>
    <mergeCell ref="A26:K26"/>
    <mergeCell ref="A1:K1"/>
    <mergeCell ref="A2:K2"/>
    <mergeCell ref="A3:K3"/>
    <mergeCell ref="A4:K4"/>
    <mergeCell ref="B7:F7"/>
    <mergeCell ref="A14:K14"/>
  </mergeCells>
  <dataValidations count="12">
    <dataValidation type="custom" allowBlank="1" showInputMessage="1" showErrorMessage="1" errorTitle="Invaid Email format" error="Please enter email id in correct format" sqref="A120:A129" xr:uid="{A8846E1E-3C4A-47D8-8DC8-8EA790847977}">
      <formula1>AND(ISNUMBER(SEARCH("@",A120)), ISNUMBER(SEARCH(".",A120)), ISERROR(SEARCH(" ",A120)))</formula1>
    </dataValidation>
    <dataValidation type="custom" allowBlank="1" showInputMessage="1" showErrorMessage="1" sqref="A112:A115" xr:uid="{F1652118-103A-4EEB-9F1C-A71E6DF1E8C4}">
      <formula1>AND(LEN(A112)=6, ISNUMBER(VALUE(RIGHT(A112,4))), LEFT(A112,2)="AN")</formula1>
    </dataValidation>
    <dataValidation type="custom" allowBlank="1" showInputMessage="1" showErrorMessage="1" sqref="A97:A108" xr:uid="{A791D3DE-B2FC-4747-8D60-2DAA01A3FF2E}">
      <formula1>AND(LEN(A97)=5, ISNUMBER(VALUE(RIGHT(A97,4))), NOT(ISNUMBER(LEFT(A97,1))))</formula1>
    </dataValidation>
    <dataValidation type="custom" allowBlank="1" showInputMessage="1" showErrorMessage="1" errorTitle="Invalid Number Type" error="Please check the number and try again" sqref="A83:A92" xr:uid="{9DE07A07-F6B3-4BF2-A3E8-67FDEBB3F1A0}">
      <formula1>AND(ISNUMBER(A83),LEN(A83)=10)</formula1>
    </dataValidation>
    <dataValidation type="custom" allowBlank="1" showInputMessage="1" showErrorMessage="1" errorTitle="Invalid" error="value already exist" sqref="A70:A78" xr:uid="{FC6D6C25-D91D-4AD0-A2B7-5D11B98927D8}">
      <formula1>COUNTIF($A$70:$A$78,A70)=1</formula1>
    </dataValidation>
    <dataValidation type="custom" allowBlank="1" showInputMessage="1" showErrorMessage="1" errorTitle="Invalid" error="Enter Upper Case" sqref="A60:A65" xr:uid="{04121F90-CC37-4D33-9C49-1611BC3A7600}">
      <formula1>EXACT(UPPER(A60),A60)</formula1>
    </dataValidation>
    <dataValidation type="list" allowBlank="1" showInputMessage="1" showErrorMessage="1" sqref="E51" xr:uid="{215A4E16-0BB0-48B7-AF66-E381175CD37F}">
      <formula1>$A$49:$B$49</formula1>
    </dataValidation>
    <dataValidation type="list" allowBlank="1" showInputMessage="1" showErrorMessage="1" sqref="F51" xr:uid="{72B1254F-EA50-4EBF-8CB7-CAE51457503A}">
      <formula1>INDIRECT($E$51)</formula1>
    </dataValidation>
    <dataValidation type="textLength" operator="greaterThanOrEqual" allowBlank="1" showInputMessage="1" showErrorMessage="1" sqref="B38:B43" xr:uid="{2F35E5CE-667E-4521-B633-E77FB226FB39}">
      <formula1>3</formula1>
    </dataValidation>
    <dataValidation type="textLength" errorStyle="warning" operator="greaterThanOrEqual" allowBlank="1" showInputMessage="1" showErrorMessage="1" errorTitle="Invalid" error="Minimum 3 Characters Required" sqref="A28:A33" xr:uid="{735CBE3F-C39D-4B6A-B0BF-B28F00AFD24A}">
      <formula1>3</formula1>
    </dataValidation>
    <dataValidation allowBlank="1" showInputMessage="1" showErrorMessage="1" promptTitle="Message" prompt="Minimum 3 Characters Required" sqref="A17:A23 A27" xr:uid="{906287A4-E2AA-4974-B087-8AC0630E516C}"/>
    <dataValidation type="whole" allowBlank="1" showInputMessage="1" showErrorMessage="1" sqref="A6:A13 A38:A43" xr:uid="{F2B89BD3-D813-4E39-8DD3-E6EE7AB43844}">
      <formula1>1</formula1>
      <formula2>100</formula2>
    </dataValidation>
  </dataValidations>
  <hyperlinks>
    <hyperlink ref="J127" r:id="rId1" xr:uid="{2484347E-D300-471A-A188-4EBA8C6D5446}"/>
    <hyperlink ref="J129" r:id="rId2" xr:uid="{3EBFCC24-AB07-4A32-AA2C-B8B742696657}"/>
    <hyperlink ref="A120" r:id="rId3" xr:uid="{91B0D569-0F54-4C2B-B440-1A7CE9B5F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2026-08-25T11:21:09Z</dcterms:created>
  <dcterms:modified xsi:type="dcterms:W3CDTF">2026-08-25T11:23:09Z</dcterms:modified>
</cp:coreProperties>
</file>