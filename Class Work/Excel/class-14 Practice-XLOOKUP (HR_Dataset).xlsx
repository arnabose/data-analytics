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371EA89D-0D3D-4C02-ACA6-7AE1B8EECC04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Employees" sheetId="1" r:id="rId1"/>
    <sheet name="Department" sheetId="2" r:id="rId2"/>
    <sheet name="Performance" sheetId="3" r:id="rId3"/>
    <sheet name="Question 6" sheetId="5" r:id="rId4"/>
    <sheet name="Question 7" sheetId="6" r:id="rId5"/>
    <sheet name="Question 8 (Filter)" sheetId="4" r:id="rId6"/>
  </sheets>
  <definedNames>
    <definedName name="_xlnm._FilterDatabase" localSheetId="5" hidden="1">'Question 8 (Filter)'!$A$1:$A$1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N501" i="6"/>
  <c r="O501" i="6" s="1" a="1"/>
  <c r="O501" i="6" s="1"/>
  <c r="M501" i="6"/>
  <c r="N500" i="6"/>
  <c r="O500" i="6" s="1" a="1"/>
  <c r="O500" i="6" s="1"/>
  <c r="M500" i="6"/>
  <c r="N499" i="6"/>
  <c r="O499" i="6" s="1" a="1"/>
  <c r="O499" i="6" s="1"/>
  <c r="M499" i="6"/>
  <c r="N498" i="6"/>
  <c r="O498" i="6" s="1" a="1"/>
  <c r="O498" i="6" s="1"/>
  <c r="M498" i="6"/>
  <c r="N497" i="6"/>
  <c r="O497" i="6" s="1" a="1"/>
  <c r="O497" i="6" s="1"/>
  <c r="M497" i="6"/>
  <c r="N496" i="6"/>
  <c r="O496" i="6" s="1" a="1"/>
  <c r="O496" i="6" s="1"/>
  <c r="M496" i="6"/>
  <c r="N495" i="6"/>
  <c r="O495" i="6" s="1" a="1"/>
  <c r="O495" i="6" s="1"/>
  <c r="M495" i="6"/>
  <c r="N494" i="6"/>
  <c r="O494" i="6" s="1" a="1"/>
  <c r="O494" i="6" s="1"/>
  <c r="M494" i="6"/>
  <c r="N493" i="6"/>
  <c r="O493" i="6" s="1" a="1"/>
  <c r="O493" i="6" s="1"/>
  <c r="M493" i="6"/>
  <c r="N492" i="6"/>
  <c r="O492" i="6" s="1" a="1"/>
  <c r="O492" i="6" s="1"/>
  <c r="M492" i="6"/>
  <c r="N491" i="6"/>
  <c r="O491" i="6" s="1" a="1"/>
  <c r="O491" i="6" s="1"/>
  <c r="M491" i="6"/>
  <c r="N490" i="6"/>
  <c r="O490" i="6" s="1" a="1"/>
  <c r="O490" i="6" s="1"/>
  <c r="M490" i="6"/>
  <c r="N489" i="6"/>
  <c r="O489" i="6" s="1" a="1"/>
  <c r="O489" i="6" s="1"/>
  <c r="M489" i="6"/>
  <c r="N488" i="6"/>
  <c r="O488" i="6" s="1" a="1"/>
  <c r="O488" i="6" s="1"/>
  <c r="M488" i="6"/>
  <c r="N487" i="6"/>
  <c r="O487" i="6" s="1" a="1"/>
  <c r="O487" i="6" s="1"/>
  <c r="M487" i="6"/>
  <c r="N486" i="6"/>
  <c r="O486" i="6" s="1" a="1"/>
  <c r="O486" i="6" s="1"/>
  <c r="M486" i="6"/>
  <c r="N485" i="6"/>
  <c r="O485" i="6" s="1" a="1"/>
  <c r="O485" i="6" s="1"/>
  <c r="M485" i="6"/>
  <c r="N484" i="6"/>
  <c r="O484" i="6" s="1" a="1"/>
  <c r="O484" i="6" s="1"/>
  <c r="M484" i="6"/>
  <c r="N483" i="6"/>
  <c r="O483" i="6" s="1" a="1"/>
  <c r="O483" i="6" s="1"/>
  <c r="M483" i="6"/>
  <c r="N482" i="6"/>
  <c r="O482" i="6" s="1" a="1"/>
  <c r="O482" i="6" s="1"/>
  <c r="M482" i="6"/>
  <c r="N481" i="6"/>
  <c r="O481" i="6" s="1" a="1"/>
  <c r="O481" i="6" s="1"/>
  <c r="M481" i="6"/>
  <c r="N480" i="6"/>
  <c r="O480" i="6" s="1" a="1"/>
  <c r="O480" i="6" s="1"/>
  <c r="M480" i="6"/>
  <c r="N479" i="6"/>
  <c r="O479" i="6" s="1" a="1"/>
  <c r="O479" i="6" s="1"/>
  <c r="M479" i="6"/>
  <c r="N478" i="6"/>
  <c r="O478" i="6" s="1" a="1"/>
  <c r="O478" i="6" s="1"/>
  <c r="M478" i="6"/>
  <c r="N477" i="6"/>
  <c r="O477" i="6" s="1" a="1"/>
  <c r="O477" i="6" s="1"/>
  <c r="M477" i="6"/>
  <c r="N476" i="6"/>
  <c r="O476" i="6" s="1" a="1"/>
  <c r="O476" i="6" s="1"/>
  <c r="M476" i="6"/>
  <c r="N475" i="6"/>
  <c r="O475" i="6" s="1" a="1"/>
  <c r="O475" i="6" s="1"/>
  <c r="M475" i="6"/>
  <c r="N474" i="6"/>
  <c r="O474" i="6" s="1" a="1"/>
  <c r="O474" i="6" s="1"/>
  <c r="M474" i="6"/>
  <c r="N473" i="6"/>
  <c r="O473" i="6" s="1" a="1"/>
  <c r="O473" i="6" s="1"/>
  <c r="M473" i="6"/>
  <c r="N472" i="6"/>
  <c r="O472" i="6" s="1" a="1"/>
  <c r="O472" i="6" s="1"/>
  <c r="M472" i="6"/>
  <c r="N471" i="6"/>
  <c r="O471" i="6" s="1" a="1"/>
  <c r="O471" i="6" s="1"/>
  <c r="M471" i="6"/>
  <c r="N470" i="6"/>
  <c r="O470" i="6" s="1" a="1"/>
  <c r="O470" i="6" s="1"/>
  <c r="M470" i="6"/>
  <c r="N469" i="6"/>
  <c r="O469" i="6" s="1" a="1"/>
  <c r="O469" i="6" s="1"/>
  <c r="M469" i="6"/>
  <c r="N468" i="6"/>
  <c r="O468" i="6" s="1" a="1"/>
  <c r="O468" i="6" s="1"/>
  <c r="M468" i="6"/>
  <c r="N467" i="6"/>
  <c r="O467" i="6" s="1" a="1"/>
  <c r="O467" i="6" s="1"/>
  <c r="M467" i="6"/>
  <c r="N466" i="6"/>
  <c r="O466" i="6" s="1" a="1"/>
  <c r="O466" i="6" s="1"/>
  <c r="M466" i="6"/>
  <c r="N465" i="6"/>
  <c r="O465" i="6" s="1" a="1"/>
  <c r="O465" i="6" s="1"/>
  <c r="M465" i="6"/>
  <c r="N464" i="6"/>
  <c r="O464" i="6" s="1" a="1"/>
  <c r="O464" i="6" s="1"/>
  <c r="M464" i="6"/>
  <c r="N463" i="6"/>
  <c r="O463" i="6" s="1" a="1"/>
  <c r="O463" i="6" s="1"/>
  <c r="M463" i="6"/>
  <c r="N462" i="6"/>
  <c r="O462" i="6" s="1" a="1"/>
  <c r="O462" i="6" s="1"/>
  <c r="M462" i="6"/>
  <c r="N461" i="6"/>
  <c r="O461" i="6" s="1" a="1"/>
  <c r="O461" i="6" s="1"/>
  <c r="M461" i="6"/>
  <c r="N460" i="6"/>
  <c r="O460" i="6" s="1" a="1"/>
  <c r="O460" i="6" s="1"/>
  <c r="M460" i="6"/>
  <c r="N459" i="6"/>
  <c r="O459" i="6" s="1" a="1"/>
  <c r="O459" i="6" s="1"/>
  <c r="M459" i="6"/>
  <c r="N458" i="6"/>
  <c r="O458" i="6" s="1" a="1"/>
  <c r="O458" i="6" s="1"/>
  <c r="M458" i="6"/>
  <c r="N457" i="6"/>
  <c r="O457" i="6" s="1" a="1"/>
  <c r="O457" i="6" s="1"/>
  <c r="M457" i="6"/>
  <c r="N456" i="6"/>
  <c r="O456" i="6" s="1" a="1"/>
  <c r="O456" i="6" s="1"/>
  <c r="M456" i="6"/>
  <c r="N455" i="6"/>
  <c r="O455" i="6" s="1" a="1"/>
  <c r="O455" i="6" s="1"/>
  <c r="M455" i="6"/>
  <c r="N454" i="6"/>
  <c r="O454" i="6" s="1" a="1"/>
  <c r="O454" i="6" s="1"/>
  <c r="M454" i="6"/>
  <c r="N453" i="6"/>
  <c r="O453" i="6" s="1" a="1"/>
  <c r="O453" i="6" s="1"/>
  <c r="M453" i="6"/>
  <c r="N452" i="6"/>
  <c r="O452" i="6" s="1" a="1"/>
  <c r="O452" i="6" s="1"/>
  <c r="M452" i="6"/>
  <c r="N451" i="6"/>
  <c r="O451" i="6" s="1" a="1"/>
  <c r="O451" i="6" s="1"/>
  <c r="M451" i="6"/>
  <c r="N450" i="6"/>
  <c r="O450" i="6" s="1" a="1"/>
  <c r="O450" i="6" s="1"/>
  <c r="M450" i="6"/>
  <c r="N449" i="6"/>
  <c r="O449" i="6" s="1" a="1"/>
  <c r="O449" i="6" s="1"/>
  <c r="M449" i="6"/>
  <c r="N448" i="6"/>
  <c r="O448" i="6" s="1" a="1"/>
  <c r="O448" i="6" s="1"/>
  <c r="M448" i="6"/>
  <c r="N447" i="6"/>
  <c r="O447" i="6" s="1" a="1"/>
  <c r="O447" i="6" s="1"/>
  <c r="M447" i="6"/>
  <c r="N446" i="6"/>
  <c r="O446" i="6" s="1" a="1"/>
  <c r="O446" i="6" s="1"/>
  <c r="M446" i="6"/>
  <c r="N445" i="6"/>
  <c r="O445" i="6" s="1" a="1"/>
  <c r="O445" i="6" s="1"/>
  <c r="M445" i="6"/>
  <c r="N444" i="6"/>
  <c r="O444" i="6" s="1" a="1"/>
  <c r="O444" i="6" s="1"/>
  <c r="M444" i="6"/>
  <c r="N443" i="6"/>
  <c r="O443" i="6" s="1" a="1"/>
  <c r="O443" i="6" s="1"/>
  <c r="M443" i="6"/>
  <c r="N442" i="6"/>
  <c r="O442" i="6" s="1" a="1"/>
  <c r="O442" i="6" s="1"/>
  <c r="M442" i="6"/>
  <c r="N441" i="6"/>
  <c r="O441" i="6" s="1" a="1"/>
  <c r="O441" i="6" s="1"/>
  <c r="M441" i="6"/>
  <c r="N440" i="6"/>
  <c r="O440" i="6" s="1" a="1"/>
  <c r="O440" i="6" s="1"/>
  <c r="M440" i="6"/>
  <c r="N439" i="6"/>
  <c r="O439" i="6" s="1" a="1"/>
  <c r="O439" i="6" s="1"/>
  <c r="M439" i="6"/>
  <c r="N438" i="6"/>
  <c r="O438" i="6" s="1" a="1"/>
  <c r="O438" i="6" s="1"/>
  <c r="M438" i="6"/>
  <c r="N437" i="6"/>
  <c r="O437" i="6" s="1" a="1"/>
  <c r="O437" i="6" s="1"/>
  <c r="M437" i="6"/>
  <c r="N436" i="6"/>
  <c r="O436" i="6" s="1" a="1"/>
  <c r="O436" i="6" s="1"/>
  <c r="M436" i="6"/>
  <c r="N435" i="6"/>
  <c r="O435" i="6" s="1" a="1"/>
  <c r="O435" i="6" s="1"/>
  <c r="M435" i="6"/>
  <c r="N434" i="6"/>
  <c r="O434" i="6" s="1" a="1"/>
  <c r="O434" i="6" s="1"/>
  <c r="M434" i="6"/>
  <c r="N433" i="6"/>
  <c r="O433" i="6" s="1" a="1"/>
  <c r="O433" i="6" s="1"/>
  <c r="M433" i="6"/>
  <c r="N432" i="6"/>
  <c r="O432" i="6" s="1" a="1"/>
  <c r="O432" i="6" s="1"/>
  <c r="M432" i="6"/>
  <c r="N431" i="6"/>
  <c r="O431" i="6" s="1" a="1"/>
  <c r="O431" i="6" s="1"/>
  <c r="M431" i="6"/>
  <c r="N430" i="6"/>
  <c r="O430" i="6" s="1" a="1"/>
  <c r="O430" i="6" s="1"/>
  <c r="M430" i="6"/>
  <c r="N429" i="6"/>
  <c r="O429" i="6" s="1" a="1"/>
  <c r="O429" i="6" s="1"/>
  <c r="M429" i="6"/>
  <c r="N428" i="6"/>
  <c r="O428" i="6" s="1" a="1"/>
  <c r="O428" i="6" s="1"/>
  <c r="M428" i="6"/>
  <c r="N427" i="6"/>
  <c r="O427" i="6" s="1" a="1"/>
  <c r="O427" i="6" s="1"/>
  <c r="M427" i="6"/>
  <c r="N426" i="6"/>
  <c r="O426" i="6" s="1" a="1"/>
  <c r="O426" i="6" s="1"/>
  <c r="M426" i="6"/>
  <c r="N425" i="6"/>
  <c r="O425" i="6" s="1" a="1"/>
  <c r="O425" i="6" s="1"/>
  <c r="M425" i="6"/>
  <c r="N424" i="6"/>
  <c r="O424" i="6" s="1" a="1"/>
  <c r="O424" i="6" s="1"/>
  <c r="M424" i="6"/>
  <c r="N423" i="6"/>
  <c r="O423" i="6" s="1" a="1"/>
  <c r="O423" i="6" s="1"/>
  <c r="M423" i="6"/>
  <c r="N422" i="6"/>
  <c r="O422" i="6" s="1" a="1"/>
  <c r="O422" i="6" s="1"/>
  <c r="M422" i="6"/>
  <c r="N421" i="6"/>
  <c r="O421" i="6" s="1" a="1"/>
  <c r="O421" i="6" s="1"/>
  <c r="M421" i="6"/>
  <c r="N420" i="6"/>
  <c r="O420" i="6" s="1" a="1"/>
  <c r="O420" i="6" s="1"/>
  <c r="M420" i="6"/>
  <c r="N419" i="6"/>
  <c r="O419" i="6" s="1" a="1"/>
  <c r="O419" i="6" s="1"/>
  <c r="M419" i="6"/>
  <c r="N418" i="6"/>
  <c r="O418" i="6" s="1" a="1"/>
  <c r="O418" i="6" s="1"/>
  <c r="M418" i="6"/>
  <c r="N417" i="6"/>
  <c r="O417" i="6" s="1" a="1"/>
  <c r="O417" i="6" s="1"/>
  <c r="M417" i="6"/>
  <c r="N416" i="6"/>
  <c r="O416" i="6" s="1" a="1"/>
  <c r="O416" i="6" s="1"/>
  <c r="M416" i="6"/>
  <c r="N415" i="6"/>
  <c r="O415" i="6" s="1" a="1"/>
  <c r="O415" i="6" s="1"/>
  <c r="M415" i="6"/>
  <c r="N414" i="6"/>
  <c r="O414" i="6" s="1" a="1"/>
  <c r="O414" i="6" s="1"/>
  <c r="M414" i="6"/>
  <c r="N413" i="6"/>
  <c r="O413" i="6" s="1" a="1"/>
  <c r="O413" i="6" s="1"/>
  <c r="M413" i="6"/>
  <c r="N412" i="6"/>
  <c r="O412" i="6" s="1" a="1"/>
  <c r="O412" i="6" s="1"/>
  <c r="M412" i="6"/>
  <c r="N411" i="6"/>
  <c r="O411" i="6" s="1" a="1"/>
  <c r="O411" i="6" s="1"/>
  <c r="M411" i="6"/>
  <c r="N410" i="6"/>
  <c r="O410" i="6" s="1" a="1"/>
  <c r="O410" i="6" s="1"/>
  <c r="M410" i="6"/>
  <c r="N409" i="6"/>
  <c r="O409" i="6" s="1" a="1"/>
  <c r="O409" i="6" s="1"/>
  <c r="M409" i="6"/>
  <c r="N408" i="6"/>
  <c r="O408" i="6" s="1" a="1"/>
  <c r="O408" i="6" s="1"/>
  <c r="M408" i="6"/>
  <c r="N407" i="6"/>
  <c r="O407" i="6" s="1" a="1"/>
  <c r="O407" i="6" s="1"/>
  <c r="M407" i="6"/>
  <c r="N406" i="6"/>
  <c r="O406" i="6" s="1" a="1"/>
  <c r="O406" i="6" s="1"/>
  <c r="M406" i="6"/>
  <c r="N405" i="6"/>
  <c r="O405" i="6" s="1" a="1"/>
  <c r="O405" i="6" s="1"/>
  <c r="M405" i="6"/>
  <c r="N404" i="6"/>
  <c r="O404" i="6" s="1" a="1"/>
  <c r="O404" i="6" s="1"/>
  <c r="M404" i="6"/>
  <c r="N403" i="6"/>
  <c r="O403" i="6" s="1" a="1"/>
  <c r="O403" i="6" s="1"/>
  <c r="M403" i="6"/>
  <c r="N402" i="6"/>
  <c r="O402" i="6" s="1" a="1"/>
  <c r="O402" i="6" s="1"/>
  <c r="M402" i="6"/>
  <c r="N401" i="6"/>
  <c r="O401" i="6" s="1" a="1"/>
  <c r="O401" i="6" s="1"/>
  <c r="M401" i="6"/>
  <c r="N400" i="6"/>
  <c r="O400" i="6" s="1" a="1"/>
  <c r="O400" i="6" s="1"/>
  <c r="M400" i="6"/>
  <c r="N399" i="6"/>
  <c r="O399" i="6" s="1" a="1"/>
  <c r="O399" i="6" s="1"/>
  <c r="M399" i="6"/>
  <c r="N398" i="6"/>
  <c r="O398" i="6" s="1" a="1"/>
  <c r="O398" i="6" s="1"/>
  <c r="M398" i="6"/>
  <c r="N397" i="6"/>
  <c r="O397" i="6" s="1" a="1"/>
  <c r="O397" i="6" s="1"/>
  <c r="M397" i="6"/>
  <c r="N396" i="6"/>
  <c r="O396" i="6" s="1" a="1"/>
  <c r="O396" i="6" s="1"/>
  <c r="M396" i="6"/>
  <c r="N395" i="6"/>
  <c r="O395" i="6" s="1" a="1"/>
  <c r="O395" i="6" s="1"/>
  <c r="M395" i="6"/>
  <c r="N394" i="6"/>
  <c r="O394" i="6" s="1" a="1"/>
  <c r="O394" i="6" s="1"/>
  <c r="M394" i="6"/>
  <c r="N393" i="6"/>
  <c r="O393" i="6" s="1" a="1"/>
  <c r="O393" i="6" s="1"/>
  <c r="M393" i="6"/>
  <c r="N392" i="6"/>
  <c r="O392" i="6" s="1" a="1"/>
  <c r="O392" i="6" s="1"/>
  <c r="M392" i="6"/>
  <c r="N391" i="6"/>
  <c r="O391" i="6" s="1" a="1"/>
  <c r="O391" i="6" s="1"/>
  <c r="M391" i="6"/>
  <c r="N390" i="6"/>
  <c r="O390" i="6" s="1" a="1"/>
  <c r="O390" i="6" s="1"/>
  <c r="M390" i="6"/>
  <c r="N389" i="6"/>
  <c r="O389" i="6" s="1" a="1"/>
  <c r="O389" i="6" s="1"/>
  <c r="M389" i="6"/>
  <c r="N388" i="6"/>
  <c r="O388" i="6" s="1" a="1"/>
  <c r="O388" i="6" s="1"/>
  <c r="M388" i="6"/>
  <c r="N387" i="6"/>
  <c r="O387" i="6" s="1" a="1"/>
  <c r="O387" i="6" s="1"/>
  <c r="M387" i="6"/>
  <c r="N386" i="6"/>
  <c r="O386" i="6" s="1" a="1"/>
  <c r="O386" i="6" s="1"/>
  <c r="M386" i="6"/>
  <c r="N385" i="6"/>
  <c r="O385" i="6" s="1" a="1"/>
  <c r="O385" i="6" s="1"/>
  <c r="M385" i="6"/>
  <c r="N384" i="6"/>
  <c r="O384" i="6" s="1" a="1"/>
  <c r="O384" i="6" s="1"/>
  <c r="M384" i="6"/>
  <c r="N383" i="6"/>
  <c r="O383" i="6" s="1" a="1"/>
  <c r="O383" i="6" s="1"/>
  <c r="M383" i="6"/>
  <c r="N382" i="6"/>
  <c r="O382" i="6" s="1" a="1"/>
  <c r="O382" i="6" s="1"/>
  <c r="M382" i="6"/>
  <c r="N381" i="6"/>
  <c r="O381" i="6" s="1" a="1"/>
  <c r="O381" i="6" s="1"/>
  <c r="M381" i="6"/>
  <c r="N380" i="6"/>
  <c r="O380" i="6" s="1" a="1"/>
  <c r="O380" i="6" s="1"/>
  <c r="M380" i="6"/>
  <c r="N379" i="6"/>
  <c r="O379" i="6" s="1" a="1"/>
  <c r="O379" i="6" s="1"/>
  <c r="M379" i="6"/>
  <c r="N378" i="6"/>
  <c r="O378" i="6" s="1" a="1"/>
  <c r="O378" i="6" s="1"/>
  <c r="M378" i="6"/>
  <c r="N377" i="6"/>
  <c r="O377" i="6" s="1" a="1"/>
  <c r="O377" i="6" s="1"/>
  <c r="M377" i="6"/>
  <c r="N376" i="6"/>
  <c r="O376" i="6" s="1" a="1"/>
  <c r="O376" i="6" s="1"/>
  <c r="M376" i="6"/>
  <c r="N375" i="6"/>
  <c r="O375" i="6" s="1" a="1"/>
  <c r="O375" i="6" s="1"/>
  <c r="M375" i="6"/>
  <c r="N374" i="6"/>
  <c r="O374" i="6" s="1" a="1"/>
  <c r="O374" i="6" s="1"/>
  <c r="M374" i="6"/>
  <c r="N373" i="6"/>
  <c r="O373" i="6" s="1" a="1"/>
  <c r="O373" i="6" s="1"/>
  <c r="M373" i="6"/>
  <c r="N372" i="6"/>
  <c r="O372" i="6" s="1" a="1"/>
  <c r="O372" i="6" s="1"/>
  <c r="M372" i="6"/>
  <c r="N371" i="6"/>
  <c r="O371" i="6" s="1" a="1"/>
  <c r="O371" i="6" s="1"/>
  <c r="M371" i="6"/>
  <c r="N370" i="6"/>
  <c r="O370" i="6" s="1" a="1"/>
  <c r="O370" i="6" s="1"/>
  <c r="M370" i="6"/>
  <c r="N369" i="6"/>
  <c r="O369" i="6" s="1" a="1"/>
  <c r="O369" i="6" s="1"/>
  <c r="M369" i="6"/>
  <c r="N368" i="6"/>
  <c r="O368" i="6" s="1" a="1"/>
  <c r="O368" i="6" s="1"/>
  <c r="M368" i="6"/>
  <c r="N367" i="6"/>
  <c r="O367" i="6" s="1" a="1"/>
  <c r="O367" i="6" s="1"/>
  <c r="M367" i="6"/>
  <c r="N366" i="6"/>
  <c r="O366" i="6" s="1" a="1"/>
  <c r="O366" i="6" s="1"/>
  <c r="M366" i="6"/>
  <c r="N365" i="6"/>
  <c r="O365" i="6" s="1" a="1"/>
  <c r="O365" i="6" s="1"/>
  <c r="M365" i="6"/>
  <c r="N364" i="6"/>
  <c r="O364" i="6" s="1" a="1"/>
  <c r="O364" i="6" s="1"/>
  <c r="M364" i="6"/>
  <c r="N363" i="6"/>
  <c r="O363" i="6" s="1" a="1"/>
  <c r="O363" i="6" s="1"/>
  <c r="M363" i="6"/>
  <c r="N362" i="6"/>
  <c r="O362" i="6" s="1" a="1"/>
  <c r="O362" i="6" s="1"/>
  <c r="M362" i="6"/>
  <c r="N361" i="6"/>
  <c r="O361" i="6" s="1" a="1"/>
  <c r="O361" i="6" s="1"/>
  <c r="M361" i="6"/>
  <c r="N360" i="6"/>
  <c r="O360" i="6" s="1" a="1"/>
  <c r="O360" i="6" s="1"/>
  <c r="M360" i="6"/>
  <c r="N359" i="6"/>
  <c r="O359" i="6" s="1" a="1"/>
  <c r="O359" i="6" s="1"/>
  <c r="M359" i="6"/>
  <c r="N358" i="6"/>
  <c r="O358" i="6" s="1" a="1"/>
  <c r="O358" i="6" s="1"/>
  <c r="M358" i="6"/>
  <c r="N357" i="6"/>
  <c r="O357" i="6" s="1" a="1"/>
  <c r="O357" i="6" s="1"/>
  <c r="M357" i="6"/>
  <c r="N356" i="6"/>
  <c r="O356" i="6" s="1" a="1"/>
  <c r="O356" i="6" s="1"/>
  <c r="M356" i="6"/>
  <c r="N355" i="6"/>
  <c r="O355" i="6" s="1" a="1"/>
  <c r="O355" i="6" s="1"/>
  <c r="M355" i="6"/>
  <c r="N354" i="6"/>
  <c r="O354" i="6" s="1" a="1"/>
  <c r="O354" i="6" s="1"/>
  <c r="M354" i="6"/>
  <c r="N353" i="6"/>
  <c r="O353" i="6" s="1" a="1"/>
  <c r="O353" i="6" s="1"/>
  <c r="M353" i="6"/>
  <c r="N352" i="6"/>
  <c r="O352" i="6" s="1" a="1"/>
  <c r="O352" i="6" s="1"/>
  <c r="M352" i="6"/>
  <c r="N351" i="6"/>
  <c r="O351" i="6" s="1" a="1"/>
  <c r="O351" i="6" s="1"/>
  <c r="M351" i="6"/>
  <c r="N350" i="6"/>
  <c r="O350" i="6" s="1" a="1"/>
  <c r="O350" i="6" s="1"/>
  <c r="M350" i="6"/>
  <c r="N349" i="6"/>
  <c r="O349" i="6" s="1" a="1"/>
  <c r="O349" i="6" s="1"/>
  <c r="M349" i="6"/>
  <c r="N348" i="6"/>
  <c r="O348" i="6" s="1" a="1"/>
  <c r="O348" i="6" s="1"/>
  <c r="M348" i="6"/>
  <c r="N347" i="6"/>
  <c r="O347" i="6" s="1" a="1"/>
  <c r="O347" i="6" s="1"/>
  <c r="M347" i="6"/>
  <c r="N346" i="6"/>
  <c r="O346" i="6" s="1" a="1"/>
  <c r="O346" i="6" s="1"/>
  <c r="M346" i="6"/>
  <c r="N345" i="6"/>
  <c r="O345" i="6" s="1" a="1"/>
  <c r="O345" i="6" s="1"/>
  <c r="M345" i="6"/>
  <c r="N344" i="6"/>
  <c r="O344" i="6" s="1" a="1"/>
  <c r="O344" i="6" s="1"/>
  <c r="M344" i="6"/>
  <c r="N343" i="6"/>
  <c r="O343" i="6" s="1" a="1"/>
  <c r="O343" i="6" s="1"/>
  <c r="M343" i="6"/>
  <c r="N342" i="6"/>
  <c r="O342" i="6" s="1" a="1"/>
  <c r="O342" i="6" s="1"/>
  <c r="M342" i="6"/>
  <c r="N341" i="6"/>
  <c r="O341" i="6" s="1" a="1"/>
  <c r="O341" i="6" s="1"/>
  <c r="M341" i="6"/>
  <c r="N340" i="6"/>
  <c r="O340" i="6" s="1" a="1"/>
  <c r="O340" i="6" s="1"/>
  <c r="M340" i="6"/>
  <c r="N339" i="6"/>
  <c r="O339" i="6" s="1" a="1"/>
  <c r="O339" i="6" s="1"/>
  <c r="M339" i="6"/>
  <c r="N338" i="6"/>
  <c r="O338" i="6" s="1" a="1"/>
  <c r="O338" i="6" s="1"/>
  <c r="M338" i="6"/>
  <c r="N337" i="6"/>
  <c r="O337" i="6" s="1" a="1"/>
  <c r="O337" i="6" s="1"/>
  <c r="M337" i="6"/>
  <c r="N336" i="6"/>
  <c r="O336" i="6" s="1" a="1"/>
  <c r="O336" i="6" s="1"/>
  <c r="M336" i="6"/>
  <c r="N335" i="6"/>
  <c r="O335" i="6" s="1" a="1"/>
  <c r="O335" i="6" s="1"/>
  <c r="M335" i="6"/>
  <c r="N334" i="6"/>
  <c r="O334" i="6" s="1" a="1"/>
  <c r="O334" i="6" s="1"/>
  <c r="M334" i="6"/>
  <c r="N333" i="6"/>
  <c r="O333" i="6" s="1" a="1"/>
  <c r="O333" i="6" s="1"/>
  <c r="M333" i="6"/>
  <c r="N332" i="6"/>
  <c r="O332" i="6" s="1" a="1"/>
  <c r="O332" i="6" s="1"/>
  <c r="M332" i="6"/>
  <c r="N331" i="6"/>
  <c r="O331" i="6" s="1" a="1"/>
  <c r="O331" i="6" s="1"/>
  <c r="M331" i="6"/>
  <c r="N330" i="6"/>
  <c r="O330" i="6" s="1" a="1"/>
  <c r="O330" i="6" s="1"/>
  <c r="M330" i="6"/>
  <c r="N329" i="6"/>
  <c r="O329" i="6" s="1" a="1"/>
  <c r="O329" i="6" s="1"/>
  <c r="M329" i="6"/>
  <c r="N328" i="6"/>
  <c r="O328" i="6" s="1" a="1"/>
  <c r="O328" i="6" s="1"/>
  <c r="M328" i="6"/>
  <c r="N327" i="6"/>
  <c r="O327" i="6" s="1" a="1"/>
  <c r="O327" i="6" s="1"/>
  <c r="M327" i="6"/>
  <c r="N326" i="6"/>
  <c r="O326" i="6" s="1" a="1"/>
  <c r="O326" i="6" s="1"/>
  <c r="M326" i="6"/>
  <c r="N325" i="6"/>
  <c r="O325" i="6" s="1" a="1"/>
  <c r="O325" i="6" s="1"/>
  <c r="M325" i="6"/>
  <c r="N324" i="6"/>
  <c r="O324" i="6" s="1" a="1"/>
  <c r="O324" i="6" s="1"/>
  <c r="M324" i="6"/>
  <c r="N323" i="6"/>
  <c r="O323" i="6" s="1" a="1"/>
  <c r="O323" i="6" s="1"/>
  <c r="M323" i="6"/>
  <c r="N322" i="6"/>
  <c r="O322" i="6" s="1" a="1"/>
  <c r="O322" i="6" s="1"/>
  <c r="M322" i="6"/>
  <c r="N321" i="6"/>
  <c r="O321" i="6" s="1" a="1"/>
  <c r="O321" i="6" s="1"/>
  <c r="M321" i="6"/>
  <c r="N320" i="6"/>
  <c r="O320" i="6" s="1" a="1"/>
  <c r="O320" i="6" s="1"/>
  <c r="M320" i="6"/>
  <c r="N319" i="6"/>
  <c r="O319" i="6" s="1" a="1"/>
  <c r="O319" i="6" s="1"/>
  <c r="M319" i="6"/>
  <c r="N318" i="6"/>
  <c r="O318" i="6" s="1" a="1"/>
  <c r="O318" i="6" s="1"/>
  <c r="M318" i="6"/>
  <c r="N317" i="6"/>
  <c r="O317" i="6" s="1" a="1"/>
  <c r="O317" i="6" s="1"/>
  <c r="M317" i="6"/>
  <c r="N316" i="6"/>
  <c r="O316" i="6" s="1" a="1"/>
  <c r="O316" i="6" s="1"/>
  <c r="M316" i="6"/>
  <c r="N315" i="6"/>
  <c r="O315" i="6" s="1" a="1"/>
  <c r="O315" i="6" s="1"/>
  <c r="M315" i="6"/>
  <c r="N314" i="6"/>
  <c r="O314" i="6" s="1" a="1"/>
  <c r="O314" i="6" s="1"/>
  <c r="M314" i="6"/>
  <c r="N313" i="6"/>
  <c r="O313" i="6" s="1" a="1"/>
  <c r="O313" i="6" s="1"/>
  <c r="M313" i="6"/>
  <c r="N312" i="6"/>
  <c r="O312" i="6" s="1" a="1"/>
  <c r="O312" i="6" s="1"/>
  <c r="M312" i="6"/>
  <c r="N311" i="6"/>
  <c r="O311" i="6" s="1" a="1"/>
  <c r="O311" i="6" s="1"/>
  <c r="M311" i="6"/>
  <c r="N310" i="6"/>
  <c r="O310" i="6" s="1" a="1"/>
  <c r="O310" i="6" s="1"/>
  <c r="M310" i="6"/>
  <c r="N309" i="6"/>
  <c r="O309" i="6" s="1" a="1"/>
  <c r="O309" i="6" s="1"/>
  <c r="M309" i="6"/>
  <c r="N308" i="6"/>
  <c r="O308" i="6" s="1" a="1"/>
  <c r="O308" i="6" s="1"/>
  <c r="M308" i="6"/>
  <c r="N307" i="6"/>
  <c r="O307" i="6" s="1" a="1"/>
  <c r="O307" i="6" s="1"/>
  <c r="M307" i="6"/>
  <c r="N306" i="6"/>
  <c r="O306" i="6" s="1" a="1"/>
  <c r="O306" i="6" s="1"/>
  <c r="M306" i="6"/>
  <c r="N305" i="6"/>
  <c r="O305" i="6" s="1" a="1"/>
  <c r="O305" i="6" s="1"/>
  <c r="M305" i="6"/>
  <c r="N304" i="6"/>
  <c r="O304" i="6" s="1" a="1"/>
  <c r="O304" i="6" s="1"/>
  <c r="M304" i="6"/>
  <c r="N303" i="6"/>
  <c r="O303" i="6" s="1" a="1"/>
  <c r="O303" i="6" s="1"/>
  <c r="M303" i="6"/>
  <c r="N302" i="6"/>
  <c r="O302" i="6" s="1" a="1"/>
  <c r="O302" i="6" s="1"/>
  <c r="M302" i="6"/>
  <c r="N301" i="6"/>
  <c r="O301" i="6" s="1" a="1"/>
  <c r="O301" i="6" s="1"/>
  <c r="M301" i="6"/>
  <c r="N300" i="6"/>
  <c r="O300" i="6" s="1" a="1"/>
  <c r="O300" i="6" s="1"/>
  <c r="M300" i="6"/>
  <c r="N299" i="6"/>
  <c r="O299" i="6" s="1" a="1"/>
  <c r="O299" i="6" s="1"/>
  <c r="M299" i="6"/>
  <c r="N298" i="6"/>
  <c r="O298" i="6" s="1" a="1"/>
  <c r="O298" i="6" s="1"/>
  <c r="M298" i="6"/>
  <c r="N297" i="6"/>
  <c r="O297" i="6" s="1" a="1"/>
  <c r="O297" i="6" s="1"/>
  <c r="M297" i="6"/>
  <c r="N296" i="6"/>
  <c r="O296" i="6" s="1" a="1"/>
  <c r="O296" i="6" s="1"/>
  <c r="M296" i="6"/>
  <c r="N295" i="6"/>
  <c r="O295" i="6" s="1" a="1"/>
  <c r="O295" i="6" s="1"/>
  <c r="M295" i="6"/>
  <c r="N294" i="6"/>
  <c r="O294" i="6" s="1" a="1"/>
  <c r="O294" i="6" s="1"/>
  <c r="M294" i="6"/>
  <c r="N293" i="6"/>
  <c r="O293" i="6" s="1" a="1"/>
  <c r="O293" i="6" s="1"/>
  <c r="M293" i="6"/>
  <c r="N292" i="6"/>
  <c r="O292" i="6" s="1" a="1"/>
  <c r="O292" i="6" s="1"/>
  <c r="M292" i="6"/>
  <c r="N291" i="6"/>
  <c r="O291" i="6" s="1" a="1"/>
  <c r="O291" i="6" s="1"/>
  <c r="M291" i="6"/>
  <c r="N290" i="6"/>
  <c r="O290" i="6" s="1" a="1"/>
  <c r="O290" i="6" s="1"/>
  <c r="M290" i="6"/>
  <c r="N289" i="6"/>
  <c r="O289" i="6" s="1" a="1"/>
  <c r="O289" i="6" s="1"/>
  <c r="M289" i="6"/>
  <c r="N288" i="6"/>
  <c r="O288" i="6" s="1" a="1"/>
  <c r="O288" i="6" s="1"/>
  <c r="M288" i="6"/>
  <c r="N287" i="6"/>
  <c r="O287" i="6" s="1" a="1"/>
  <c r="O287" i="6" s="1"/>
  <c r="M287" i="6"/>
  <c r="N286" i="6"/>
  <c r="O286" i="6" s="1" a="1"/>
  <c r="O286" i="6" s="1"/>
  <c r="M286" i="6"/>
  <c r="N285" i="6"/>
  <c r="O285" i="6" s="1" a="1"/>
  <c r="O285" i="6" s="1"/>
  <c r="M285" i="6"/>
  <c r="N284" i="6"/>
  <c r="O284" i="6" s="1" a="1"/>
  <c r="O284" i="6" s="1"/>
  <c r="M284" i="6"/>
  <c r="N283" i="6"/>
  <c r="O283" i="6" s="1" a="1"/>
  <c r="O283" i="6" s="1"/>
  <c r="M283" i="6"/>
  <c r="N282" i="6"/>
  <c r="O282" i="6" s="1" a="1"/>
  <c r="O282" i="6" s="1"/>
  <c r="M282" i="6"/>
  <c r="N281" i="6"/>
  <c r="O281" i="6" s="1" a="1"/>
  <c r="O281" i="6" s="1"/>
  <c r="M281" i="6"/>
  <c r="N280" i="6"/>
  <c r="O280" i="6" s="1" a="1"/>
  <c r="O280" i="6" s="1"/>
  <c r="M280" i="6"/>
  <c r="N279" i="6"/>
  <c r="O279" i="6" s="1" a="1"/>
  <c r="O279" i="6" s="1"/>
  <c r="M279" i="6"/>
  <c r="N278" i="6"/>
  <c r="O278" i="6" s="1" a="1"/>
  <c r="O278" i="6" s="1"/>
  <c r="M278" i="6"/>
  <c r="N277" i="6"/>
  <c r="O277" i="6" s="1" a="1"/>
  <c r="O277" i="6" s="1"/>
  <c r="M277" i="6"/>
  <c r="N276" i="6"/>
  <c r="O276" i="6" s="1" a="1"/>
  <c r="O276" i="6" s="1"/>
  <c r="M276" i="6"/>
  <c r="N275" i="6"/>
  <c r="O275" i="6" s="1" a="1"/>
  <c r="O275" i="6" s="1"/>
  <c r="M275" i="6"/>
  <c r="N274" i="6"/>
  <c r="O274" i="6" s="1" a="1"/>
  <c r="O274" i="6" s="1"/>
  <c r="M274" i="6"/>
  <c r="N273" i="6"/>
  <c r="O273" i="6" s="1" a="1"/>
  <c r="O273" i="6" s="1"/>
  <c r="M273" i="6"/>
  <c r="N272" i="6"/>
  <c r="O272" i="6" s="1" a="1"/>
  <c r="O272" i="6" s="1"/>
  <c r="M272" i="6"/>
  <c r="N271" i="6"/>
  <c r="O271" i="6" s="1" a="1"/>
  <c r="O271" i="6" s="1"/>
  <c r="M271" i="6"/>
  <c r="N270" i="6"/>
  <c r="O270" i="6" s="1" a="1"/>
  <c r="O270" i="6" s="1"/>
  <c r="M270" i="6"/>
  <c r="N269" i="6"/>
  <c r="O269" i="6" s="1" a="1"/>
  <c r="O269" i="6" s="1"/>
  <c r="M269" i="6"/>
  <c r="N268" i="6"/>
  <c r="O268" i="6" s="1" a="1"/>
  <c r="O268" i="6" s="1"/>
  <c r="M268" i="6"/>
  <c r="N267" i="6"/>
  <c r="O267" i="6" s="1" a="1"/>
  <c r="O267" i="6" s="1"/>
  <c r="M267" i="6"/>
  <c r="N266" i="6"/>
  <c r="O266" i="6" s="1" a="1"/>
  <c r="O266" i="6" s="1"/>
  <c r="M266" i="6"/>
  <c r="N265" i="6"/>
  <c r="O265" i="6" s="1" a="1"/>
  <c r="O265" i="6" s="1"/>
  <c r="M265" i="6"/>
  <c r="N264" i="6"/>
  <c r="O264" i="6" s="1" a="1"/>
  <c r="O264" i="6" s="1"/>
  <c r="M264" i="6"/>
  <c r="N263" i="6"/>
  <c r="O263" i="6" s="1" a="1"/>
  <c r="O263" i="6" s="1"/>
  <c r="M263" i="6"/>
  <c r="N262" i="6"/>
  <c r="O262" i="6" s="1" a="1"/>
  <c r="O262" i="6" s="1"/>
  <c r="M262" i="6"/>
  <c r="N261" i="6"/>
  <c r="O261" i="6" s="1" a="1"/>
  <c r="O261" i="6" s="1"/>
  <c r="M261" i="6"/>
  <c r="N260" i="6"/>
  <c r="O260" i="6" s="1" a="1"/>
  <c r="O260" i="6" s="1"/>
  <c r="M260" i="6"/>
  <c r="N259" i="6"/>
  <c r="O259" i="6" s="1" a="1"/>
  <c r="O259" i="6" s="1"/>
  <c r="M259" i="6"/>
  <c r="N258" i="6"/>
  <c r="O258" i="6" s="1" a="1"/>
  <c r="O258" i="6" s="1"/>
  <c r="M258" i="6"/>
  <c r="N257" i="6"/>
  <c r="O257" i="6" s="1" a="1"/>
  <c r="O257" i="6" s="1"/>
  <c r="M257" i="6"/>
  <c r="N256" i="6"/>
  <c r="O256" i="6" s="1" a="1"/>
  <c r="O256" i="6" s="1"/>
  <c r="M256" i="6"/>
  <c r="N255" i="6"/>
  <c r="O255" i="6" s="1" a="1"/>
  <c r="O255" i="6" s="1"/>
  <c r="M255" i="6"/>
  <c r="N254" i="6"/>
  <c r="O254" i="6" s="1" a="1"/>
  <c r="O254" i="6" s="1"/>
  <c r="M254" i="6"/>
  <c r="N253" i="6"/>
  <c r="O253" i="6" s="1" a="1"/>
  <c r="O253" i="6" s="1"/>
  <c r="M253" i="6"/>
  <c r="N252" i="6"/>
  <c r="O252" i="6" s="1" a="1"/>
  <c r="O252" i="6" s="1"/>
  <c r="M252" i="6"/>
  <c r="N251" i="6"/>
  <c r="O251" i="6" s="1" a="1"/>
  <c r="O251" i="6" s="1"/>
  <c r="M251" i="6"/>
  <c r="N250" i="6"/>
  <c r="O250" i="6" s="1" a="1"/>
  <c r="O250" i="6" s="1"/>
  <c r="M250" i="6"/>
  <c r="N249" i="6"/>
  <c r="O249" i="6" s="1" a="1"/>
  <c r="O249" i="6" s="1"/>
  <c r="M249" i="6"/>
  <c r="N248" i="6"/>
  <c r="O248" i="6" s="1" a="1"/>
  <c r="O248" i="6" s="1"/>
  <c r="M248" i="6"/>
  <c r="N247" i="6"/>
  <c r="O247" i="6" s="1" a="1"/>
  <c r="O247" i="6" s="1"/>
  <c r="M247" i="6"/>
  <c r="N246" i="6"/>
  <c r="O246" i="6" s="1" a="1"/>
  <c r="O246" i="6" s="1"/>
  <c r="M246" i="6"/>
  <c r="N245" i="6"/>
  <c r="O245" i="6" s="1" a="1"/>
  <c r="O245" i="6" s="1"/>
  <c r="M245" i="6"/>
  <c r="N244" i="6"/>
  <c r="O244" i="6" s="1" a="1"/>
  <c r="O244" i="6" s="1"/>
  <c r="M244" i="6"/>
  <c r="N243" i="6"/>
  <c r="O243" i="6" s="1" a="1"/>
  <c r="O243" i="6" s="1"/>
  <c r="M243" i="6"/>
  <c r="N242" i="6"/>
  <c r="O242" i="6" s="1" a="1"/>
  <c r="O242" i="6" s="1"/>
  <c r="M242" i="6"/>
  <c r="N241" i="6"/>
  <c r="O241" i="6" s="1" a="1"/>
  <c r="O241" i="6" s="1"/>
  <c r="M241" i="6"/>
  <c r="N240" i="6"/>
  <c r="O240" i="6" s="1" a="1"/>
  <c r="O240" i="6" s="1"/>
  <c r="M240" i="6"/>
  <c r="N239" i="6"/>
  <c r="O239" i="6" s="1" a="1"/>
  <c r="O239" i="6" s="1"/>
  <c r="M239" i="6"/>
  <c r="N238" i="6"/>
  <c r="O238" i="6" s="1" a="1"/>
  <c r="O238" i="6" s="1"/>
  <c r="M238" i="6"/>
  <c r="N237" i="6"/>
  <c r="O237" i="6" s="1" a="1"/>
  <c r="O237" i="6" s="1"/>
  <c r="M237" i="6"/>
  <c r="N236" i="6"/>
  <c r="O236" i="6" s="1" a="1"/>
  <c r="O236" i="6" s="1"/>
  <c r="M236" i="6"/>
  <c r="N235" i="6"/>
  <c r="O235" i="6" s="1" a="1"/>
  <c r="O235" i="6" s="1"/>
  <c r="M235" i="6"/>
  <c r="N234" i="6"/>
  <c r="O234" i="6" s="1" a="1"/>
  <c r="O234" i="6" s="1"/>
  <c r="M234" i="6"/>
  <c r="N233" i="6"/>
  <c r="O233" i="6" s="1" a="1"/>
  <c r="O233" i="6" s="1"/>
  <c r="M233" i="6"/>
  <c r="N232" i="6"/>
  <c r="O232" i="6" s="1" a="1"/>
  <c r="O232" i="6" s="1"/>
  <c r="M232" i="6"/>
  <c r="N231" i="6"/>
  <c r="O231" i="6" s="1" a="1"/>
  <c r="O231" i="6" s="1"/>
  <c r="M231" i="6"/>
  <c r="N230" i="6"/>
  <c r="O230" i="6" s="1" a="1"/>
  <c r="O230" i="6" s="1"/>
  <c r="M230" i="6"/>
  <c r="N229" i="6"/>
  <c r="O229" i="6" s="1" a="1"/>
  <c r="O229" i="6" s="1"/>
  <c r="M229" i="6"/>
  <c r="N228" i="6"/>
  <c r="O228" i="6" s="1" a="1"/>
  <c r="O228" i="6" s="1"/>
  <c r="M228" i="6"/>
  <c r="N227" i="6"/>
  <c r="O227" i="6" s="1" a="1"/>
  <c r="O227" i="6" s="1"/>
  <c r="M227" i="6"/>
  <c r="N226" i="6"/>
  <c r="O226" i="6" s="1" a="1"/>
  <c r="O226" i="6" s="1"/>
  <c r="M226" i="6"/>
  <c r="N225" i="6"/>
  <c r="O225" i="6" s="1" a="1"/>
  <c r="O225" i="6" s="1"/>
  <c r="M225" i="6"/>
  <c r="N224" i="6"/>
  <c r="O224" i="6" s="1" a="1"/>
  <c r="O224" i="6" s="1"/>
  <c r="M224" i="6"/>
  <c r="N223" i="6"/>
  <c r="O223" i="6" s="1" a="1"/>
  <c r="O223" i="6" s="1"/>
  <c r="M223" i="6"/>
  <c r="N222" i="6"/>
  <c r="O222" i="6" s="1" a="1"/>
  <c r="O222" i="6" s="1"/>
  <c r="M222" i="6"/>
  <c r="N221" i="6"/>
  <c r="O221" i="6" s="1" a="1"/>
  <c r="O221" i="6" s="1"/>
  <c r="M221" i="6"/>
  <c r="N220" i="6"/>
  <c r="O220" i="6" s="1" a="1"/>
  <c r="O220" i="6" s="1"/>
  <c r="M220" i="6"/>
  <c r="N219" i="6"/>
  <c r="O219" i="6" s="1" a="1"/>
  <c r="O219" i="6" s="1"/>
  <c r="M219" i="6"/>
  <c r="N218" i="6"/>
  <c r="O218" i="6" s="1" a="1"/>
  <c r="O218" i="6" s="1"/>
  <c r="M218" i="6"/>
  <c r="N217" i="6"/>
  <c r="O217" i="6" s="1" a="1"/>
  <c r="O217" i="6" s="1"/>
  <c r="M217" i="6"/>
  <c r="N216" i="6"/>
  <c r="O216" i="6" s="1" a="1"/>
  <c r="O216" i="6" s="1"/>
  <c r="M216" i="6"/>
  <c r="N215" i="6"/>
  <c r="O215" i="6" s="1" a="1"/>
  <c r="O215" i="6" s="1"/>
  <c r="M215" i="6"/>
  <c r="N214" i="6"/>
  <c r="O214" i="6" s="1" a="1"/>
  <c r="O214" i="6" s="1"/>
  <c r="M214" i="6"/>
  <c r="N213" i="6"/>
  <c r="O213" i="6" s="1" a="1"/>
  <c r="O213" i="6" s="1"/>
  <c r="M213" i="6"/>
  <c r="N212" i="6"/>
  <c r="O212" i="6" s="1" a="1"/>
  <c r="O212" i="6" s="1"/>
  <c r="M212" i="6"/>
  <c r="N211" i="6"/>
  <c r="O211" i="6" s="1" a="1"/>
  <c r="O211" i="6" s="1"/>
  <c r="M211" i="6"/>
  <c r="N210" i="6"/>
  <c r="O210" i="6" s="1" a="1"/>
  <c r="O210" i="6" s="1"/>
  <c r="M210" i="6"/>
  <c r="N209" i="6"/>
  <c r="O209" i="6" s="1" a="1"/>
  <c r="O209" i="6" s="1"/>
  <c r="M209" i="6"/>
  <c r="N208" i="6"/>
  <c r="O208" i="6" s="1" a="1"/>
  <c r="O208" i="6" s="1"/>
  <c r="M208" i="6"/>
  <c r="N207" i="6"/>
  <c r="O207" i="6" s="1" a="1"/>
  <c r="O207" i="6" s="1"/>
  <c r="M207" i="6"/>
  <c r="N206" i="6"/>
  <c r="O206" i="6" s="1" a="1"/>
  <c r="O206" i="6" s="1"/>
  <c r="M206" i="6"/>
  <c r="N205" i="6"/>
  <c r="O205" i="6" s="1" a="1"/>
  <c r="O205" i="6" s="1"/>
  <c r="M205" i="6"/>
  <c r="N204" i="6"/>
  <c r="O204" i="6" s="1" a="1"/>
  <c r="O204" i="6" s="1"/>
  <c r="M204" i="6"/>
  <c r="N203" i="6"/>
  <c r="O203" i="6" s="1" a="1"/>
  <c r="O203" i="6" s="1"/>
  <c r="M203" i="6"/>
  <c r="N202" i="6"/>
  <c r="O202" i="6" s="1" a="1"/>
  <c r="O202" i="6" s="1"/>
  <c r="M202" i="6"/>
  <c r="N201" i="6"/>
  <c r="O201" i="6" s="1" a="1"/>
  <c r="O201" i="6" s="1"/>
  <c r="M201" i="6"/>
  <c r="N200" i="6"/>
  <c r="O200" i="6" s="1" a="1"/>
  <c r="O200" i="6" s="1"/>
  <c r="M200" i="6"/>
  <c r="N199" i="6"/>
  <c r="O199" i="6" s="1" a="1"/>
  <c r="O199" i="6" s="1"/>
  <c r="M199" i="6"/>
  <c r="N198" i="6"/>
  <c r="O198" i="6" s="1" a="1"/>
  <c r="O198" i="6" s="1"/>
  <c r="M198" i="6"/>
  <c r="N197" i="6"/>
  <c r="O197" i="6" s="1" a="1"/>
  <c r="O197" i="6" s="1"/>
  <c r="M197" i="6"/>
  <c r="N196" i="6"/>
  <c r="O196" i="6" s="1" a="1"/>
  <c r="O196" i="6" s="1"/>
  <c r="M196" i="6"/>
  <c r="N195" i="6"/>
  <c r="O195" i="6" s="1" a="1"/>
  <c r="O195" i="6" s="1"/>
  <c r="M195" i="6"/>
  <c r="N194" i="6"/>
  <c r="O194" i="6" s="1" a="1"/>
  <c r="O194" i="6" s="1"/>
  <c r="M194" i="6"/>
  <c r="N193" i="6"/>
  <c r="O193" i="6" s="1" a="1"/>
  <c r="O193" i="6" s="1"/>
  <c r="M193" i="6"/>
  <c r="N192" i="6"/>
  <c r="O192" i="6" s="1" a="1"/>
  <c r="O192" i="6" s="1"/>
  <c r="M192" i="6"/>
  <c r="N191" i="6"/>
  <c r="O191" i="6" s="1" a="1"/>
  <c r="O191" i="6" s="1"/>
  <c r="M191" i="6"/>
  <c r="N190" i="6"/>
  <c r="O190" i="6" s="1" a="1"/>
  <c r="O190" i="6" s="1"/>
  <c r="M190" i="6"/>
  <c r="N189" i="6"/>
  <c r="O189" i="6" s="1" a="1"/>
  <c r="O189" i="6" s="1"/>
  <c r="M189" i="6"/>
  <c r="N188" i="6"/>
  <c r="O188" i="6" s="1" a="1"/>
  <c r="O188" i="6" s="1"/>
  <c r="M188" i="6"/>
  <c r="N187" i="6"/>
  <c r="O187" i="6" s="1" a="1"/>
  <c r="O187" i="6" s="1"/>
  <c r="M187" i="6"/>
  <c r="N186" i="6"/>
  <c r="O186" i="6" s="1" a="1"/>
  <c r="O186" i="6" s="1"/>
  <c r="M186" i="6"/>
  <c r="N185" i="6"/>
  <c r="O185" i="6" s="1" a="1"/>
  <c r="O185" i="6" s="1"/>
  <c r="M185" i="6"/>
  <c r="N184" i="6"/>
  <c r="O184" i="6" s="1" a="1"/>
  <c r="O184" i="6" s="1"/>
  <c r="M184" i="6"/>
  <c r="N183" i="6"/>
  <c r="O183" i="6" s="1" a="1"/>
  <c r="O183" i="6" s="1"/>
  <c r="M183" i="6"/>
  <c r="N182" i="6"/>
  <c r="O182" i="6" s="1" a="1"/>
  <c r="O182" i="6" s="1"/>
  <c r="M182" i="6"/>
  <c r="N181" i="6"/>
  <c r="O181" i="6" s="1" a="1"/>
  <c r="O181" i="6" s="1"/>
  <c r="M181" i="6"/>
  <c r="N180" i="6"/>
  <c r="O180" i="6" s="1" a="1"/>
  <c r="O180" i="6" s="1"/>
  <c r="M180" i="6"/>
  <c r="N179" i="6"/>
  <c r="O179" i="6" s="1" a="1"/>
  <c r="O179" i="6" s="1"/>
  <c r="M179" i="6"/>
  <c r="N178" i="6"/>
  <c r="O178" i="6" s="1" a="1"/>
  <c r="O178" i="6" s="1"/>
  <c r="M178" i="6"/>
  <c r="N177" i="6"/>
  <c r="O177" i="6" s="1" a="1"/>
  <c r="O177" i="6" s="1"/>
  <c r="M177" i="6"/>
  <c r="N176" i="6"/>
  <c r="O176" i="6" s="1" a="1"/>
  <c r="O176" i="6" s="1"/>
  <c r="M176" i="6"/>
  <c r="N175" i="6"/>
  <c r="O175" i="6" s="1" a="1"/>
  <c r="O175" i="6" s="1"/>
  <c r="M175" i="6"/>
  <c r="N174" i="6"/>
  <c r="O174" i="6" s="1" a="1"/>
  <c r="O174" i="6" s="1"/>
  <c r="M174" i="6"/>
  <c r="N173" i="6"/>
  <c r="O173" i="6" s="1" a="1"/>
  <c r="O173" i="6" s="1"/>
  <c r="M173" i="6"/>
  <c r="N172" i="6"/>
  <c r="O172" i="6" s="1" a="1"/>
  <c r="O172" i="6" s="1"/>
  <c r="M172" i="6"/>
  <c r="N171" i="6"/>
  <c r="O171" i="6" s="1" a="1"/>
  <c r="O171" i="6" s="1"/>
  <c r="M171" i="6"/>
  <c r="N170" i="6"/>
  <c r="O170" i="6" s="1" a="1"/>
  <c r="O170" i="6" s="1"/>
  <c r="M170" i="6"/>
  <c r="N169" i="6"/>
  <c r="O169" i="6" s="1" a="1"/>
  <c r="O169" i="6" s="1"/>
  <c r="M169" i="6"/>
  <c r="N168" i="6"/>
  <c r="O168" i="6" s="1" a="1"/>
  <c r="O168" i="6" s="1"/>
  <c r="M168" i="6"/>
  <c r="N167" i="6"/>
  <c r="O167" i="6" s="1" a="1"/>
  <c r="O167" i="6" s="1"/>
  <c r="M167" i="6"/>
  <c r="N166" i="6"/>
  <c r="O166" i="6" s="1" a="1"/>
  <c r="O166" i="6" s="1"/>
  <c r="M166" i="6"/>
  <c r="N165" i="6"/>
  <c r="O165" i="6" s="1" a="1"/>
  <c r="O165" i="6" s="1"/>
  <c r="M165" i="6"/>
  <c r="N164" i="6"/>
  <c r="O164" i="6" s="1" a="1"/>
  <c r="O164" i="6" s="1"/>
  <c r="M164" i="6"/>
  <c r="N163" i="6"/>
  <c r="O163" i="6" s="1" a="1"/>
  <c r="O163" i="6" s="1"/>
  <c r="M163" i="6"/>
  <c r="N162" i="6"/>
  <c r="O162" i="6" s="1" a="1"/>
  <c r="O162" i="6" s="1"/>
  <c r="M162" i="6"/>
  <c r="N161" i="6"/>
  <c r="O161" i="6" s="1" a="1"/>
  <c r="O161" i="6" s="1"/>
  <c r="M161" i="6"/>
  <c r="N160" i="6"/>
  <c r="O160" i="6" s="1" a="1"/>
  <c r="O160" i="6" s="1"/>
  <c r="M160" i="6"/>
  <c r="N159" i="6"/>
  <c r="O159" i="6" s="1" a="1"/>
  <c r="O159" i="6" s="1"/>
  <c r="M159" i="6"/>
  <c r="N158" i="6"/>
  <c r="O158" i="6" s="1" a="1"/>
  <c r="O158" i="6" s="1"/>
  <c r="M158" i="6"/>
  <c r="N157" i="6"/>
  <c r="O157" i="6" s="1" a="1"/>
  <c r="O157" i="6" s="1"/>
  <c r="M157" i="6"/>
  <c r="N156" i="6"/>
  <c r="O156" i="6" s="1" a="1"/>
  <c r="O156" i="6" s="1"/>
  <c r="M156" i="6"/>
  <c r="N155" i="6"/>
  <c r="O155" i="6" s="1" a="1"/>
  <c r="O155" i="6" s="1"/>
  <c r="M155" i="6"/>
  <c r="N154" i="6"/>
  <c r="O154" i="6" s="1" a="1"/>
  <c r="O154" i="6" s="1"/>
  <c r="M154" i="6"/>
  <c r="N153" i="6"/>
  <c r="O153" i="6" s="1" a="1"/>
  <c r="O153" i="6" s="1"/>
  <c r="M153" i="6"/>
  <c r="N152" i="6"/>
  <c r="O152" i="6" s="1" a="1"/>
  <c r="O152" i="6" s="1"/>
  <c r="M152" i="6"/>
  <c r="N151" i="6"/>
  <c r="O151" i="6" s="1" a="1"/>
  <c r="O151" i="6" s="1"/>
  <c r="M151" i="6"/>
  <c r="N150" i="6"/>
  <c r="O150" i="6" s="1" a="1"/>
  <c r="O150" i="6" s="1"/>
  <c r="M150" i="6"/>
  <c r="N149" i="6"/>
  <c r="O149" i="6" s="1" a="1"/>
  <c r="O149" i="6" s="1"/>
  <c r="M149" i="6"/>
  <c r="N148" i="6"/>
  <c r="O148" i="6" s="1" a="1"/>
  <c r="O148" i="6" s="1"/>
  <c r="M148" i="6"/>
  <c r="N147" i="6"/>
  <c r="O147" i="6" s="1" a="1"/>
  <c r="O147" i="6" s="1"/>
  <c r="M147" i="6"/>
  <c r="N146" i="6"/>
  <c r="O146" i="6" s="1" a="1"/>
  <c r="O146" i="6" s="1"/>
  <c r="M146" i="6"/>
  <c r="N145" i="6"/>
  <c r="O145" i="6" s="1" a="1"/>
  <c r="O145" i="6" s="1"/>
  <c r="M145" i="6"/>
  <c r="N144" i="6"/>
  <c r="O144" i="6" s="1" a="1"/>
  <c r="O144" i="6" s="1"/>
  <c r="M144" i="6"/>
  <c r="N143" i="6"/>
  <c r="O143" i="6" s="1" a="1"/>
  <c r="O143" i="6" s="1"/>
  <c r="M143" i="6"/>
  <c r="N142" i="6"/>
  <c r="O142" i="6" s="1" a="1"/>
  <c r="O142" i="6" s="1"/>
  <c r="M142" i="6"/>
  <c r="N141" i="6"/>
  <c r="O141" i="6" s="1" a="1"/>
  <c r="O141" i="6" s="1"/>
  <c r="M141" i="6"/>
  <c r="N140" i="6"/>
  <c r="O140" i="6" s="1" a="1"/>
  <c r="O140" i="6" s="1"/>
  <c r="M140" i="6"/>
  <c r="N139" i="6"/>
  <c r="O139" i="6" s="1" a="1"/>
  <c r="O139" i="6" s="1"/>
  <c r="M139" i="6"/>
  <c r="N138" i="6"/>
  <c r="O138" i="6" s="1" a="1"/>
  <c r="O138" i="6" s="1"/>
  <c r="M138" i="6"/>
  <c r="N137" i="6"/>
  <c r="O137" i="6" s="1" a="1"/>
  <c r="O137" i="6" s="1"/>
  <c r="M137" i="6"/>
  <c r="N136" i="6"/>
  <c r="O136" i="6" s="1" a="1"/>
  <c r="O136" i="6" s="1"/>
  <c r="M136" i="6"/>
  <c r="N135" i="6"/>
  <c r="O135" i="6" s="1" a="1"/>
  <c r="O135" i="6" s="1"/>
  <c r="M135" i="6"/>
  <c r="N134" i="6"/>
  <c r="O134" i="6" s="1" a="1"/>
  <c r="O134" i="6" s="1"/>
  <c r="M134" i="6"/>
  <c r="N133" i="6"/>
  <c r="O133" i="6" s="1" a="1"/>
  <c r="O133" i="6" s="1"/>
  <c r="M133" i="6"/>
  <c r="N132" i="6"/>
  <c r="O132" i="6" s="1" a="1"/>
  <c r="O132" i="6" s="1"/>
  <c r="M132" i="6"/>
  <c r="N131" i="6"/>
  <c r="O131" i="6" s="1" a="1"/>
  <c r="O131" i="6" s="1"/>
  <c r="M131" i="6"/>
  <c r="N130" i="6"/>
  <c r="O130" i="6" s="1" a="1"/>
  <c r="O130" i="6" s="1"/>
  <c r="M130" i="6"/>
  <c r="N129" i="6"/>
  <c r="O129" i="6" s="1" a="1"/>
  <c r="O129" i="6" s="1"/>
  <c r="M129" i="6"/>
  <c r="N128" i="6"/>
  <c r="O128" i="6" s="1" a="1"/>
  <c r="O128" i="6" s="1"/>
  <c r="M128" i="6"/>
  <c r="N127" i="6"/>
  <c r="O127" i="6" s="1" a="1"/>
  <c r="O127" i="6" s="1"/>
  <c r="M127" i="6"/>
  <c r="N126" i="6"/>
  <c r="O126" i="6" s="1" a="1"/>
  <c r="O126" i="6" s="1"/>
  <c r="M126" i="6"/>
  <c r="N125" i="6"/>
  <c r="O125" i="6" s="1" a="1"/>
  <c r="O125" i="6" s="1"/>
  <c r="M125" i="6"/>
  <c r="N124" i="6"/>
  <c r="O124" i="6" s="1" a="1"/>
  <c r="O124" i="6" s="1"/>
  <c r="M124" i="6"/>
  <c r="N123" i="6"/>
  <c r="O123" i="6" s="1" a="1"/>
  <c r="O123" i="6" s="1"/>
  <c r="M123" i="6"/>
  <c r="N122" i="6"/>
  <c r="O122" i="6" s="1" a="1"/>
  <c r="O122" i="6" s="1"/>
  <c r="M122" i="6"/>
  <c r="N121" i="6"/>
  <c r="O121" i="6" s="1" a="1"/>
  <c r="O121" i="6" s="1"/>
  <c r="M121" i="6"/>
  <c r="N120" i="6"/>
  <c r="O120" i="6" s="1" a="1"/>
  <c r="O120" i="6" s="1"/>
  <c r="M120" i="6"/>
  <c r="N119" i="6"/>
  <c r="O119" i="6" s="1" a="1"/>
  <c r="O119" i="6" s="1"/>
  <c r="M119" i="6"/>
  <c r="N118" i="6"/>
  <c r="O118" i="6" s="1" a="1"/>
  <c r="O118" i="6" s="1"/>
  <c r="M118" i="6"/>
  <c r="N117" i="6"/>
  <c r="O117" i="6" s="1" a="1"/>
  <c r="O117" i="6" s="1"/>
  <c r="M117" i="6"/>
  <c r="N116" i="6"/>
  <c r="O116" i="6" s="1" a="1"/>
  <c r="O116" i="6" s="1"/>
  <c r="M116" i="6"/>
  <c r="N115" i="6"/>
  <c r="O115" i="6" s="1" a="1"/>
  <c r="O115" i="6" s="1"/>
  <c r="M115" i="6"/>
  <c r="N114" i="6"/>
  <c r="O114" i="6" s="1" a="1"/>
  <c r="O114" i="6" s="1"/>
  <c r="M114" i="6"/>
  <c r="N113" i="6"/>
  <c r="O113" i="6" s="1" a="1"/>
  <c r="O113" i="6" s="1"/>
  <c r="M113" i="6"/>
  <c r="N112" i="6"/>
  <c r="O112" i="6" s="1" a="1"/>
  <c r="O112" i="6" s="1"/>
  <c r="M112" i="6"/>
  <c r="N111" i="6"/>
  <c r="O111" i="6" s="1" a="1"/>
  <c r="O111" i="6" s="1"/>
  <c r="M111" i="6"/>
  <c r="N110" i="6"/>
  <c r="O110" i="6" s="1" a="1"/>
  <c r="O110" i="6" s="1"/>
  <c r="M110" i="6"/>
  <c r="N109" i="6"/>
  <c r="O109" i="6" s="1" a="1"/>
  <c r="O109" i="6" s="1"/>
  <c r="M109" i="6"/>
  <c r="N108" i="6"/>
  <c r="O108" i="6" s="1" a="1"/>
  <c r="O108" i="6" s="1"/>
  <c r="M108" i="6"/>
  <c r="N107" i="6"/>
  <c r="O107" i="6" s="1" a="1"/>
  <c r="O107" i="6" s="1"/>
  <c r="M107" i="6"/>
  <c r="N106" i="6"/>
  <c r="O106" i="6" s="1" a="1"/>
  <c r="O106" i="6" s="1"/>
  <c r="M106" i="6"/>
  <c r="N105" i="6"/>
  <c r="O105" i="6" s="1" a="1"/>
  <c r="O105" i="6" s="1"/>
  <c r="M105" i="6"/>
  <c r="N104" i="6"/>
  <c r="O104" i="6" s="1" a="1"/>
  <c r="O104" i="6" s="1"/>
  <c r="M104" i="6"/>
  <c r="N103" i="6"/>
  <c r="O103" i="6" s="1" a="1"/>
  <c r="O103" i="6" s="1"/>
  <c r="M103" i="6"/>
  <c r="N102" i="6"/>
  <c r="O102" i="6" s="1" a="1"/>
  <c r="O102" i="6" s="1"/>
  <c r="M102" i="6"/>
  <c r="N101" i="6"/>
  <c r="O101" i="6" s="1" a="1"/>
  <c r="O101" i="6" s="1"/>
  <c r="M101" i="6"/>
  <c r="N100" i="6"/>
  <c r="O100" i="6" s="1" a="1"/>
  <c r="O100" i="6" s="1"/>
  <c r="M100" i="6"/>
  <c r="N99" i="6"/>
  <c r="O99" i="6" s="1" a="1"/>
  <c r="O99" i="6" s="1"/>
  <c r="M99" i="6"/>
  <c r="N98" i="6"/>
  <c r="O98" i="6" s="1" a="1"/>
  <c r="O98" i="6" s="1"/>
  <c r="M98" i="6"/>
  <c r="N97" i="6"/>
  <c r="O97" i="6" s="1" a="1"/>
  <c r="O97" i="6" s="1"/>
  <c r="M97" i="6"/>
  <c r="N96" i="6"/>
  <c r="O96" i="6" s="1" a="1"/>
  <c r="O96" i="6" s="1"/>
  <c r="M96" i="6"/>
  <c r="N95" i="6"/>
  <c r="O95" i="6" s="1" a="1"/>
  <c r="O95" i="6" s="1"/>
  <c r="M95" i="6"/>
  <c r="N94" i="6"/>
  <c r="O94" i="6" s="1" a="1"/>
  <c r="O94" i="6" s="1"/>
  <c r="M94" i="6"/>
  <c r="N93" i="6"/>
  <c r="O93" i="6" s="1" a="1"/>
  <c r="O93" i="6" s="1"/>
  <c r="M93" i="6"/>
  <c r="N92" i="6"/>
  <c r="O92" i="6" s="1" a="1"/>
  <c r="O92" i="6" s="1"/>
  <c r="M92" i="6"/>
  <c r="N91" i="6"/>
  <c r="O91" i="6" s="1" a="1"/>
  <c r="O91" i="6" s="1"/>
  <c r="M91" i="6"/>
  <c r="N90" i="6"/>
  <c r="O90" i="6" s="1" a="1"/>
  <c r="O90" i="6" s="1"/>
  <c r="M90" i="6"/>
  <c r="N89" i="6"/>
  <c r="O89" i="6" s="1" a="1"/>
  <c r="O89" i="6" s="1"/>
  <c r="M89" i="6"/>
  <c r="N88" i="6"/>
  <c r="O88" i="6" s="1" a="1"/>
  <c r="O88" i="6" s="1"/>
  <c r="M88" i="6"/>
  <c r="N87" i="6"/>
  <c r="O87" i="6" s="1" a="1"/>
  <c r="O87" i="6" s="1"/>
  <c r="M87" i="6"/>
  <c r="N86" i="6"/>
  <c r="O86" i="6" s="1" a="1"/>
  <c r="O86" i="6" s="1"/>
  <c r="M86" i="6"/>
  <c r="N85" i="6"/>
  <c r="O85" i="6" s="1" a="1"/>
  <c r="O85" i="6" s="1"/>
  <c r="M85" i="6"/>
  <c r="N84" i="6"/>
  <c r="O84" i="6" s="1" a="1"/>
  <c r="O84" i="6" s="1"/>
  <c r="M84" i="6"/>
  <c r="N83" i="6"/>
  <c r="O83" i="6" s="1" a="1"/>
  <c r="O83" i="6" s="1"/>
  <c r="M83" i="6"/>
  <c r="N82" i="6"/>
  <c r="O82" i="6" s="1" a="1"/>
  <c r="O82" i="6" s="1"/>
  <c r="M82" i="6"/>
  <c r="N81" i="6"/>
  <c r="O81" i="6" s="1" a="1"/>
  <c r="O81" i="6" s="1"/>
  <c r="M81" i="6"/>
  <c r="N80" i="6"/>
  <c r="O80" i="6" s="1" a="1"/>
  <c r="O80" i="6" s="1"/>
  <c r="M80" i="6"/>
  <c r="N79" i="6"/>
  <c r="O79" i="6" s="1" a="1"/>
  <c r="O79" i="6" s="1"/>
  <c r="M79" i="6"/>
  <c r="N78" i="6"/>
  <c r="O78" i="6" s="1" a="1"/>
  <c r="O78" i="6" s="1"/>
  <c r="M78" i="6"/>
  <c r="N77" i="6"/>
  <c r="O77" i="6" s="1" a="1"/>
  <c r="O77" i="6" s="1"/>
  <c r="M77" i="6"/>
  <c r="N76" i="6"/>
  <c r="O76" i="6" s="1" a="1"/>
  <c r="O76" i="6" s="1"/>
  <c r="M76" i="6"/>
  <c r="N75" i="6"/>
  <c r="O75" i="6" s="1" a="1"/>
  <c r="O75" i="6" s="1"/>
  <c r="M75" i="6"/>
  <c r="N74" i="6"/>
  <c r="O74" i="6" s="1" a="1"/>
  <c r="O74" i="6" s="1"/>
  <c r="M74" i="6"/>
  <c r="N73" i="6"/>
  <c r="O73" i="6" s="1" a="1"/>
  <c r="O73" i="6" s="1"/>
  <c r="M73" i="6"/>
  <c r="N72" i="6"/>
  <c r="O72" i="6" s="1" a="1"/>
  <c r="O72" i="6" s="1"/>
  <c r="M72" i="6"/>
  <c r="N71" i="6"/>
  <c r="O71" i="6" s="1" a="1"/>
  <c r="O71" i="6" s="1"/>
  <c r="M71" i="6"/>
  <c r="N70" i="6"/>
  <c r="O70" i="6" s="1" a="1"/>
  <c r="O70" i="6" s="1"/>
  <c r="M70" i="6"/>
  <c r="N69" i="6"/>
  <c r="O69" i="6" s="1" a="1"/>
  <c r="O69" i="6" s="1"/>
  <c r="M69" i="6"/>
  <c r="N68" i="6"/>
  <c r="O68" i="6" s="1" a="1"/>
  <c r="O68" i="6" s="1"/>
  <c r="M68" i="6"/>
  <c r="N67" i="6"/>
  <c r="O67" i="6" s="1" a="1"/>
  <c r="O67" i="6" s="1"/>
  <c r="M67" i="6"/>
  <c r="N66" i="6"/>
  <c r="O66" i="6" s="1" a="1"/>
  <c r="O66" i="6" s="1"/>
  <c r="M66" i="6"/>
  <c r="N65" i="6"/>
  <c r="O65" i="6" s="1" a="1"/>
  <c r="O65" i="6" s="1"/>
  <c r="M65" i="6"/>
  <c r="N64" i="6"/>
  <c r="O64" i="6" s="1" a="1"/>
  <c r="O64" i="6" s="1"/>
  <c r="M64" i="6"/>
  <c r="N63" i="6"/>
  <c r="O63" i="6" s="1" a="1"/>
  <c r="O63" i="6" s="1"/>
  <c r="M63" i="6"/>
  <c r="N62" i="6"/>
  <c r="O62" i="6" s="1" a="1"/>
  <c r="O62" i="6" s="1"/>
  <c r="M62" i="6"/>
  <c r="N61" i="6"/>
  <c r="O61" i="6" s="1" a="1"/>
  <c r="O61" i="6" s="1"/>
  <c r="M61" i="6"/>
  <c r="N60" i="6"/>
  <c r="O60" i="6" s="1" a="1"/>
  <c r="O60" i="6" s="1"/>
  <c r="M60" i="6"/>
  <c r="N59" i="6"/>
  <c r="O59" i="6" s="1" a="1"/>
  <c r="O59" i="6" s="1"/>
  <c r="M59" i="6"/>
  <c r="N58" i="6"/>
  <c r="O58" i="6" s="1" a="1"/>
  <c r="O58" i="6" s="1"/>
  <c r="M58" i="6"/>
  <c r="N57" i="6"/>
  <c r="O57" i="6" s="1" a="1"/>
  <c r="O57" i="6" s="1"/>
  <c r="M57" i="6"/>
  <c r="N56" i="6"/>
  <c r="O56" i="6" s="1" a="1"/>
  <c r="O56" i="6" s="1"/>
  <c r="M56" i="6"/>
  <c r="N55" i="6"/>
  <c r="O55" i="6" s="1" a="1"/>
  <c r="O55" i="6" s="1"/>
  <c r="M55" i="6"/>
  <c r="N54" i="6"/>
  <c r="O54" i="6" s="1" a="1"/>
  <c r="O54" i="6" s="1"/>
  <c r="M54" i="6"/>
  <c r="N53" i="6"/>
  <c r="O53" i="6" s="1" a="1"/>
  <c r="O53" i="6" s="1"/>
  <c r="M53" i="6"/>
  <c r="N52" i="6"/>
  <c r="O52" i="6" s="1" a="1"/>
  <c r="O52" i="6" s="1"/>
  <c r="M52" i="6"/>
  <c r="N51" i="6"/>
  <c r="O51" i="6" s="1" a="1"/>
  <c r="O51" i="6" s="1"/>
  <c r="M51" i="6"/>
  <c r="N50" i="6"/>
  <c r="O50" i="6" s="1" a="1"/>
  <c r="O50" i="6" s="1"/>
  <c r="M50" i="6"/>
  <c r="N49" i="6"/>
  <c r="O49" i="6" s="1" a="1"/>
  <c r="O49" i="6" s="1"/>
  <c r="M49" i="6"/>
  <c r="N48" i="6"/>
  <c r="O48" i="6" s="1" a="1"/>
  <c r="O48" i="6" s="1"/>
  <c r="M48" i="6"/>
  <c r="N47" i="6"/>
  <c r="O47" i="6" s="1" a="1"/>
  <c r="O47" i="6" s="1"/>
  <c r="M47" i="6"/>
  <c r="N46" i="6"/>
  <c r="O46" i="6" s="1" a="1"/>
  <c r="O46" i="6" s="1"/>
  <c r="M46" i="6"/>
  <c r="N45" i="6"/>
  <c r="O45" i="6" s="1" a="1"/>
  <c r="O45" i="6" s="1"/>
  <c r="M45" i="6"/>
  <c r="N44" i="6"/>
  <c r="O44" i="6" s="1" a="1"/>
  <c r="O44" i="6" s="1"/>
  <c r="M44" i="6"/>
  <c r="N43" i="6"/>
  <c r="O43" i="6" s="1" a="1"/>
  <c r="O43" i="6" s="1"/>
  <c r="M43" i="6"/>
  <c r="N42" i="6"/>
  <c r="O42" i="6" s="1" a="1"/>
  <c r="O42" i="6" s="1"/>
  <c r="M42" i="6"/>
  <c r="N41" i="6"/>
  <c r="O41" i="6" s="1" a="1"/>
  <c r="O41" i="6" s="1"/>
  <c r="M41" i="6"/>
  <c r="N40" i="6"/>
  <c r="O40" i="6" s="1" a="1"/>
  <c r="O40" i="6" s="1"/>
  <c r="M40" i="6"/>
  <c r="N39" i="6"/>
  <c r="O39" i="6" s="1" a="1"/>
  <c r="O39" i="6" s="1"/>
  <c r="M39" i="6"/>
  <c r="N38" i="6"/>
  <c r="O38" i="6" s="1" a="1"/>
  <c r="O38" i="6" s="1"/>
  <c r="M38" i="6"/>
  <c r="N37" i="6"/>
  <c r="O37" i="6" s="1" a="1"/>
  <c r="O37" i="6" s="1"/>
  <c r="M37" i="6"/>
  <c r="N36" i="6"/>
  <c r="O36" i="6" s="1" a="1"/>
  <c r="O36" i="6" s="1"/>
  <c r="M36" i="6"/>
  <c r="N35" i="6"/>
  <c r="O35" i="6" s="1" a="1"/>
  <c r="O35" i="6" s="1"/>
  <c r="M35" i="6"/>
  <c r="N34" i="6"/>
  <c r="O34" i="6" s="1" a="1"/>
  <c r="O34" i="6" s="1"/>
  <c r="M34" i="6"/>
  <c r="N33" i="6"/>
  <c r="O33" i="6" s="1" a="1"/>
  <c r="O33" i="6" s="1"/>
  <c r="M33" i="6"/>
  <c r="N32" i="6"/>
  <c r="O32" i="6" s="1" a="1"/>
  <c r="O32" i="6" s="1"/>
  <c r="M32" i="6"/>
  <c r="N31" i="6"/>
  <c r="O31" i="6" s="1" a="1"/>
  <c r="O31" i="6" s="1"/>
  <c r="M31" i="6"/>
  <c r="N30" i="6"/>
  <c r="O30" i="6" s="1" a="1"/>
  <c r="O30" i="6" s="1"/>
  <c r="M30" i="6"/>
  <c r="N29" i="6"/>
  <c r="O29" i="6" s="1" a="1"/>
  <c r="O29" i="6" s="1"/>
  <c r="M29" i="6"/>
  <c r="N28" i="6"/>
  <c r="O28" i="6" s="1" a="1"/>
  <c r="O28" i="6" s="1"/>
  <c r="M28" i="6"/>
  <c r="N27" i="6"/>
  <c r="O27" i="6" s="1" a="1"/>
  <c r="O27" i="6" s="1"/>
  <c r="M27" i="6"/>
  <c r="N26" i="6"/>
  <c r="O26" i="6" s="1" a="1"/>
  <c r="O26" i="6" s="1"/>
  <c r="M26" i="6"/>
  <c r="N25" i="6"/>
  <c r="O25" i="6" s="1" a="1"/>
  <c r="O25" i="6" s="1"/>
  <c r="M25" i="6"/>
  <c r="N24" i="6"/>
  <c r="O24" i="6" s="1" a="1"/>
  <c r="O24" i="6" s="1"/>
  <c r="M24" i="6"/>
  <c r="N23" i="6"/>
  <c r="O23" i="6" s="1" a="1"/>
  <c r="O23" i="6" s="1"/>
  <c r="M23" i="6"/>
  <c r="N22" i="6"/>
  <c r="O22" i="6" s="1" a="1"/>
  <c r="O22" i="6" s="1"/>
  <c r="M22" i="6"/>
  <c r="N21" i="6"/>
  <c r="O21" i="6" s="1" a="1"/>
  <c r="O21" i="6" s="1"/>
  <c r="M21" i="6"/>
  <c r="N20" i="6"/>
  <c r="O20" i="6" s="1" a="1"/>
  <c r="O20" i="6" s="1"/>
  <c r="M20" i="6"/>
  <c r="N19" i="6"/>
  <c r="O19" i="6" s="1" a="1"/>
  <c r="O19" i="6" s="1"/>
  <c r="M19" i="6"/>
  <c r="N18" i="6"/>
  <c r="O18" i="6" s="1" a="1"/>
  <c r="O18" i="6" s="1"/>
  <c r="M18" i="6"/>
  <c r="N17" i="6"/>
  <c r="O17" i="6" s="1" a="1"/>
  <c r="O17" i="6" s="1"/>
  <c r="M17" i="6"/>
  <c r="N16" i="6"/>
  <c r="O16" i="6" s="1" a="1"/>
  <c r="O16" i="6" s="1"/>
  <c r="M16" i="6"/>
  <c r="N15" i="6"/>
  <c r="O15" i="6" s="1" a="1"/>
  <c r="O15" i="6" s="1"/>
  <c r="M15" i="6"/>
  <c r="N14" i="6"/>
  <c r="O14" i="6" s="1" a="1"/>
  <c r="O14" i="6" s="1"/>
  <c r="M14" i="6"/>
  <c r="N13" i="6"/>
  <c r="O13" i="6" s="1" a="1"/>
  <c r="O13" i="6" s="1"/>
  <c r="M13" i="6"/>
  <c r="N12" i="6"/>
  <c r="O12" i="6" s="1" a="1"/>
  <c r="O12" i="6" s="1"/>
  <c r="M12" i="6"/>
  <c r="N11" i="6"/>
  <c r="O11" i="6" s="1" a="1"/>
  <c r="O11" i="6" s="1"/>
  <c r="M11" i="6"/>
  <c r="N10" i="6"/>
  <c r="O10" i="6" s="1" a="1"/>
  <c r="O10" i="6" s="1"/>
  <c r="M10" i="6"/>
  <c r="N9" i="6"/>
  <c r="O9" i="6" s="1" a="1"/>
  <c r="O9" i="6" s="1"/>
  <c r="M9" i="6"/>
  <c r="N8" i="6"/>
  <c r="O8" i="6" s="1" a="1"/>
  <c r="O8" i="6" s="1"/>
  <c r="M8" i="6"/>
  <c r="N7" i="6"/>
  <c r="O7" i="6" s="1" a="1"/>
  <c r="O7" i="6" s="1"/>
  <c r="M7" i="6"/>
  <c r="N6" i="6"/>
  <c r="O6" i="6" s="1" a="1"/>
  <c r="O6" i="6" s="1"/>
  <c r="M6" i="6"/>
  <c r="N5" i="6"/>
  <c r="O5" i="6" s="1" a="1"/>
  <c r="O5" i="6" s="1"/>
  <c r="M5" i="6"/>
  <c r="N4" i="6"/>
  <c r="O4" i="6" s="1" a="1"/>
  <c r="O4" i="6" s="1"/>
  <c r="M4" i="6"/>
  <c r="N3" i="6"/>
  <c r="O3" i="6" s="1" a="1"/>
  <c r="O3" i="6" s="1"/>
  <c r="M3" i="6"/>
  <c r="N2" i="6"/>
  <c r="O2" i="6" s="1" a="1"/>
  <c r="O2" i="6" s="1"/>
  <c r="M2" i="6"/>
  <c r="N501" i="5"/>
  <c r="O501" i="5" s="1" a="1"/>
  <c r="O501" i="5" s="1"/>
  <c r="M501" i="5"/>
  <c r="N500" i="5"/>
  <c r="O500" i="5" s="1" a="1"/>
  <c r="O500" i="5" s="1"/>
  <c r="M500" i="5"/>
  <c r="N499" i="5"/>
  <c r="O499" i="5" s="1" a="1"/>
  <c r="O499" i="5" s="1"/>
  <c r="M499" i="5"/>
  <c r="N498" i="5"/>
  <c r="O498" i="5" s="1" a="1"/>
  <c r="O498" i="5" s="1"/>
  <c r="M498" i="5"/>
  <c r="N497" i="5"/>
  <c r="O497" i="5" s="1" a="1"/>
  <c r="O497" i="5" s="1"/>
  <c r="M497" i="5"/>
  <c r="N496" i="5"/>
  <c r="O496" i="5" s="1" a="1"/>
  <c r="O496" i="5" s="1"/>
  <c r="M496" i="5"/>
  <c r="N495" i="5"/>
  <c r="O495" i="5" s="1" a="1"/>
  <c r="O495" i="5" s="1"/>
  <c r="M495" i="5"/>
  <c r="N494" i="5"/>
  <c r="O494" i="5" s="1" a="1"/>
  <c r="O494" i="5" s="1"/>
  <c r="M494" i="5"/>
  <c r="N493" i="5"/>
  <c r="O493" i="5" s="1" a="1"/>
  <c r="O493" i="5" s="1"/>
  <c r="M493" i="5"/>
  <c r="N492" i="5"/>
  <c r="O492" i="5" s="1" a="1"/>
  <c r="O492" i="5" s="1"/>
  <c r="M492" i="5"/>
  <c r="N491" i="5"/>
  <c r="O491" i="5" s="1" a="1"/>
  <c r="O491" i="5" s="1"/>
  <c r="M491" i="5"/>
  <c r="N490" i="5"/>
  <c r="O490" i="5" s="1" a="1"/>
  <c r="O490" i="5" s="1"/>
  <c r="M490" i="5"/>
  <c r="N489" i="5"/>
  <c r="O489" i="5" s="1" a="1"/>
  <c r="O489" i="5" s="1"/>
  <c r="M489" i="5"/>
  <c r="N488" i="5"/>
  <c r="O488" i="5" s="1" a="1"/>
  <c r="O488" i="5" s="1"/>
  <c r="M488" i="5"/>
  <c r="N487" i="5"/>
  <c r="O487" i="5" s="1" a="1"/>
  <c r="O487" i="5" s="1"/>
  <c r="M487" i="5"/>
  <c r="N486" i="5"/>
  <c r="O486" i="5" s="1" a="1"/>
  <c r="O486" i="5" s="1"/>
  <c r="M486" i="5"/>
  <c r="N485" i="5"/>
  <c r="O485" i="5" s="1" a="1"/>
  <c r="O485" i="5" s="1"/>
  <c r="M485" i="5"/>
  <c r="N484" i="5"/>
  <c r="O484" i="5" s="1" a="1"/>
  <c r="O484" i="5" s="1"/>
  <c r="M484" i="5"/>
  <c r="N483" i="5"/>
  <c r="O483" i="5" s="1" a="1"/>
  <c r="O483" i="5" s="1"/>
  <c r="M483" i="5"/>
  <c r="N482" i="5"/>
  <c r="O482" i="5" s="1" a="1"/>
  <c r="O482" i="5" s="1"/>
  <c r="M482" i="5"/>
  <c r="N481" i="5"/>
  <c r="O481" i="5" s="1" a="1"/>
  <c r="O481" i="5" s="1"/>
  <c r="M481" i="5"/>
  <c r="N480" i="5"/>
  <c r="O480" i="5" s="1" a="1"/>
  <c r="O480" i="5" s="1"/>
  <c r="M480" i="5"/>
  <c r="N479" i="5"/>
  <c r="O479" i="5" s="1" a="1"/>
  <c r="O479" i="5" s="1"/>
  <c r="M479" i="5"/>
  <c r="N478" i="5"/>
  <c r="O478" i="5" s="1" a="1"/>
  <c r="O478" i="5" s="1"/>
  <c r="M478" i="5"/>
  <c r="N477" i="5"/>
  <c r="O477" i="5" s="1" a="1"/>
  <c r="O477" i="5" s="1"/>
  <c r="M477" i="5"/>
  <c r="N476" i="5"/>
  <c r="O476" i="5" s="1" a="1"/>
  <c r="O476" i="5" s="1"/>
  <c r="M476" i="5"/>
  <c r="N475" i="5"/>
  <c r="O475" i="5" s="1" a="1"/>
  <c r="O475" i="5" s="1"/>
  <c r="M475" i="5"/>
  <c r="N474" i="5"/>
  <c r="O474" i="5" s="1" a="1"/>
  <c r="O474" i="5" s="1"/>
  <c r="M474" i="5"/>
  <c r="N473" i="5"/>
  <c r="O473" i="5" s="1" a="1"/>
  <c r="O473" i="5" s="1"/>
  <c r="M473" i="5"/>
  <c r="N472" i="5"/>
  <c r="O472" i="5" s="1" a="1"/>
  <c r="O472" i="5" s="1"/>
  <c r="M472" i="5"/>
  <c r="N471" i="5"/>
  <c r="O471" i="5" s="1" a="1"/>
  <c r="O471" i="5" s="1"/>
  <c r="M471" i="5"/>
  <c r="N470" i="5"/>
  <c r="O470" i="5" s="1" a="1"/>
  <c r="O470" i="5" s="1"/>
  <c r="M470" i="5"/>
  <c r="N469" i="5"/>
  <c r="O469" i="5" s="1" a="1"/>
  <c r="O469" i="5" s="1"/>
  <c r="M469" i="5"/>
  <c r="N468" i="5"/>
  <c r="O468" i="5" s="1" a="1"/>
  <c r="O468" i="5" s="1"/>
  <c r="M468" i="5"/>
  <c r="N467" i="5"/>
  <c r="O467" i="5" s="1" a="1"/>
  <c r="O467" i="5" s="1"/>
  <c r="M467" i="5"/>
  <c r="N466" i="5"/>
  <c r="O466" i="5" s="1" a="1"/>
  <c r="O466" i="5" s="1"/>
  <c r="M466" i="5"/>
  <c r="N465" i="5"/>
  <c r="O465" i="5" s="1" a="1"/>
  <c r="O465" i="5" s="1"/>
  <c r="M465" i="5"/>
  <c r="N464" i="5"/>
  <c r="O464" i="5" s="1" a="1"/>
  <c r="O464" i="5" s="1"/>
  <c r="M464" i="5"/>
  <c r="N463" i="5"/>
  <c r="O463" i="5" s="1" a="1"/>
  <c r="O463" i="5" s="1"/>
  <c r="M463" i="5"/>
  <c r="N462" i="5"/>
  <c r="O462" i="5" s="1" a="1"/>
  <c r="O462" i="5" s="1"/>
  <c r="M462" i="5"/>
  <c r="N461" i="5"/>
  <c r="O461" i="5" s="1" a="1"/>
  <c r="O461" i="5" s="1"/>
  <c r="M461" i="5"/>
  <c r="N460" i="5"/>
  <c r="O460" i="5" s="1" a="1"/>
  <c r="O460" i="5" s="1"/>
  <c r="M460" i="5"/>
  <c r="N459" i="5"/>
  <c r="O459" i="5" s="1" a="1"/>
  <c r="O459" i="5" s="1"/>
  <c r="M459" i="5"/>
  <c r="N458" i="5"/>
  <c r="O458" i="5" s="1" a="1"/>
  <c r="O458" i="5" s="1"/>
  <c r="M458" i="5"/>
  <c r="N457" i="5"/>
  <c r="O457" i="5" s="1" a="1"/>
  <c r="O457" i="5" s="1"/>
  <c r="M457" i="5"/>
  <c r="N456" i="5"/>
  <c r="O456" i="5" s="1" a="1"/>
  <c r="O456" i="5" s="1"/>
  <c r="M456" i="5"/>
  <c r="N455" i="5"/>
  <c r="O455" i="5" s="1" a="1"/>
  <c r="O455" i="5" s="1"/>
  <c r="M455" i="5"/>
  <c r="N454" i="5"/>
  <c r="O454" i="5" s="1" a="1"/>
  <c r="O454" i="5" s="1"/>
  <c r="M454" i="5"/>
  <c r="N453" i="5"/>
  <c r="O453" i="5" s="1" a="1"/>
  <c r="O453" i="5" s="1"/>
  <c r="M453" i="5"/>
  <c r="N452" i="5"/>
  <c r="O452" i="5" s="1" a="1"/>
  <c r="O452" i="5" s="1"/>
  <c r="M452" i="5"/>
  <c r="N451" i="5"/>
  <c r="O451" i="5" s="1" a="1"/>
  <c r="O451" i="5" s="1"/>
  <c r="M451" i="5"/>
  <c r="N450" i="5"/>
  <c r="O450" i="5" s="1" a="1"/>
  <c r="O450" i="5" s="1"/>
  <c r="M450" i="5"/>
  <c r="N449" i="5"/>
  <c r="O449" i="5" s="1" a="1"/>
  <c r="O449" i="5" s="1"/>
  <c r="M449" i="5"/>
  <c r="N448" i="5"/>
  <c r="O448" i="5" s="1" a="1"/>
  <c r="O448" i="5" s="1"/>
  <c r="M448" i="5"/>
  <c r="N447" i="5"/>
  <c r="O447" i="5" s="1" a="1"/>
  <c r="O447" i="5" s="1"/>
  <c r="M447" i="5"/>
  <c r="N446" i="5"/>
  <c r="O446" i="5" s="1" a="1"/>
  <c r="O446" i="5" s="1"/>
  <c r="M446" i="5"/>
  <c r="N445" i="5"/>
  <c r="O445" i="5" s="1" a="1"/>
  <c r="O445" i="5" s="1"/>
  <c r="M445" i="5"/>
  <c r="N444" i="5"/>
  <c r="O444" i="5" s="1" a="1"/>
  <c r="O444" i="5" s="1"/>
  <c r="M444" i="5"/>
  <c r="N443" i="5"/>
  <c r="O443" i="5" s="1" a="1"/>
  <c r="O443" i="5" s="1"/>
  <c r="M443" i="5"/>
  <c r="N442" i="5"/>
  <c r="O442" i="5" s="1" a="1"/>
  <c r="O442" i="5" s="1"/>
  <c r="M442" i="5"/>
  <c r="N441" i="5"/>
  <c r="O441" i="5" s="1" a="1"/>
  <c r="O441" i="5" s="1"/>
  <c r="M441" i="5"/>
  <c r="N440" i="5"/>
  <c r="O440" i="5" s="1" a="1"/>
  <c r="O440" i="5" s="1"/>
  <c r="M440" i="5"/>
  <c r="N439" i="5"/>
  <c r="O439" i="5" s="1" a="1"/>
  <c r="O439" i="5" s="1"/>
  <c r="M439" i="5"/>
  <c r="N438" i="5"/>
  <c r="O438" i="5" s="1" a="1"/>
  <c r="O438" i="5" s="1"/>
  <c r="M438" i="5"/>
  <c r="N437" i="5"/>
  <c r="O437" i="5" s="1" a="1"/>
  <c r="O437" i="5" s="1"/>
  <c r="M437" i="5"/>
  <c r="N436" i="5"/>
  <c r="O436" i="5" s="1" a="1"/>
  <c r="O436" i="5" s="1"/>
  <c r="M436" i="5"/>
  <c r="N435" i="5"/>
  <c r="O435" i="5" s="1" a="1"/>
  <c r="O435" i="5" s="1"/>
  <c r="M435" i="5"/>
  <c r="N434" i="5"/>
  <c r="O434" i="5" s="1" a="1"/>
  <c r="O434" i="5" s="1"/>
  <c r="M434" i="5"/>
  <c r="N433" i="5"/>
  <c r="O433" i="5" s="1" a="1"/>
  <c r="O433" i="5" s="1"/>
  <c r="M433" i="5"/>
  <c r="N432" i="5"/>
  <c r="O432" i="5" s="1" a="1"/>
  <c r="O432" i="5" s="1"/>
  <c r="M432" i="5"/>
  <c r="N431" i="5"/>
  <c r="O431" i="5" s="1" a="1"/>
  <c r="O431" i="5" s="1"/>
  <c r="M431" i="5"/>
  <c r="N430" i="5"/>
  <c r="O430" i="5" s="1" a="1"/>
  <c r="O430" i="5" s="1"/>
  <c r="M430" i="5"/>
  <c r="N429" i="5"/>
  <c r="O429" i="5" s="1" a="1"/>
  <c r="O429" i="5" s="1"/>
  <c r="M429" i="5"/>
  <c r="N428" i="5"/>
  <c r="O428" i="5" s="1" a="1"/>
  <c r="O428" i="5" s="1"/>
  <c r="M428" i="5"/>
  <c r="N427" i="5"/>
  <c r="O427" i="5" s="1" a="1"/>
  <c r="O427" i="5" s="1"/>
  <c r="M427" i="5"/>
  <c r="N426" i="5"/>
  <c r="O426" i="5" s="1" a="1"/>
  <c r="O426" i="5" s="1"/>
  <c r="M426" i="5"/>
  <c r="N425" i="5"/>
  <c r="O425" i="5" s="1" a="1"/>
  <c r="O425" i="5" s="1"/>
  <c r="M425" i="5"/>
  <c r="N424" i="5"/>
  <c r="O424" i="5" s="1" a="1"/>
  <c r="O424" i="5" s="1"/>
  <c r="M424" i="5"/>
  <c r="N423" i="5"/>
  <c r="O423" i="5" s="1" a="1"/>
  <c r="O423" i="5" s="1"/>
  <c r="M423" i="5"/>
  <c r="N422" i="5"/>
  <c r="O422" i="5" s="1" a="1"/>
  <c r="O422" i="5" s="1"/>
  <c r="M422" i="5"/>
  <c r="N421" i="5"/>
  <c r="O421" i="5" s="1" a="1"/>
  <c r="O421" i="5" s="1"/>
  <c r="M421" i="5"/>
  <c r="N420" i="5"/>
  <c r="O420" i="5" s="1" a="1"/>
  <c r="O420" i="5" s="1"/>
  <c r="M420" i="5"/>
  <c r="N419" i="5"/>
  <c r="O419" i="5" s="1" a="1"/>
  <c r="O419" i="5" s="1"/>
  <c r="M419" i="5"/>
  <c r="N418" i="5"/>
  <c r="O418" i="5" s="1" a="1"/>
  <c r="O418" i="5" s="1"/>
  <c r="M418" i="5"/>
  <c r="N417" i="5"/>
  <c r="O417" i="5" s="1" a="1"/>
  <c r="O417" i="5" s="1"/>
  <c r="M417" i="5"/>
  <c r="N416" i="5"/>
  <c r="O416" i="5" s="1" a="1"/>
  <c r="O416" i="5" s="1"/>
  <c r="M416" i="5"/>
  <c r="N415" i="5"/>
  <c r="O415" i="5" s="1" a="1"/>
  <c r="O415" i="5" s="1"/>
  <c r="M415" i="5"/>
  <c r="N414" i="5"/>
  <c r="O414" i="5" s="1" a="1"/>
  <c r="O414" i="5" s="1"/>
  <c r="M414" i="5"/>
  <c r="N413" i="5"/>
  <c r="O413" i="5" s="1" a="1"/>
  <c r="O413" i="5" s="1"/>
  <c r="M413" i="5"/>
  <c r="N412" i="5"/>
  <c r="O412" i="5" s="1" a="1"/>
  <c r="O412" i="5" s="1"/>
  <c r="M412" i="5"/>
  <c r="N411" i="5"/>
  <c r="O411" i="5" s="1" a="1"/>
  <c r="O411" i="5" s="1"/>
  <c r="M411" i="5"/>
  <c r="N410" i="5"/>
  <c r="O410" i="5" s="1" a="1"/>
  <c r="O410" i="5" s="1"/>
  <c r="M410" i="5"/>
  <c r="N409" i="5"/>
  <c r="O409" i="5" s="1" a="1"/>
  <c r="O409" i="5" s="1"/>
  <c r="M409" i="5"/>
  <c r="N408" i="5"/>
  <c r="O408" i="5" s="1" a="1"/>
  <c r="O408" i="5" s="1"/>
  <c r="M408" i="5"/>
  <c r="N407" i="5"/>
  <c r="O407" i="5" s="1" a="1"/>
  <c r="O407" i="5" s="1"/>
  <c r="M407" i="5"/>
  <c r="N406" i="5"/>
  <c r="O406" i="5" s="1" a="1"/>
  <c r="O406" i="5" s="1"/>
  <c r="M406" i="5"/>
  <c r="N405" i="5"/>
  <c r="O405" i="5" s="1" a="1"/>
  <c r="O405" i="5" s="1"/>
  <c r="M405" i="5"/>
  <c r="N404" i="5"/>
  <c r="O404" i="5" s="1" a="1"/>
  <c r="O404" i="5" s="1"/>
  <c r="M404" i="5"/>
  <c r="N403" i="5"/>
  <c r="O403" i="5" s="1" a="1"/>
  <c r="O403" i="5" s="1"/>
  <c r="M403" i="5"/>
  <c r="N402" i="5"/>
  <c r="O402" i="5" s="1" a="1"/>
  <c r="O402" i="5" s="1"/>
  <c r="M402" i="5"/>
  <c r="N401" i="5"/>
  <c r="O401" i="5" s="1" a="1"/>
  <c r="O401" i="5" s="1"/>
  <c r="M401" i="5"/>
  <c r="N400" i="5"/>
  <c r="O400" i="5" s="1" a="1"/>
  <c r="O400" i="5" s="1"/>
  <c r="M400" i="5"/>
  <c r="N399" i="5"/>
  <c r="O399" i="5" s="1" a="1"/>
  <c r="O399" i="5" s="1"/>
  <c r="M399" i="5"/>
  <c r="N398" i="5"/>
  <c r="O398" i="5" s="1" a="1"/>
  <c r="O398" i="5" s="1"/>
  <c r="M398" i="5"/>
  <c r="N397" i="5"/>
  <c r="O397" i="5" s="1" a="1"/>
  <c r="O397" i="5" s="1"/>
  <c r="M397" i="5"/>
  <c r="N396" i="5"/>
  <c r="O396" i="5" s="1" a="1"/>
  <c r="O396" i="5" s="1"/>
  <c r="M396" i="5"/>
  <c r="N395" i="5"/>
  <c r="O395" i="5" s="1" a="1"/>
  <c r="O395" i="5" s="1"/>
  <c r="M395" i="5"/>
  <c r="N394" i="5"/>
  <c r="O394" i="5" s="1" a="1"/>
  <c r="O394" i="5" s="1"/>
  <c r="M394" i="5"/>
  <c r="N393" i="5"/>
  <c r="O393" i="5" s="1" a="1"/>
  <c r="O393" i="5" s="1"/>
  <c r="M393" i="5"/>
  <c r="N392" i="5"/>
  <c r="O392" i="5" s="1" a="1"/>
  <c r="O392" i="5" s="1"/>
  <c r="M392" i="5"/>
  <c r="N391" i="5"/>
  <c r="O391" i="5" s="1" a="1"/>
  <c r="O391" i="5" s="1"/>
  <c r="M391" i="5"/>
  <c r="N390" i="5"/>
  <c r="O390" i="5" s="1" a="1"/>
  <c r="O390" i="5" s="1"/>
  <c r="M390" i="5"/>
  <c r="N389" i="5"/>
  <c r="O389" i="5" s="1" a="1"/>
  <c r="O389" i="5" s="1"/>
  <c r="M389" i="5"/>
  <c r="N388" i="5"/>
  <c r="O388" i="5" s="1" a="1"/>
  <c r="O388" i="5" s="1"/>
  <c r="M388" i="5"/>
  <c r="N387" i="5"/>
  <c r="O387" i="5" s="1" a="1"/>
  <c r="O387" i="5" s="1"/>
  <c r="M387" i="5"/>
  <c r="N386" i="5"/>
  <c r="O386" i="5" s="1" a="1"/>
  <c r="O386" i="5" s="1"/>
  <c r="M386" i="5"/>
  <c r="N385" i="5"/>
  <c r="O385" i="5" s="1" a="1"/>
  <c r="O385" i="5" s="1"/>
  <c r="M385" i="5"/>
  <c r="N384" i="5"/>
  <c r="O384" i="5" s="1" a="1"/>
  <c r="O384" i="5" s="1"/>
  <c r="M384" i="5"/>
  <c r="N383" i="5"/>
  <c r="O383" i="5" s="1" a="1"/>
  <c r="O383" i="5" s="1"/>
  <c r="M383" i="5"/>
  <c r="N382" i="5"/>
  <c r="O382" i="5" s="1" a="1"/>
  <c r="O382" i="5" s="1"/>
  <c r="M382" i="5"/>
  <c r="N381" i="5"/>
  <c r="O381" i="5" s="1" a="1"/>
  <c r="O381" i="5" s="1"/>
  <c r="M381" i="5"/>
  <c r="N380" i="5"/>
  <c r="O380" i="5" s="1" a="1"/>
  <c r="O380" i="5" s="1"/>
  <c r="M380" i="5"/>
  <c r="N379" i="5"/>
  <c r="O379" i="5" s="1" a="1"/>
  <c r="O379" i="5" s="1"/>
  <c r="M379" i="5"/>
  <c r="N378" i="5"/>
  <c r="O378" i="5" s="1" a="1"/>
  <c r="O378" i="5" s="1"/>
  <c r="M378" i="5"/>
  <c r="N377" i="5"/>
  <c r="O377" i="5" s="1" a="1"/>
  <c r="O377" i="5" s="1"/>
  <c r="M377" i="5"/>
  <c r="N376" i="5"/>
  <c r="O376" i="5" s="1" a="1"/>
  <c r="O376" i="5" s="1"/>
  <c r="M376" i="5"/>
  <c r="N375" i="5"/>
  <c r="O375" i="5" s="1" a="1"/>
  <c r="O375" i="5" s="1"/>
  <c r="M375" i="5"/>
  <c r="N374" i="5"/>
  <c r="O374" i="5" s="1" a="1"/>
  <c r="O374" i="5" s="1"/>
  <c r="M374" i="5"/>
  <c r="N373" i="5"/>
  <c r="O373" i="5" s="1" a="1"/>
  <c r="O373" i="5" s="1"/>
  <c r="M373" i="5"/>
  <c r="N372" i="5"/>
  <c r="O372" i="5" s="1" a="1"/>
  <c r="O372" i="5" s="1"/>
  <c r="M372" i="5"/>
  <c r="N371" i="5"/>
  <c r="O371" i="5" s="1" a="1"/>
  <c r="O371" i="5" s="1"/>
  <c r="M371" i="5"/>
  <c r="N370" i="5"/>
  <c r="O370" i="5" s="1" a="1"/>
  <c r="O370" i="5" s="1"/>
  <c r="M370" i="5"/>
  <c r="N369" i="5"/>
  <c r="O369" i="5" s="1" a="1"/>
  <c r="O369" i="5" s="1"/>
  <c r="M369" i="5"/>
  <c r="N368" i="5"/>
  <c r="O368" i="5" s="1" a="1"/>
  <c r="O368" i="5" s="1"/>
  <c r="M368" i="5"/>
  <c r="N367" i="5"/>
  <c r="O367" i="5" s="1" a="1"/>
  <c r="O367" i="5" s="1"/>
  <c r="M367" i="5"/>
  <c r="N366" i="5"/>
  <c r="O366" i="5" s="1" a="1"/>
  <c r="O366" i="5" s="1"/>
  <c r="M366" i="5"/>
  <c r="N365" i="5"/>
  <c r="O365" i="5" s="1" a="1"/>
  <c r="O365" i="5" s="1"/>
  <c r="M365" i="5"/>
  <c r="N364" i="5"/>
  <c r="O364" i="5" s="1" a="1"/>
  <c r="O364" i="5" s="1"/>
  <c r="M364" i="5"/>
  <c r="N363" i="5"/>
  <c r="O363" i="5" s="1" a="1"/>
  <c r="O363" i="5" s="1"/>
  <c r="M363" i="5"/>
  <c r="N362" i="5"/>
  <c r="O362" i="5" s="1" a="1"/>
  <c r="O362" i="5" s="1"/>
  <c r="M362" i="5"/>
  <c r="N361" i="5"/>
  <c r="O361" i="5" s="1" a="1"/>
  <c r="O361" i="5" s="1"/>
  <c r="M361" i="5"/>
  <c r="N360" i="5"/>
  <c r="O360" i="5" s="1" a="1"/>
  <c r="O360" i="5" s="1"/>
  <c r="M360" i="5"/>
  <c r="N359" i="5"/>
  <c r="O359" i="5" s="1" a="1"/>
  <c r="O359" i="5" s="1"/>
  <c r="M359" i="5"/>
  <c r="N358" i="5"/>
  <c r="O358" i="5" s="1" a="1"/>
  <c r="O358" i="5" s="1"/>
  <c r="M358" i="5"/>
  <c r="N357" i="5"/>
  <c r="O357" i="5" s="1" a="1"/>
  <c r="O357" i="5" s="1"/>
  <c r="M357" i="5"/>
  <c r="N356" i="5"/>
  <c r="O356" i="5" s="1" a="1"/>
  <c r="O356" i="5" s="1"/>
  <c r="M356" i="5"/>
  <c r="N355" i="5"/>
  <c r="O355" i="5" s="1" a="1"/>
  <c r="O355" i="5" s="1"/>
  <c r="M355" i="5"/>
  <c r="N354" i="5"/>
  <c r="O354" i="5" s="1" a="1"/>
  <c r="O354" i="5" s="1"/>
  <c r="M354" i="5"/>
  <c r="N353" i="5"/>
  <c r="O353" i="5" s="1" a="1"/>
  <c r="O353" i="5" s="1"/>
  <c r="M353" i="5"/>
  <c r="N352" i="5"/>
  <c r="O352" i="5" s="1" a="1"/>
  <c r="O352" i="5" s="1"/>
  <c r="M352" i="5"/>
  <c r="N351" i="5"/>
  <c r="O351" i="5" s="1" a="1"/>
  <c r="O351" i="5" s="1"/>
  <c r="M351" i="5"/>
  <c r="N350" i="5"/>
  <c r="O350" i="5" s="1" a="1"/>
  <c r="O350" i="5" s="1"/>
  <c r="M350" i="5"/>
  <c r="N349" i="5"/>
  <c r="O349" i="5" s="1" a="1"/>
  <c r="O349" i="5" s="1"/>
  <c r="M349" i="5"/>
  <c r="N348" i="5"/>
  <c r="O348" i="5" s="1" a="1"/>
  <c r="O348" i="5" s="1"/>
  <c r="M348" i="5"/>
  <c r="N347" i="5"/>
  <c r="O347" i="5" s="1" a="1"/>
  <c r="O347" i="5" s="1"/>
  <c r="M347" i="5"/>
  <c r="N346" i="5"/>
  <c r="O346" i="5" s="1" a="1"/>
  <c r="O346" i="5" s="1"/>
  <c r="M346" i="5"/>
  <c r="N345" i="5"/>
  <c r="O345" i="5" s="1" a="1"/>
  <c r="O345" i="5" s="1"/>
  <c r="M345" i="5"/>
  <c r="N344" i="5"/>
  <c r="O344" i="5" s="1" a="1"/>
  <c r="O344" i="5" s="1"/>
  <c r="M344" i="5"/>
  <c r="N343" i="5"/>
  <c r="O343" i="5" s="1" a="1"/>
  <c r="O343" i="5" s="1"/>
  <c r="M343" i="5"/>
  <c r="N342" i="5"/>
  <c r="O342" i="5" s="1" a="1"/>
  <c r="O342" i="5" s="1"/>
  <c r="M342" i="5"/>
  <c r="N341" i="5"/>
  <c r="O341" i="5" s="1" a="1"/>
  <c r="O341" i="5" s="1"/>
  <c r="M341" i="5"/>
  <c r="N340" i="5"/>
  <c r="O340" i="5" s="1" a="1"/>
  <c r="O340" i="5" s="1"/>
  <c r="M340" i="5"/>
  <c r="N339" i="5"/>
  <c r="O339" i="5" s="1" a="1"/>
  <c r="O339" i="5" s="1"/>
  <c r="M339" i="5"/>
  <c r="N338" i="5"/>
  <c r="O338" i="5" s="1" a="1"/>
  <c r="O338" i="5" s="1"/>
  <c r="M338" i="5"/>
  <c r="N337" i="5"/>
  <c r="O337" i="5" s="1" a="1"/>
  <c r="O337" i="5" s="1"/>
  <c r="M337" i="5"/>
  <c r="N336" i="5"/>
  <c r="O336" i="5" s="1" a="1"/>
  <c r="O336" i="5" s="1"/>
  <c r="M336" i="5"/>
  <c r="N335" i="5"/>
  <c r="O335" i="5" s="1" a="1"/>
  <c r="O335" i="5" s="1"/>
  <c r="M335" i="5"/>
  <c r="N334" i="5"/>
  <c r="O334" i="5" s="1" a="1"/>
  <c r="O334" i="5" s="1"/>
  <c r="M334" i="5"/>
  <c r="N333" i="5"/>
  <c r="O333" i="5" s="1" a="1"/>
  <c r="O333" i="5" s="1"/>
  <c r="M333" i="5"/>
  <c r="N332" i="5"/>
  <c r="O332" i="5" s="1" a="1"/>
  <c r="O332" i="5" s="1"/>
  <c r="M332" i="5"/>
  <c r="N331" i="5"/>
  <c r="O331" i="5" s="1" a="1"/>
  <c r="O331" i="5" s="1"/>
  <c r="M331" i="5"/>
  <c r="N330" i="5"/>
  <c r="O330" i="5" s="1" a="1"/>
  <c r="O330" i="5" s="1"/>
  <c r="M330" i="5"/>
  <c r="N329" i="5"/>
  <c r="O329" i="5" s="1" a="1"/>
  <c r="O329" i="5" s="1"/>
  <c r="M329" i="5"/>
  <c r="N328" i="5"/>
  <c r="O328" i="5" s="1" a="1"/>
  <c r="O328" i="5" s="1"/>
  <c r="M328" i="5"/>
  <c r="N327" i="5"/>
  <c r="O327" i="5" s="1" a="1"/>
  <c r="O327" i="5" s="1"/>
  <c r="M327" i="5"/>
  <c r="N326" i="5"/>
  <c r="O326" i="5" s="1" a="1"/>
  <c r="O326" i="5" s="1"/>
  <c r="M326" i="5"/>
  <c r="N325" i="5"/>
  <c r="O325" i="5" s="1" a="1"/>
  <c r="O325" i="5" s="1"/>
  <c r="M325" i="5"/>
  <c r="N324" i="5"/>
  <c r="O324" i="5" s="1" a="1"/>
  <c r="O324" i="5" s="1"/>
  <c r="M324" i="5"/>
  <c r="N323" i="5"/>
  <c r="O323" i="5" s="1" a="1"/>
  <c r="O323" i="5" s="1"/>
  <c r="M323" i="5"/>
  <c r="N322" i="5"/>
  <c r="O322" i="5" s="1" a="1"/>
  <c r="O322" i="5" s="1"/>
  <c r="M322" i="5"/>
  <c r="N321" i="5"/>
  <c r="O321" i="5" s="1" a="1"/>
  <c r="O321" i="5" s="1"/>
  <c r="M321" i="5"/>
  <c r="N320" i="5"/>
  <c r="O320" i="5" s="1" a="1"/>
  <c r="O320" i="5" s="1"/>
  <c r="M320" i="5"/>
  <c r="N319" i="5"/>
  <c r="O319" i="5" s="1" a="1"/>
  <c r="O319" i="5" s="1"/>
  <c r="M319" i="5"/>
  <c r="N318" i="5"/>
  <c r="O318" i="5" s="1" a="1"/>
  <c r="O318" i="5" s="1"/>
  <c r="M318" i="5"/>
  <c r="N317" i="5"/>
  <c r="O317" i="5" s="1" a="1"/>
  <c r="O317" i="5" s="1"/>
  <c r="M317" i="5"/>
  <c r="N316" i="5"/>
  <c r="O316" i="5" s="1" a="1"/>
  <c r="O316" i="5" s="1"/>
  <c r="M316" i="5"/>
  <c r="N315" i="5"/>
  <c r="O315" i="5" s="1" a="1"/>
  <c r="O315" i="5" s="1"/>
  <c r="M315" i="5"/>
  <c r="N314" i="5"/>
  <c r="O314" i="5" s="1" a="1"/>
  <c r="O314" i="5" s="1"/>
  <c r="M314" i="5"/>
  <c r="N313" i="5"/>
  <c r="O313" i="5" s="1" a="1"/>
  <c r="O313" i="5" s="1"/>
  <c r="M313" i="5"/>
  <c r="N312" i="5"/>
  <c r="O312" i="5" s="1" a="1"/>
  <c r="O312" i="5" s="1"/>
  <c r="M312" i="5"/>
  <c r="N311" i="5"/>
  <c r="O311" i="5" s="1" a="1"/>
  <c r="O311" i="5" s="1"/>
  <c r="M311" i="5"/>
  <c r="N310" i="5"/>
  <c r="O310" i="5" s="1" a="1"/>
  <c r="O310" i="5" s="1"/>
  <c r="M310" i="5"/>
  <c r="N309" i="5"/>
  <c r="O309" i="5" s="1" a="1"/>
  <c r="O309" i="5" s="1"/>
  <c r="M309" i="5"/>
  <c r="N308" i="5"/>
  <c r="O308" i="5" s="1" a="1"/>
  <c r="O308" i="5" s="1"/>
  <c r="M308" i="5"/>
  <c r="N307" i="5"/>
  <c r="O307" i="5" s="1" a="1"/>
  <c r="O307" i="5" s="1"/>
  <c r="M307" i="5"/>
  <c r="N306" i="5"/>
  <c r="O306" i="5" s="1" a="1"/>
  <c r="O306" i="5" s="1"/>
  <c r="M306" i="5"/>
  <c r="N305" i="5"/>
  <c r="O305" i="5" s="1" a="1"/>
  <c r="O305" i="5" s="1"/>
  <c r="M305" i="5"/>
  <c r="N304" i="5"/>
  <c r="O304" i="5" s="1" a="1"/>
  <c r="O304" i="5" s="1"/>
  <c r="M304" i="5"/>
  <c r="N303" i="5"/>
  <c r="O303" i="5" s="1" a="1"/>
  <c r="O303" i="5" s="1"/>
  <c r="M303" i="5"/>
  <c r="N302" i="5"/>
  <c r="O302" i="5" s="1" a="1"/>
  <c r="O302" i="5" s="1"/>
  <c r="M302" i="5"/>
  <c r="N301" i="5"/>
  <c r="O301" i="5" s="1" a="1"/>
  <c r="O301" i="5" s="1"/>
  <c r="M301" i="5"/>
  <c r="N300" i="5"/>
  <c r="O300" i="5" s="1" a="1"/>
  <c r="O300" i="5" s="1"/>
  <c r="M300" i="5"/>
  <c r="N299" i="5"/>
  <c r="O299" i="5" s="1" a="1"/>
  <c r="O299" i="5" s="1"/>
  <c r="M299" i="5"/>
  <c r="N298" i="5"/>
  <c r="O298" i="5" s="1" a="1"/>
  <c r="O298" i="5" s="1"/>
  <c r="M298" i="5"/>
  <c r="N297" i="5"/>
  <c r="O297" i="5" s="1" a="1"/>
  <c r="O297" i="5" s="1"/>
  <c r="M297" i="5"/>
  <c r="N296" i="5"/>
  <c r="O296" i="5" s="1" a="1"/>
  <c r="O296" i="5" s="1"/>
  <c r="M296" i="5"/>
  <c r="N295" i="5"/>
  <c r="O295" i="5" s="1" a="1"/>
  <c r="O295" i="5" s="1"/>
  <c r="M295" i="5"/>
  <c r="N294" i="5"/>
  <c r="O294" i="5" s="1" a="1"/>
  <c r="O294" i="5" s="1"/>
  <c r="M294" i="5"/>
  <c r="N293" i="5"/>
  <c r="O293" i="5" s="1" a="1"/>
  <c r="O293" i="5" s="1"/>
  <c r="M293" i="5"/>
  <c r="N292" i="5"/>
  <c r="O292" i="5" s="1" a="1"/>
  <c r="O292" i="5" s="1"/>
  <c r="M292" i="5"/>
  <c r="N291" i="5"/>
  <c r="O291" i="5" s="1" a="1"/>
  <c r="O291" i="5" s="1"/>
  <c r="M291" i="5"/>
  <c r="N290" i="5"/>
  <c r="O290" i="5" s="1" a="1"/>
  <c r="O290" i="5" s="1"/>
  <c r="M290" i="5"/>
  <c r="N289" i="5"/>
  <c r="O289" i="5" s="1" a="1"/>
  <c r="O289" i="5" s="1"/>
  <c r="M289" i="5"/>
  <c r="N288" i="5"/>
  <c r="O288" i="5" s="1" a="1"/>
  <c r="O288" i="5" s="1"/>
  <c r="M288" i="5"/>
  <c r="N287" i="5"/>
  <c r="O287" i="5" s="1" a="1"/>
  <c r="O287" i="5" s="1"/>
  <c r="M287" i="5"/>
  <c r="N286" i="5"/>
  <c r="O286" i="5" s="1" a="1"/>
  <c r="O286" i="5" s="1"/>
  <c r="M286" i="5"/>
  <c r="N285" i="5"/>
  <c r="O285" i="5" s="1" a="1"/>
  <c r="O285" i="5" s="1"/>
  <c r="M285" i="5"/>
  <c r="N284" i="5"/>
  <c r="O284" i="5" s="1" a="1"/>
  <c r="O284" i="5" s="1"/>
  <c r="M284" i="5"/>
  <c r="N283" i="5"/>
  <c r="O283" i="5" s="1" a="1"/>
  <c r="O283" i="5" s="1"/>
  <c r="M283" i="5"/>
  <c r="N282" i="5"/>
  <c r="O282" i="5" s="1" a="1"/>
  <c r="O282" i="5" s="1"/>
  <c r="M282" i="5"/>
  <c r="N281" i="5"/>
  <c r="O281" i="5" s="1" a="1"/>
  <c r="O281" i="5" s="1"/>
  <c r="M281" i="5"/>
  <c r="N280" i="5"/>
  <c r="O280" i="5" s="1" a="1"/>
  <c r="O280" i="5" s="1"/>
  <c r="M280" i="5"/>
  <c r="N279" i="5"/>
  <c r="O279" i="5" s="1" a="1"/>
  <c r="O279" i="5" s="1"/>
  <c r="M279" i="5"/>
  <c r="N278" i="5"/>
  <c r="O278" i="5" s="1" a="1"/>
  <c r="O278" i="5" s="1"/>
  <c r="M278" i="5"/>
  <c r="N277" i="5"/>
  <c r="O277" i="5" s="1" a="1"/>
  <c r="O277" i="5" s="1"/>
  <c r="M277" i="5"/>
  <c r="N276" i="5"/>
  <c r="O276" i="5" s="1" a="1"/>
  <c r="O276" i="5" s="1"/>
  <c r="M276" i="5"/>
  <c r="N275" i="5"/>
  <c r="O275" i="5" s="1" a="1"/>
  <c r="O275" i="5" s="1"/>
  <c r="M275" i="5"/>
  <c r="N274" i="5"/>
  <c r="O274" i="5" s="1" a="1"/>
  <c r="O274" i="5" s="1"/>
  <c r="M274" i="5"/>
  <c r="N273" i="5"/>
  <c r="O273" i="5" s="1" a="1"/>
  <c r="O273" i="5" s="1"/>
  <c r="M273" i="5"/>
  <c r="N272" i="5"/>
  <c r="O272" i="5" s="1" a="1"/>
  <c r="O272" i="5" s="1"/>
  <c r="M272" i="5"/>
  <c r="N271" i="5"/>
  <c r="O271" i="5" s="1" a="1"/>
  <c r="O271" i="5" s="1"/>
  <c r="M271" i="5"/>
  <c r="N270" i="5"/>
  <c r="O270" i="5" s="1" a="1"/>
  <c r="O270" i="5" s="1"/>
  <c r="M270" i="5"/>
  <c r="N269" i="5"/>
  <c r="O269" i="5" s="1" a="1"/>
  <c r="O269" i="5" s="1"/>
  <c r="M269" i="5"/>
  <c r="N268" i="5"/>
  <c r="O268" i="5" s="1" a="1"/>
  <c r="O268" i="5" s="1"/>
  <c r="M268" i="5"/>
  <c r="N267" i="5"/>
  <c r="O267" i="5" s="1" a="1"/>
  <c r="O267" i="5" s="1"/>
  <c r="M267" i="5"/>
  <c r="N266" i="5"/>
  <c r="O266" i="5" s="1" a="1"/>
  <c r="O266" i="5" s="1"/>
  <c r="M266" i="5"/>
  <c r="N265" i="5"/>
  <c r="O265" i="5" s="1" a="1"/>
  <c r="O265" i="5" s="1"/>
  <c r="M265" i="5"/>
  <c r="N264" i="5"/>
  <c r="O264" i="5" s="1" a="1"/>
  <c r="O264" i="5" s="1"/>
  <c r="M264" i="5"/>
  <c r="N263" i="5"/>
  <c r="O263" i="5" s="1" a="1"/>
  <c r="O263" i="5" s="1"/>
  <c r="M263" i="5"/>
  <c r="N262" i="5"/>
  <c r="O262" i="5" s="1" a="1"/>
  <c r="O262" i="5" s="1"/>
  <c r="M262" i="5"/>
  <c r="N261" i="5"/>
  <c r="O261" i="5" s="1" a="1"/>
  <c r="O261" i="5" s="1"/>
  <c r="M261" i="5"/>
  <c r="N260" i="5"/>
  <c r="O260" i="5" s="1" a="1"/>
  <c r="O260" i="5" s="1"/>
  <c r="M260" i="5"/>
  <c r="N259" i="5"/>
  <c r="O259" i="5" s="1" a="1"/>
  <c r="O259" i="5" s="1"/>
  <c r="M259" i="5"/>
  <c r="N258" i="5"/>
  <c r="O258" i="5" s="1" a="1"/>
  <c r="O258" i="5" s="1"/>
  <c r="M258" i="5"/>
  <c r="N257" i="5"/>
  <c r="O257" i="5" s="1" a="1"/>
  <c r="O257" i="5" s="1"/>
  <c r="M257" i="5"/>
  <c r="N256" i="5"/>
  <c r="O256" i="5" s="1" a="1"/>
  <c r="O256" i="5" s="1"/>
  <c r="M256" i="5"/>
  <c r="N255" i="5"/>
  <c r="O255" i="5" s="1" a="1"/>
  <c r="O255" i="5" s="1"/>
  <c r="M255" i="5"/>
  <c r="N254" i="5"/>
  <c r="O254" i="5" s="1" a="1"/>
  <c r="O254" i="5" s="1"/>
  <c r="M254" i="5"/>
  <c r="N253" i="5"/>
  <c r="O253" i="5" s="1" a="1"/>
  <c r="O253" i="5" s="1"/>
  <c r="M253" i="5"/>
  <c r="N252" i="5"/>
  <c r="O252" i="5" s="1" a="1"/>
  <c r="O252" i="5" s="1"/>
  <c r="M252" i="5"/>
  <c r="N251" i="5"/>
  <c r="O251" i="5" s="1" a="1"/>
  <c r="O251" i="5" s="1"/>
  <c r="M251" i="5"/>
  <c r="N250" i="5"/>
  <c r="O250" i="5" s="1" a="1"/>
  <c r="O250" i="5" s="1"/>
  <c r="M250" i="5"/>
  <c r="N249" i="5"/>
  <c r="O249" i="5" s="1" a="1"/>
  <c r="O249" i="5" s="1"/>
  <c r="M249" i="5"/>
  <c r="N248" i="5"/>
  <c r="O248" i="5" s="1" a="1"/>
  <c r="O248" i="5" s="1"/>
  <c r="M248" i="5"/>
  <c r="N247" i="5"/>
  <c r="O247" i="5" s="1" a="1"/>
  <c r="O247" i="5" s="1"/>
  <c r="M247" i="5"/>
  <c r="N246" i="5"/>
  <c r="O246" i="5" s="1" a="1"/>
  <c r="O246" i="5" s="1"/>
  <c r="M246" i="5"/>
  <c r="N245" i="5"/>
  <c r="O245" i="5" s="1" a="1"/>
  <c r="O245" i="5" s="1"/>
  <c r="M245" i="5"/>
  <c r="N244" i="5"/>
  <c r="O244" i="5" s="1" a="1"/>
  <c r="O244" i="5" s="1"/>
  <c r="M244" i="5"/>
  <c r="N243" i="5"/>
  <c r="O243" i="5" s="1" a="1"/>
  <c r="O243" i="5" s="1"/>
  <c r="M243" i="5"/>
  <c r="N242" i="5"/>
  <c r="O242" i="5" s="1" a="1"/>
  <c r="O242" i="5" s="1"/>
  <c r="M242" i="5"/>
  <c r="N241" i="5"/>
  <c r="O241" i="5" s="1" a="1"/>
  <c r="O241" i="5" s="1"/>
  <c r="M241" i="5"/>
  <c r="N240" i="5"/>
  <c r="O240" i="5" s="1" a="1"/>
  <c r="O240" i="5" s="1"/>
  <c r="M240" i="5"/>
  <c r="N239" i="5"/>
  <c r="O239" i="5" s="1" a="1"/>
  <c r="O239" i="5" s="1"/>
  <c r="M239" i="5"/>
  <c r="N238" i="5"/>
  <c r="O238" i="5" s="1" a="1"/>
  <c r="O238" i="5" s="1"/>
  <c r="M238" i="5"/>
  <c r="N237" i="5"/>
  <c r="O237" i="5" s="1" a="1"/>
  <c r="O237" i="5" s="1"/>
  <c r="M237" i="5"/>
  <c r="N236" i="5"/>
  <c r="O236" i="5" s="1" a="1"/>
  <c r="O236" i="5" s="1"/>
  <c r="M236" i="5"/>
  <c r="N235" i="5"/>
  <c r="O235" i="5" s="1" a="1"/>
  <c r="O235" i="5" s="1"/>
  <c r="M235" i="5"/>
  <c r="N234" i="5"/>
  <c r="O234" i="5" s="1" a="1"/>
  <c r="O234" i="5" s="1"/>
  <c r="M234" i="5"/>
  <c r="N233" i="5"/>
  <c r="O233" i="5" s="1" a="1"/>
  <c r="O233" i="5" s="1"/>
  <c r="M233" i="5"/>
  <c r="N232" i="5"/>
  <c r="O232" i="5" s="1" a="1"/>
  <c r="O232" i="5" s="1"/>
  <c r="M232" i="5"/>
  <c r="N231" i="5"/>
  <c r="O231" i="5" s="1" a="1"/>
  <c r="O231" i="5" s="1"/>
  <c r="M231" i="5"/>
  <c r="N230" i="5"/>
  <c r="O230" i="5" s="1" a="1"/>
  <c r="O230" i="5" s="1"/>
  <c r="M230" i="5"/>
  <c r="N229" i="5"/>
  <c r="O229" i="5" s="1" a="1"/>
  <c r="O229" i="5" s="1"/>
  <c r="M229" i="5"/>
  <c r="N228" i="5"/>
  <c r="O228" i="5" s="1" a="1"/>
  <c r="O228" i="5" s="1"/>
  <c r="M228" i="5"/>
  <c r="N227" i="5"/>
  <c r="O227" i="5" s="1" a="1"/>
  <c r="O227" i="5" s="1"/>
  <c r="M227" i="5"/>
  <c r="N226" i="5"/>
  <c r="O226" i="5" s="1" a="1"/>
  <c r="O226" i="5" s="1"/>
  <c r="M226" i="5"/>
  <c r="N225" i="5"/>
  <c r="O225" i="5" s="1" a="1"/>
  <c r="O225" i="5" s="1"/>
  <c r="M225" i="5"/>
  <c r="N224" i="5"/>
  <c r="O224" i="5" s="1" a="1"/>
  <c r="O224" i="5" s="1"/>
  <c r="M224" i="5"/>
  <c r="N223" i="5"/>
  <c r="O223" i="5" s="1" a="1"/>
  <c r="O223" i="5" s="1"/>
  <c r="M223" i="5"/>
  <c r="N222" i="5"/>
  <c r="O222" i="5" s="1" a="1"/>
  <c r="O222" i="5" s="1"/>
  <c r="M222" i="5"/>
  <c r="N221" i="5"/>
  <c r="O221" i="5" s="1" a="1"/>
  <c r="O221" i="5" s="1"/>
  <c r="M221" i="5"/>
  <c r="N220" i="5"/>
  <c r="O220" i="5" s="1" a="1"/>
  <c r="O220" i="5" s="1"/>
  <c r="M220" i="5"/>
  <c r="N219" i="5"/>
  <c r="O219" i="5" s="1" a="1"/>
  <c r="O219" i="5" s="1"/>
  <c r="M219" i="5"/>
  <c r="N218" i="5"/>
  <c r="O218" i="5" s="1" a="1"/>
  <c r="O218" i="5" s="1"/>
  <c r="M218" i="5"/>
  <c r="N217" i="5"/>
  <c r="O217" i="5" s="1" a="1"/>
  <c r="O217" i="5" s="1"/>
  <c r="M217" i="5"/>
  <c r="N216" i="5"/>
  <c r="O216" i="5" s="1" a="1"/>
  <c r="O216" i="5" s="1"/>
  <c r="M216" i="5"/>
  <c r="N215" i="5"/>
  <c r="O215" i="5" s="1" a="1"/>
  <c r="O215" i="5" s="1"/>
  <c r="M215" i="5"/>
  <c r="N214" i="5"/>
  <c r="O214" i="5" s="1" a="1"/>
  <c r="O214" i="5" s="1"/>
  <c r="M214" i="5"/>
  <c r="N213" i="5"/>
  <c r="O213" i="5" s="1" a="1"/>
  <c r="O213" i="5" s="1"/>
  <c r="M213" i="5"/>
  <c r="N212" i="5"/>
  <c r="O212" i="5" s="1" a="1"/>
  <c r="O212" i="5" s="1"/>
  <c r="M212" i="5"/>
  <c r="N211" i="5"/>
  <c r="O211" i="5" s="1" a="1"/>
  <c r="O211" i="5" s="1"/>
  <c r="M211" i="5"/>
  <c r="N210" i="5"/>
  <c r="O210" i="5" s="1" a="1"/>
  <c r="O210" i="5" s="1"/>
  <c r="M210" i="5"/>
  <c r="N209" i="5"/>
  <c r="O209" i="5" s="1" a="1"/>
  <c r="O209" i="5" s="1"/>
  <c r="M209" i="5"/>
  <c r="N208" i="5"/>
  <c r="O208" i="5" s="1" a="1"/>
  <c r="O208" i="5" s="1"/>
  <c r="M208" i="5"/>
  <c r="N207" i="5"/>
  <c r="O207" i="5" s="1" a="1"/>
  <c r="O207" i="5" s="1"/>
  <c r="M207" i="5"/>
  <c r="N206" i="5"/>
  <c r="O206" i="5" s="1" a="1"/>
  <c r="O206" i="5" s="1"/>
  <c r="M206" i="5"/>
  <c r="N205" i="5"/>
  <c r="O205" i="5" s="1" a="1"/>
  <c r="O205" i="5" s="1"/>
  <c r="M205" i="5"/>
  <c r="N204" i="5"/>
  <c r="O204" i="5" s="1" a="1"/>
  <c r="O204" i="5" s="1"/>
  <c r="M204" i="5"/>
  <c r="N203" i="5"/>
  <c r="O203" i="5" s="1" a="1"/>
  <c r="O203" i="5" s="1"/>
  <c r="M203" i="5"/>
  <c r="N202" i="5"/>
  <c r="O202" i="5" s="1" a="1"/>
  <c r="O202" i="5" s="1"/>
  <c r="M202" i="5"/>
  <c r="N201" i="5"/>
  <c r="O201" i="5" s="1" a="1"/>
  <c r="O201" i="5" s="1"/>
  <c r="M201" i="5"/>
  <c r="N200" i="5"/>
  <c r="O200" i="5" s="1" a="1"/>
  <c r="O200" i="5" s="1"/>
  <c r="M200" i="5"/>
  <c r="N199" i="5"/>
  <c r="O199" i="5" s="1" a="1"/>
  <c r="O199" i="5" s="1"/>
  <c r="M199" i="5"/>
  <c r="N198" i="5"/>
  <c r="O198" i="5" s="1" a="1"/>
  <c r="O198" i="5" s="1"/>
  <c r="M198" i="5"/>
  <c r="N197" i="5"/>
  <c r="O197" i="5" s="1" a="1"/>
  <c r="O197" i="5" s="1"/>
  <c r="M197" i="5"/>
  <c r="N196" i="5"/>
  <c r="O196" i="5" s="1" a="1"/>
  <c r="O196" i="5" s="1"/>
  <c r="M196" i="5"/>
  <c r="N195" i="5"/>
  <c r="O195" i="5" s="1" a="1"/>
  <c r="O195" i="5" s="1"/>
  <c r="M195" i="5"/>
  <c r="N194" i="5"/>
  <c r="O194" i="5" s="1" a="1"/>
  <c r="O194" i="5" s="1"/>
  <c r="M194" i="5"/>
  <c r="N193" i="5"/>
  <c r="O193" i="5" s="1" a="1"/>
  <c r="O193" i="5" s="1"/>
  <c r="M193" i="5"/>
  <c r="N192" i="5"/>
  <c r="O192" i="5" s="1" a="1"/>
  <c r="O192" i="5" s="1"/>
  <c r="M192" i="5"/>
  <c r="N191" i="5"/>
  <c r="O191" i="5" s="1" a="1"/>
  <c r="O191" i="5" s="1"/>
  <c r="M191" i="5"/>
  <c r="N190" i="5"/>
  <c r="O190" i="5" s="1" a="1"/>
  <c r="O190" i="5" s="1"/>
  <c r="M190" i="5"/>
  <c r="N189" i="5"/>
  <c r="O189" i="5" s="1" a="1"/>
  <c r="O189" i="5" s="1"/>
  <c r="M189" i="5"/>
  <c r="N188" i="5"/>
  <c r="O188" i="5" s="1" a="1"/>
  <c r="O188" i="5" s="1"/>
  <c r="M188" i="5"/>
  <c r="N187" i="5"/>
  <c r="O187" i="5" s="1" a="1"/>
  <c r="O187" i="5" s="1"/>
  <c r="M187" i="5"/>
  <c r="N186" i="5"/>
  <c r="O186" i="5" s="1" a="1"/>
  <c r="O186" i="5" s="1"/>
  <c r="M186" i="5"/>
  <c r="N185" i="5"/>
  <c r="O185" i="5" s="1" a="1"/>
  <c r="O185" i="5" s="1"/>
  <c r="M185" i="5"/>
  <c r="N184" i="5"/>
  <c r="O184" i="5" s="1" a="1"/>
  <c r="O184" i="5" s="1"/>
  <c r="M184" i="5"/>
  <c r="N183" i="5"/>
  <c r="O183" i="5" s="1" a="1"/>
  <c r="O183" i="5" s="1"/>
  <c r="M183" i="5"/>
  <c r="N182" i="5"/>
  <c r="O182" i="5" s="1" a="1"/>
  <c r="O182" i="5" s="1"/>
  <c r="M182" i="5"/>
  <c r="N181" i="5"/>
  <c r="O181" i="5" s="1" a="1"/>
  <c r="O181" i="5" s="1"/>
  <c r="M181" i="5"/>
  <c r="N180" i="5"/>
  <c r="O180" i="5" s="1" a="1"/>
  <c r="O180" i="5" s="1"/>
  <c r="M180" i="5"/>
  <c r="N179" i="5"/>
  <c r="O179" i="5" s="1" a="1"/>
  <c r="O179" i="5" s="1"/>
  <c r="M179" i="5"/>
  <c r="N178" i="5"/>
  <c r="O178" i="5" s="1" a="1"/>
  <c r="O178" i="5" s="1"/>
  <c r="M178" i="5"/>
  <c r="N177" i="5"/>
  <c r="O177" i="5" s="1" a="1"/>
  <c r="O177" i="5" s="1"/>
  <c r="M177" i="5"/>
  <c r="N176" i="5"/>
  <c r="O176" i="5" s="1" a="1"/>
  <c r="O176" i="5" s="1"/>
  <c r="M176" i="5"/>
  <c r="N175" i="5"/>
  <c r="O175" i="5" s="1" a="1"/>
  <c r="O175" i="5" s="1"/>
  <c r="M175" i="5"/>
  <c r="N174" i="5"/>
  <c r="O174" i="5" s="1" a="1"/>
  <c r="O174" i="5" s="1"/>
  <c r="M174" i="5"/>
  <c r="N173" i="5"/>
  <c r="O173" i="5" s="1" a="1"/>
  <c r="O173" i="5" s="1"/>
  <c r="M173" i="5"/>
  <c r="N172" i="5"/>
  <c r="O172" i="5" s="1" a="1"/>
  <c r="O172" i="5" s="1"/>
  <c r="M172" i="5"/>
  <c r="N171" i="5"/>
  <c r="O171" i="5" s="1" a="1"/>
  <c r="O171" i="5" s="1"/>
  <c r="M171" i="5"/>
  <c r="N170" i="5"/>
  <c r="O170" i="5" s="1" a="1"/>
  <c r="O170" i="5" s="1"/>
  <c r="M170" i="5"/>
  <c r="N169" i="5"/>
  <c r="O169" i="5" s="1" a="1"/>
  <c r="O169" i="5" s="1"/>
  <c r="M169" i="5"/>
  <c r="N168" i="5"/>
  <c r="O168" i="5" s="1" a="1"/>
  <c r="O168" i="5" s="1"/>
  <c r="M168" i="5"/>
  <c r="N167" i="5"/>
  <c r="O167" i="5" s="1" a="1"/>
  <c r="O167" i="5" s="1"/>
  <c r="M167" i="5"/>
  <c r="N166" i="5"/>
  <c r="O166" i="5" s="1" a="1"/>
  <c r="O166" i="5" s="1"/>
  <c r="M166" i="5"/>
  <c r="N165" i="5"/>
  <c r="O165" i="5" s="1" a="1"/>
  <c r="O165" i="5" s="1"/>
  <c r="M165" i="5"/>
  <c r="N164" i="5"/>
  <c r="O164" i="5" s="1" a="1"/>
  <c r="O164" i="5" s="1"/>
  <c r="M164" i="5"/>
  <c r="N163" i="5"/>
  <c r="O163" i="5" s="1" a="1"/>
  <c r="O163" i="5" s="1"/>
  <c r="M163" i="5"/>
  <c r="N162" i="5"/>
  <c r="O162" i="5" s="1" a="1"/>
  <c r="O162" i="5" s="1"/>
  <c r="M162" i="5"/>
  <c r="N161" i="5"/>
  <c r="O161" i="5" s="1" a="1"/>
  <c r="O161" i="5" s="1"/>
  <c r="M161" i="5"/>
  <c r="N160" i="5"/>
  <c r="O160" i="5" s="1" a="1"/>
  <c r="O160" i="5" s="1"/>
  <c r="M160" i="5"/>
  <c r="N159" i="5"/>
  <c r="O159" i="5" s="1" a="1"/>
  <c r="O159" i="5" s="1"/>
  <c r="M159" i="5"/>
  <c r="N158" i="5"/>
  <c r="O158" i="5" s="1" a="1"/>
  <c r="O158" i="5" s="1"/>
  <c r="M158" i="5"/>
  <c r="N157" i="5"/>
  <c r="O157" i="5" s="1" a="1"/>
  <c r="O157" i="5" s="1"/>
  <c r="M157" i="5"/>
  <c r="N156" i="5"/>
  <c r="O156" i="5" s="1" a="1"/>
  <c r="O156" i="5" s="1"/>
  <c r="M156" i="5"/>
  <c r="N155" i="5"/>
  <c r="O155" i="5" s="1" a="1"/>
  <c r="O155" i="5" s="1"/>
  <c r="M155" i="5"/>
  <c r="N154" i="5"/>
  <c r="O154" i="5" s="1" a="1"/>
  <c r="O154" i="5" s="1"/>
  <c r="M154" i="5"/>
  <c r="N153" i="5"/>
  <c r="O153" i="5" s="1" a="1"/>
  <c r="O153" i="5" s="1"/>
  <c r="M153" i="5"/>
  <c r="N152" i="5"/>
  <c r="O152" i="5" s="1" a="1"/>
  <c r="O152" i="5" s="1"/>
  <c r="M152" i="5"/>
  <c r="N151" i="5"/>
  <c r="O151" i="5" s="1" a="1"/>
  <c r="O151" i="5" s="1"/>
  <c r="M151" i="5"/>
  <c r="N150" i="5"/>
  <c r="O150" i="5" s="1" a="1"/>
  <c r="O150" i="5" s="1"/>
  <c r="M150" i="5"/>
  <c r="N149" i="5"/>
  <c r="O149" i="5" s="1" a="1"/>
  <c r="O149" i="5" s="1"/>
  <c r="M149" i="5"/>
  <c r="N148" i="5"/>
  <c r="O148" i="5" s="1" a="1"/>
  <c r="O148" i="5" s="1"/>
  <c r="M148" i="5"/>
  <c r="N147" i="5"/>
  <c r="O147" i="5" s="1" a="1"/>
  <c r="O147" i="5" s="1"/>
  <c r="M147" i="5"/>
  <c r="N146" i="5"/>
  <c r="O146" i="5" s="1" a="1"/>
  <c r="O146" i="5" s="1"/>
  <c r="M146" i="5"/>
  <c r="N145" i="5"/>
  <c r="O145" i="5" s="1" a="1"/>
  <c r="O145" i="5" s="1"/>
  <c r="M145" i="5"/>
  <c r="N144" i="5"/>
  <c r="O144" i="5" s="1" a="1"/>
  <c r="O144" i="5" s="1"/>
  <c r="M144" i="5"/>
  <c r="N143" i="5"/>
  <c r="O143" i="5" s="1" a="1"/>
  <c r="O143" i="5" s="1"/>
  <c r="M143" i="5"/>
  <c r="N142" i="5"/>
  <c r="O142" i="5" s="1" a="1"/>
  <c r="O142" i="5" s="1"/>
  <c r="M142" i="5"/>
  <c r="N141" i="5"/>
  <c r="O141" i="5" s="1" a="1"/>
  <c r="O141" i="5" s="1"/>
  <c r="M141" i="5"/>
  <c r="N140" i="5"/>
  <c r="O140" i="5" s="1" a="1"/>
  <c r="O140" i="5" s="1"/>
  <c r="M140" i="5"/>
  <c r="N139" i="5"/>
  <c r="O139" i="5" s="1" a="1"/>
  <c r="O139" i="5" s="1"/>
  <c r="M139" i="5"/>
  <c r="N138" i="5"/>
  <c r="O138" i="5" s="1" a="1"/>
  <c r="O138" i="5" s="1"/>
  <c r="M138" i="5"/>
  <c r="N137" i="5"/>
  <c r="O137" i="5" s="1" a="1"/>
  <c r="O137" i="5" s="1"/>
  <c r="M137" i="5"/>
  <c r="N136" i="5"/>
  <c r="O136" i="5" s="1" a="1"/>
  <c r="O136" i="5" s="1"/>
  <c r="M136" i="5"/>
  <c r="N135" i="5"/>
  <c r="O135" i="5" s="1" a="1"/>
  <c r="O135" i="5" s="1"/>
  <c r="M135" i="5"/>
  <c r="N134" i="5"/>
  <c r="O134" i="5" s="1" a="1"/>
  <c r="O134" i="5" s="1"/>
  <c r="M134" i="5"/>
  <c r="N133" i="5"/>
  <c r="O133" i="5" s="1" a="1"/>
  <c r="O133" i="5" s="1"/>
  <c r="M133" i="5"/>
  <c r="N132" i="5"/>
  <c r="O132" i="5" s="1" a="1"/>
  <c r="O132" i="5" s="1"/>
  <c r="M132" i="5"/>
  <c r="N131" i="5"/>
  <c r="O131" i="5" s="1" a="1"/>
  <c r="O131" i="5" s="1"/>
  <c r="M131" i="5"/>
  <c r="N130" i="5"/>
  <c r="O130" i="5" s="1" a="1"/>
  <c r="O130" i="5" s="1"/>
  <c r="M130" i="5"/>
  <c r="N129" i="5"/>
  <c r="O129" i="5" s="1" a="1"/>
  <c r="O129" i="5" s="1"/>
  <c r="M129" i="5"/>
  <c r="N128" i="5"/>
  <c r="O128" i="5" s="1" a="1"/>
  <c r="O128" i="5" s="1"/>
  <c r="M128" i="5"/>
  <c r="N127" i="5"/>
  <c r="O127" i="5" s="1" a="1"/>
  <c r="O127" i="5" s="1"/>
  <c r="M127" i="5"/>
  <c r="N126" i="5"/>
  <c r="O126" i="5" s="1" a="1"/>
  <c r="O126" i="5" s="1"/>
  <c r="M126" i="5"/>
  <c r="N125" i="5"/>
  <c r="O125" i="5" s="1" a="1"/>
  <c r="O125" i="5" s="1"/>
  <c r="M125" i="5"/>
  <c r="N124" i="5"/>
  <c r="O124" i="5" s="1" a="1"/>
  <c r="O124" i="5" s="1"/>
  <c r="M124" i="5"/>
  <c r="N123" i="5"/>
  <c r="O123" i="5" s="1" a="1"/>
  <c r="O123" i="5" s="1"/>
  <c r="M123" i="5"/>
  <c r="N122" i="5"/>
  <c r="O122" i="5" s="1" a="1"/>
  <c r="O122" i="5" s="1"/>
  <c r="M122" i="5"/>
  <c r="N121" i="5"/>
  <c r="O121" i="5" s="1" a="1"/>
  <c r="O121" i="5" s="1"/>
  <c r="M121" i="5"/>
  <c r="N120" i="5"/>
  <c r="O120" i="5" s="1" a="1"/>
  <c r="O120" i="5" s="1"/>
  <c r="M120" i="5"/>
  <c r="N119" i="5"/>
  <c r="O119" i="5" s="1" a="1"/>
  <c r="O119" i="5" s="1"/>
  <c r="M119" i="5"/>
  <c r="N118" i="5"/>
  <c r="O118" i="5" s="1" a="1"/>
  <c r="O118" i="5" s="1"/>
  <c r="M118" i="5"/>
  <c r="N117" i="5"/>
  <c r="O117" i="5" s="1" a="1"/>
  <c r="O117" i="5" s="1"/>
  <c r="M117" i="5"/>
  <c r="N116" i="5"/>
  <c r="O116" i="5" s="1" a="1"/>
  <c r="O116" i="5" s="1"/>
  <c r="M116" i="5"/>
  <c r="N115" i="5"/>
  <c r="O115" i="5" s="1" a="1"/>
  <c r="O115" i="5" s="1"/>
  <c r="M115" i="5"/>
  <c r="N114" i="5"/>
  <c r="O114" i="5" s="1" a="1"/>
  <c r="O114" i="5" s="1"/>
  <c r="M114" i="5"/>
  <c r="N113" i="5"/>
  <c r="O113" i="5" s="1" a="1"/>
  <c r="O113" i="5" s="1"/>
  <c r="M113" i="5"/>
  <c r="N112" i="5"/>
  <c r="O112" i="5" s="1" a="1"/>
  <c r="O112" i="5" s="1"/>
  <c r="M112" i="5"/>
  <c r="N111" i="5"/>
  <c r="O111" i="5" s="1" a="1"/>
  <c r="O111" i="5" s="1"/>
  <c r="M111" i="5"/>
  <c r="N110" i="5"/>
  <c r="O110" i="5" s="1" a="1"/>
  <c r="O110" i="5" s="1"/>
  <c r="M110" i="5"/>
  <c r="N109" i="5"/>
  <c r="O109" i="5" s="1" a="1"/>
  <c r="O109" i="5" s="1"/>
  <c r="M109" i="5"/>
  <c r="N108" i="5"/>
  <c r="O108" i="5" s="1" a="1"/>
  <c r="O108" i="5" s="1"/>
  <c r="M108" i="5"/>
  <c r="N107" i="5"/>
  <c r="O107" i="5" s="1" a="1"/>
  <c r="O107" i="5" s="1"/>
  <c r="M107" i="5"/>
  <c r="N106" i="5"/>
  <c r="O106" i="5" s="1" a="1"/>
  <c r="O106" i="5" s="1"/>
  <c r="M106" i="5"/>
  <c r="N105" i="5"/>
  <c r="O105" i="5" s="1" a="1"/>
  <c r="O105" i="5" s="1"/>
  <c r="M105" i="5"/>
  <c r="N104" i="5"/>
  <c r="O104" i="5" s="1" a="1"/>
  <c r="O104" i="5" s="1"/>
  <c r="M104" i="5"/>
  <c r="N103" i="5"/>
  <c r="O103" i="5" s="1" a="1"/>
  <c r="O103" i="5" s="1"/>
  <c r="M103" i="5"/>
  <c r="N102" i="5"/>
  <c r="O102" i="5" s="1" a="1"/>
  <c r="O102" i="5" s="1"/>
  <c r="M102" i="5"/>
  <c r="N101" i="5"/>
  <c r="O101" i="5" s="1" a="1"/>
  <c r="O101" i="5" s="1"/>
  <c r="M101" i="5"/>
  <c r="N100" i="5"/>
  <c r="O100" i="5" s="1" a="1"/>
  <c r="O100" i="5" s="1"/>
  <c r="M100" i="5"/>
  <c r="N99" i="5"/>
  <c r="O99" i="5" s="1" a="1"/>
  <c r="O99" i="5" s="1"/>
  <c r="M99" i="5"/>
  <c r="N98" i="5"/>
  <c r="O98" i="5" s="1" a="1"/>
  <c r="O98" i="5" s="1"/>
  <c r="M98" i="5"/>
  <c r="N97" i="5"/>
  <c r="O97" i="5" s="1" a="1"/>
  <c r="O97" i="5" s="1"/>
  <c r="M97" i="5"/>
  <c r="N96" i="5"/>
  <c r="O96" i="5" s="1" a="1"/>
  <c r="O96" i="5" s="1"/>
  <c r="M96" i="5"/>
  <c r="N95" i="5"/>
  <c r="O95" i="5" s="1" a="1"/>
  <c r="O95" i="5" s="1"/>
  <c r="M95" i="5"/>
  <c r="N94" i="5"/>
  <c r="O94" i="5" s="1" a="1"/>
  <c r="O94" i="5" s="1"/>
  <c r="M94" i="5"/>
  <c r="N93" i="5"/>
  <c r="O93" i="5" s="1" a="1"/>
  <c r="O93" i="5" s="1"/>
  <c r="M93" i="5"/>
  <c r="N92" i="5"/>
  <c r="O92" i="5" s="1" a="1"/>
  <c r="O92" i="5" s="1"/>
  <c r="M92" i="5"/>
  <c r="N91" i="5"/>
  <c r="O91" i="5" s="1" a="1"/>
  <c r="O91" i="5" s="1"/>
  <c r="M91" i="5"/>
  <c r="N90" i="5"/>
  <c r="O90" i="5" s="1" a="1"/>
  <c r="O90" i="5" s="1"/>
  <c r="M90" i="5"/>
  <c r="N89" i="5"/>
  <c r="O89" i="5" s="1" a="1"/>
  <c r="O89" i="5" s="1"/>
  <c r="M89" i="5"/>
  <c r="N88" i="5"/>
  <c r="O88" i="5" s="1" a="1"/>
  <c r="O88" i="5" s="1"/>
  <c r="M88" i="5"/>
  <c r="N87" i="5"/>
  <c r="O87" i="5" s="1" a="1"/>
  <c r="O87" i="5" s="1"/>
  <c r="M87" i="5"/>
  <c r="N86" i="5"/>
  <c r="O86" i="5" s="1" a="1"/>
  <c r="O86" i="5" s="1"/>
  <c r="M86" i="5"/>
  <c r="N85" i="5"/>
  <c r="O85" i="5" s="1" a="1"/>
  <c r="O85" i="5" s="1"/>
  <c r="M85" i="5"/>
  <c r="N84" i="5"/>
  <c r="O84" i="5" s="1" a="1"/>
  <c r="O84" i="5" s="1"/>
  <c r="M84" i="5"/>
  <c r="N83" i="5"/>
  <c r="O83" i="5" s="1" a="1"/>
  <c r="O83" i="5" s="1"/>
  <c r="M83" i="5"/>
  <c r="N82" i="5"/>
  <c r="O82" i="5" s="1" a="1"/>
  <c r="O82" i="5" s="1"/>
  <c r="M82" i="5"/>
  <c r="N81" i="5"/>
  <c r="O81" i="5" s="1" a="1"/>
  <c r="O81" i="5" s="1"/>
  <c r="M81" i="5"/>
  <c r="N80" i="5"/>
  <c r="O80" i="5" s="1" a="1"/>
  <c r="O80" i="5" s="1"/>
  <c r="M80" i="5"/>
  <c r="N79" i="5"/>
  <c r="O79" i="5" s="1" a="1"/>
  <c r="O79" i="5" s="1"/>
  <c r="M79" i="5"/>
  <c r="N78" i="5"/>
  <c r="O78" i="5" s="1" a="1"/>
  <c r="O78" i="5" s="1"/>
  <c r="M78" i="5"/>
  <c r="N77" i="5"/>
  <c r="O77" i="5" s="1" a="1"/>
  <c r="O77" i="5" s="1"/>
  <c r="M77" i="5"/>
  <c r="N76" i="5"/>
  <c r="O76" i="5" s="1" a="1"/>
  <c r="O76" i="5" s="1"/>
  <c r="M76" i="5"/>
  <c r="N75" i="5"/>
  <c r="O75" i="5" s="1" a="1"/>
  <c r="O75" i="5" s="1"/>
  <c r="M75" i="5"/>
  <c r="N74" i="5"/>
  <c r="O74" i="5" s="1" a="1"/>
  <c r="O74" i="5" s="1"/>
  <c r="M74" i="5"/>
  <c r="N73" i="5"/>
  <c r="O73" i="5" s="1" a="1"/>
  <c r="O73" i="5" s="1"/>
  <c r="M73" i="5"/>
  <c r="N72" i="5"/>
  <c r="O72" i="5" s="1" a="1"/>
  <c r="O72" i="5" s="1"/>
  <c r="M72" i="5"/>
  <c r="N71" i="5"/>
  <c r="O71" i="5" s="1" a="1"/>
  <c r="O71" i="5" s="1"/>
  <c r="M71" i="5"/>
  <c r="N70" i="5"/>
  <c r="O70" i="5" s="1" a="1"/>
  <c r="O70" i="5" s="1"/>
  <c r="M70" i="5"/>
  <c r="N69" i="5"/>
  <c r="O69" i="5" s="1" a="1"/>
  <c r="O69" i="5" s="1"/>
  <c r="M69" i="5"/>
  <c r="N68" i="5"/>
  <c r="O68" i="5" s="1" a="1"/>
  <c r="O68" i="5" s="1"/>
  <c r="M68" i="5"/>
  <c r="N67" i="5"/>
  <c r="O67" i="5" s="1" a="1"/>
  <c r="O67" i="5" s="1"/>
  <c r="M67" i="5"/>
  <c r="N66" i="5"/>
  <c r="O66" i="5" s="1" a="1"/>
  <c r="O66" i="5" s="1"/>
  <c r="M66" i="5"/>
  <c r="N65" i="5"/>
  <c r="O65" i="5" s="1" a="1"/>
  <c r="O65" i="5" s="1"/>
  <c r="M65" i="5"/>
  <c r="N64" i="5"/>
  <c r="O64" i="5" s="1" a="1"/>
  <c r="O64" i="5" s="1"/>
  <c r="M64" i="5"/>
  <c r="N63" i="5"/>
  <c r="O63" i="5" s="1" a="1"/>
  <c r="O63" i="5" s="1"/>
  <c r="M63" i="5"/>
  <c r="N62" i="5"/>
  <c r="O62" i="5" s="1" a="1"/>
  <c r="O62" i="5" s="1"/>
  <c r="M62" i="5"/>
  <c r="N61" i="5"/>
  <c r="O61" i="5" s="1" a="1"/>
  <c r="O61" i="5" s="1"/>
  <c r="M61" i="5"/>
  <c r="N60" i="5"/>
  <c r="O60" i="5" s="1" a="1"/>
  <c r="O60" i="5" s="1"/>
  <c r="M60" i="5"/>
  <c r="N59" i="5"/>
  <c r="O59" i="5" s="1" a="1"/>
  <c r="O59" i="5" s="1"/>
  <c r="M59" i="5"/>
  <c r="N58" i="5"/>
  <c r="O58" i="5" s="1" a="1"/>
  <c r="O58" i="5" s="1"/>
  <c r="M58" i="5"/>
  <c r="N57" i="5"/>
  <c r="O57" i="5" s="1" a="1"/>
  <c r="O57" i="5" s="1"/>
  <c r="M57" i="5"/>
  <c r="N56" i="5"/>
  <c r="O56" i="5" s="1" a="1"/>
  <c r="O56" i="5" s="1"/>
  <c r="M56" i="5"/>
  <c r="N55" i="5"/>
  <c r="O55" i="5" s="1" a="1"/>
  <c r="O55" i="5" s="1"/>
  <c r="M55" i="5"/>
  <c r="N54" i="5"/>
  <c r="O54" i="5" s="1" a="1"/>
  <c r="O54" i="5" s="1"/>
  <c r="M54" i="5"/>
  <c r="N53" i="5"/>
  <c r="O53" i="5" s="1" a="1"/>
  <c r="O53" i="5" s="1"/>
  <c r="M53" i="5"/>
  <c r="N52" i="5"/>
  <c r="O52" i="5" s="1" a="1"/>
  <c r="O52" i="5" s="1"/>
  <c r="M52" i="5"/>
  <c r="N51" i="5"/>
  <c r="O51" i="5" s="1" a="1"/>
  <c r="O51" i="5" s="1"/>
  <c r="M51" i="5"/>
  <c r="N50" i="5"/>
  <c r="O50" i="5" s="1" a="1"/>
  <c r="O50" i="5" s="1"/>
  <c r="M50" i="5"/>
  <c r="N49" i="5"/>
  <c r="O49" i="5" s="1" a="1"/>
  <c r="O49" i="5" s="1"/>
  <c r="M49" i="5"/>
  <c r="N48" i="5"/>
  <c r="O48" i="5" s="1" a="1"/>
  <c r="O48" i="5" s="1"/>
  <c r="M48" i="5"/>
  <c r="N47" i="5"/>
  <c r="O47" i="5" s="1" a="1"/>
  <c r="O47" i="5" s="1"/>
  <c r="M47" i="5"/>
  <c r="N46" i="5"/>
  <c r="O46" i="5" s="1" a="1"/>
  <c r="O46" i="5" s="1"/>
  <c r="M46" i="5"/>
  <c r="N45" i="5"/>
  <c r="O45" i="5" s="1" a="1"/>
  <c r="O45" i="5" s="1"/>
  <c r="M45" i="5"/>
  <c r="N44" i="5"/>
  <c r="O44" i="5" s="1" a="1"/>
  <c r="O44" i="5" s="1"/>
  <c r="M44" i="5"/>
  <c r="N43" i="5"/>
  <c r="O43" i="5" s="1" a="1"/>
  <c r="O43" i="5" s="1"/>
  <c r="M43" i="5"/>
  <c r="N42" i="5"/>
  <c r="O42" i="5" s="1" a="1"/>
  <c r="O42" i="5" s="1"/>
  <c r="M42" i="5"/>
  <c r="N41" i="5"/>
  <c r="O41" i="5" s="1" a="1"/>
  <c r="O41" i="5" s="1"/>
  <c r="M41" i="5"/>
  <c r="N40" i="5"/>
  <c r="O40" i="5" s="1" a="1"/>
  <c r="O40" i="5" s="1"/>
  <c r="M40" i="5"/>
  <c r="N39" i="5"/>
  <c r="O39" i="5" s="1" a="1"/>
  <c r="O39" i="5" s="1"/>
  <c r="M39" i="5"/>
  <c r="N38" i="5"/>
  <c r="O38" i="5" s="1" a="1"/>
  <c r="O38" i="5" s="1"/>
  <c r="M38" i="5"/>
  <c r="N37" i="5"/>
  <c r="O37" i="5" s="1" a="1"/>
  <c r="O37" i="5" s="1"/>
  <c r="M37" i="5"/>
  <c r="N36" i="5"/>
  <c r="O36" i="5" s="1" a="1"/>
  <c r="O36" i="5" s="1"/>
  <c r="M36" i="5"/>
  <c r="N35" i="5"/>
  <c r="O35" i="5" s="1" a="1"/>
  <c r="O35" i="5" s="1"/>
  <c r="M35" i="5"/>
  <c r="N34" i="5"/>
  <c r="O34" i="5" s="1" a="1"/>
  <c r="O34" i="5" s="1"/>
  <c r="M34" i="5"/>
  <c r="N33" i="5"/>
  <c r="O33" i="5" s="1" a="1"/>
  <c r="O33" i="5" s="1"/>
  <c r="M33" i="5"/>
  <c r="N32" i="5"/>
  <c r="O32" i="5" s="1" a="1"/>
  <c r="O32" i="5" s="1"/>
  <c r="M32" i="5"/>
  <c r="N31" i="5"/>
  <c r="O31" i="5" s="1" a="1"/>
  <c r="O31" i="5" s="1"/>
  <c r="M31" i="5"/>
  <c r="N30" i="5"/>
  <c r="O30" i="5" s="1" a="1"/>
  <c r="O30" i="5" s="1"/>
  <c r="M30" i="5"/>
  <c r="N29" i="5"/>
  <c r="O29" i="5" s="1" a="1"/>
  <c r="O29" i="5" s="1"/>
  <c r="M29" i="5"/>
  <c r="N28" i="5"/>
  <c r="O28" i="5" s="1" a="1"/>
  <c r="O28" i="5" s="1"/>
  <c r="M28" i="5"/>
  <c r="N27" i="5"/>
  <c r="O27" i="5" s="1" a="1"/>
  <c r="O27" i="5" s="1"/>
  <c r="M27" i="5"/>
  <c r="N26" i="5"/>
  <c r="O26" i="5" s="1" a="1"/>
  <c r="O26" i="5" s="1"/>
  <c r="M26" i="5"/>
  <c r="N25" i="5"/>
  <c r="O25" i="5" s="1" a="1"/>
  <c r="O25" i="5" s="1"/>
  <c r="M25" i="5"/>
  <c r="N24" i="5"/>
  <c r="O24" i="5" s="1" a="1"/>
  <c r="O24" i="5" s="1"/>
  <c r="M24" i="5"/>
  <c r="N23" i="5"/>
  <c r="O23" i="5" s="1" a="1"/>
  <c r="O23" i="5" s="1"/>
  <c r="M23" i="5"/>
  <c r="N22" i="5"/>
  <c r="O22" i="5" s="1" a="1"/>
  <c r="O22" i="5" s="1"/>
  <c r="M22" i="5"/>
  <c r="N21" i="5"/>
  <c r="O21" i="5" s="1" a="1"/>
  <c r="O21" i="5" s="1"/>
  <c r="M21" i="5"/>
  <c r="N20" i="5"/>
  <c r="O20" i="5" s="1" a="1"/>
  <c r="O20" i="5" s="1"/>
  <c r="M20" i="5"/>
  <c r="N19" i="5"/>
  <c r="O19" i="5" s="1" a="1"/>
  <c r="O19" i="5" s="1"/>
  <c r="M19" i="5"/>
  <c r="N18" i="5"/>
  <c r="O18" i="5" s="1" a="1"/>
  <c r="O18" i="5" s="1"/>
  <c r="M18" i="5"/>
  <c r="N17" i="5"/>
  <c r="O17" i="5" s="1" a="1"/>
  <c r="O17" i="5" s="1"/>
  <c r="M17" i="5"/>
  <c r="N16" i="5"/>
  <c r="O16" i="5" s="1" a="1"/>
  <c r="O16" i="5" s="1"/>
  <c r="M16" i="5"/>
  <c r="N15" i="5"/>
  <c r="O15" i="5" s="1" a="1"/>
  <c r="O15" i="5" s="1"/>
  <c r="M15" i="5"/>
  <c r="N14" i="5"/>
  <c r="O14" i="5" s="1" a="1"/>
  <c r="O14" i="5" s="1"/>
  <c r="M14" i="5"/>
  <c r="N13" i="5"/>
  <c r="O13" i="5" s="1" a="1"/>
  <c r="O13" i="5" s="1"/>
  <c r="M13" i="5"/>
  <c r="N12" i="5"/>
  <c r="O12" i="5" s="1" a="1"/>
  <c r="O12" i="5" s="1"/>
  <c r="M12" i="5"/>
  <c r="N11" i="5"/>
  <c r="O11" i="5" s="1" a="1"/>
  <c r="O11" i="5" s="1"/>
  <c r="M11" i="5"/>
  <c r="N10" i="5"/>
  <c r="O10" i="5" s="1" a="1"/>
  <c r="O10" i="5" s="1"/>
  <c r="M10" i="5"/>
  <c r="N9" i="5"/>
  <c r="O9" i="5" s="1" a="1"/>
  <c r="O9" i="5" s="1"/>
  <c r="M9" i="5"/>
  <c r="N8" i="5"/>
  <c r="O8" i="5" s="1" a="1"/>
  <c r="O8" i="5" s="1"/>
  <c r="M8" i="5"/>
  <c r="N7" i="5"/>
  <c r="O7" i="5" s="1" a="1"/>
  <c r="O7" i="5" s="1"/>
  <c r="M7" i="5"/>
  <c r="N6" i="5"/>
  <c r="O6" i="5" s="1" a="1"/>
  <c r="O6" i="5" s="1"/>
  <c r="M6" i="5"/>
  <c r="N5" i="5"/>
  <c r="O5" i="5" s="1" a="1"/>
  <c r="O5" i="5" s="1"/>
  <c r="M5" i="5"/>
  <c r="N4" i="5"/>
  <c r="O4" i="5" s="1" a="1"/>
  <c r="O4" i="5" s="1"/>
  <c r="M4" i="5"/>
  <c r="N3" i="5"/>
  <c r="O3" i="5" s="1" a="1"/>
  <c r="O3" i="5" s="1"/>
  <c r="M3" i="5"/>
  <c r="N2" i="5"/>
  <c r="O2" i="5" s="1" a="1"/>
  <c r="O2" i="5" s="1"/>
  <c r="M2" i="5"/>
  <c r="R8" i="1"/>
  <c r="M2" i="1"/>
  <c r="N3" i="1"/>
  <c r="O3" i="1" s="1" a="1"/>
  <c r="O3" i="1" s="1"/>
  <c r="N4" i="1"/>
  <c r="O4" i="1" s="1" a="1"/>
  <c r="O4" i="1" s="1"/>
  <c r="N5" i="1"/>
  <c r="O5" i="1" s="1" a="1"/>
  <c r="O5" i="1" s="1"/>
  <c r="N6" i="1"/>
  <c r="O6" i="1" s="1" a="1"/>
  <c r="O6" i="1" s="1"/>
  <c r="N7" i="1"/>
  <c r="O7" i="1" s="1" a="1"/>
  <c r="O7" i="1" s="1"/>
  <c r="N8" i="1"/>
  <c r="O8" i="1" s="1" a="1"/>
  <c r="O8" i="1" s="1"/>
  <c r="N9" i="1"/>
  <c r="O9" i="1" s="1" a="1"/>
  <c r="O9" i="1" s="1"/>
  <c r="N10" i="1"/>
  <c r="O10" i="1" s="1" a="1"/>
  <c r="O10" i="1" s="1"/>
  <c r="N11" i="1"/>
  <c r="O11" i="1" s="1" a="1"/>
  <c r="O11" i="1" s="1"/>
  <c r="N12" i="1"/>
  <c r="O12" i="1" s="1" a="1"/>
  <c r="O12" i="1" s="1"/>
  <c r="N13" i="1"/>
  <c r="O13" i="1" s="1" a="1"/>
  <c r="O13" i="1" s="1"/>
  <c r="N14" i="1"/>
  <c r="O14" i="1" s="1" a="1"/>
  <c r="O14" i="1" s="1"/>
  <c r="N15" i="1"/>
  <c r="O15" i="1" s="1" a="1"/>
  <c r="O15" i="1" s="1"/>
  <c r="N16" i="1"/>
  <c r="O16" i="1" s="1" a="1"/>
  <c r="O16" i="1" s="1"/>
  <c r="N17" i="1"/>
  <c r="O17" i="1" s="1" a="1"/>
  <c r="O17" i="1" s="1"/>
  <c r="N18" i="1"/>
  <c r="O18" i="1" s="1" a="1"/>
  <c r="O18" i="1" s="1"/>
  <c r="N19" i="1"/>
  <c r="O19" i="1" s="1" a="1"/>
  <c r="O19" i="1" s="1"/>
  <c r="N20" i="1"/>
  <c r="O20" i="1" s="1" a="1"/>
  <c r="O20" i="1" s="1"/>
  <c r="N21" i="1"/>
  <c r="O21" i="1" s="1" a="1"/>
  <c r="O21" i="1" s="1"/>
  <c r="N22" i="1"/>
  <c r="O22" i="1" s="1" a="1"/>
  <c r="O22" i="1" s="1"/>
  <c r="N23" i="1"/>
  <c r="O23" i="1" s="1" a="1"/>
  <c r="O23" i="1" s="1"/>
  <c r="N24" i="1"/>
  <c r="O24" i="1" s="1" a="1"/>
  <c r="O24" i="1" s="1"/>
  <c r="N25" i="1"/>
  <c r="O25" i="1" s="1" a="1"/>
  <c r="O25" i="1" s="1"/>
  <c r="N26" i="1"/>
  <c r="O26" i="1" s="1" a="1"/>
  <c r="O26" i="1" s="1"/>
  <c r="N27" i="1"/>
  <c r="O27" i="1" s="1" a="1"/>
  <c r="O27" i="1" s="1"/>
  <c r="N28" i="1"/>
  <c r="O28" i="1" s="1" a="1"/>
  <c r="O28" i="1" s="1"/>
  <c r="N29" i="1"/>
  <c r="O29" i="1" s="1" a="1"/>
  <c r="O29" i="1" s="1"/>
  <c r="N30" i="1"/>
  <c r="O30" i="1" s="1" a="1"/>
  <c r="O30" i="1" s="1"/>
  <c r="N31" i="1"/>
  <c r="O31" i="1" s="1" a="1"/>
  <c r="O31" i="1" s="1"/>
  <c r="N32" i="1"/>
  <c r="O32" i="1" s="1" a="1"/>
  <c r="O32" i="1" s="1"/>
  <c r="N33" i="1"/>
  <c r="O33" i="1" s="1" a="1"/>
  <c r="O33" i="1" s="1"/>
  <c r="N34" i="1"/>
  <c r="O34" i="1" s="1" a="1"/>
  <c r="O34" i="1" s="1"/>
  <c r="N35" i="1"/>
  <c r="O35" i="1" s="1" a="1"/>
  <c r="O35" i="1" s="1"/>
  <c r="N36" i="1"/>
  <c r="O36" i="1" s="1" a="1"/>
  <c r="O36" i="1" s="1"/>
  <c r="N37" i="1"/>
  <c r="O37" i="1" s="1" a="1"/>
  <c r="O37" i="1" s="1"/>
  <c r="N38" i="1"/>
  <c r="O38" i="1" s="1" a="1"/>
  <c r="O38" i="1" s="1"/>
  <c r="N39" i="1"/>
  <c r="O39" i="1" s="1" a="1"/>
  <c r="O39" i="1" s="1"/>
  <c r="N40" i="1"/>
  <c r="O40" i="1" s="1" a="1"/>
  <c r="O40" i="1" s="1"/>
  <c r="N41" i="1"/>
  <c r="O41" i="1" s="1" a="1"/>
  <c r="O41" i="1" s="1"/>
  <c r="N42" i="1"/>
  <c r="O42" i="1" s="1" a="1"/>
  <c r="O42" i="1" s="1"/>
  <c r="N43" i="1"/>
  <c r="O43" i="1" s="1" a="1"/>
  <c r="O43" i="1" s="1"/>
  <c r="N44" i="1"/>
  <c r="O44" i="1" s="1" a="1"/>
  <c r="O44" i="1" s="1"/>
  <c r="N45" i="1"/>
  <c r="O45" i="1" s="1" a="1"/>
  <c r="O45" i="1" s="1"/>
  <c r="N46" i="1"/>
  <c r="O46" i="1" s="1" a="1"/>
  <c r="O46" i="1" s="1"/>
  <c r="N47" i="1"/>
  <c r="O47" i="1" s="1" a="1"/>
  <c r="O47" i="1" s="1"/>
  <c r="N48" i="1"/>
  <c r="O48" i="1" s="1" a="1"/>
  <c r="O48" i="1" s="1"/>
  <c r="N49" i="1"/>
  <c r="O49" i="1" s="1" a="1"/>
  <c r="O49" i="1" s="1"/>
  <c r="N50" i="1"/>
  <c r="O50" i="1" s="1" a="1"/>
  <c r="O50" i="1" s="1"/>
  <c r="N51" i="1"/>
  <c r="O51" i="1" s="1" a="1"/>
  <c r="O51" i="1" s="1"/>
  <c r="N52" i="1"/>
  <c r="O52" i="1" s="1" a="1"/>
  <c r="O52" i="1" s="1"/>
  <c r="N53" i="1"/>
  <c r="O53" i="1" s="1" a="1"/>
  <c r="O53" i="1" s="1"/>
  <c r="N54" i="1"/>
  <c r="O54" i="1" s="1" a="1"/>
  <c r="O54" i="1" s="1"/>
  <c r="N55" i="1"/>
  <c r="O55" i="1" s="1" a="1"/>
  <c r="O55" i="1" s="1"/>
  <c r="N56" i="1"/>
  <c r="O56" i="1" s="1" a="1"/>
  <c r="O56" i="1" s="1"/>
  <c r="N57" i="1"/>
  <c r="O57" i="1" s="1" a="1"/>
  <c r="O57" i="1" s="1"/>
  <c r="N58" i="1"/>
  <c r="O58" i="1" s="1" a="1"/>
  <c r="O58" i="1" s="1"/>
  <c r="N59" i="1"/>
  <c r="O59" i="1" s="1" a="1"/>
  <c r="O59" i="1" s="1"/>
  <c r="N60" i="1"/>
  <c r="O60" i="1" s="1" a="1"/>
  <c r="O60" i="1" s="1"/>
  <c r="N61" i="1"/>
  <c r="O61" i="1" s="1" a="1"/>
  <c r="O61" i="1" s="1"/>
  <c r="N62" i="1"/>
  <c r="O62" i="1" s="1" a="1"/>
  <c r="O62" i="1" s="1"/>
  <c r="N63" i="1"/>
  <c r="O63" i="1" s="1" a="1"/>
  <c r="O63" i="1" s="1"/>
  <c r="N64" i="1"/>
  <c r="O64" i="1" s="1" a="1"/>
  <c r="O64" i="1" s="1"/>
  <c r="N65" i="1"/>
  <c r="O65" i="1" s="1" a="1"/>
  <c r="O65" i="1" s="1"/>
  <c r="N66" i="1"/>
  <c r="O66" i="1" s="1" a="1"/>
  <c r="O66" i="1" s="1"/>
  <c r="N67" i="1"/>
  <c r="O67" i="1" s="1" a="1"/>
  <c r="O67" i="1" s="1"/>
  <c r="N68" i="1"/>
  <c r="O68" i="1" s="1" a="1"/>
  <c r="O68" i="1" s="1"/>
  <c r="N69" i="1"/>
  <c r="O69" i="1" s="1" a="1"/>
  <c r="O69" i="1" s="1"/>
  <c r="N70" i="1"/>
  <c r="O70" i="1" s="1" a="1"/>
  <c r="O70" i="1" s="1"/>
  <c r="N71" i="1"/>
  <c r="O71" i="1" s="1" a="1"/>
  <c r="O71" i="1" s="1"/>
  <c r="N72" i="1"/>
  <c r="O72" i="1" s="1" a="1"/>
  <c r="O72" i="1" s="1"/>
  <c r="N73" i="1"/>
  <c r="O73" i="1" s="1" a="1"/>
  <c r="O73" i="1" s="1"/>
  <c r="N74" i="1"/>
  <c r="O74" i="1" s="1" a="1"/>
  <c r="O74" i="1" s="1"/>
  <c r="N75" i="1"/>
  <c r="O75" i="1" s="1" a="1"/>
  <c r="O75" i="1" s="1"/>
  <c r="N76" i="1"/>
  <c r="O76" i="1" s="1" a="1"/>
  <c r="O76" i="1" s="1"/>
  <c r="N77" i="1"/>
  <c r="O77" i="1" s="1" a="1"/>
  <c r="O77" i="1" s="1"/>
  <c r="N78" i="1"/>
  <c r="O78" i="1" s="1" a="1"/>
  <c r="O78" i="1" s="1"/>
  <c r="N79" i="1"/>
  <c r="O79" i="1" s="1" a="1"/>
  <c r="O79" i="1" s="1"/>
  <c r="N80" i="1"/>
  <c r="O80" i="1" s="1" a="1"/>
  <c r="O80" i="1" s="1"/>
  <c r="N81" i="1"/>
  <c r="O81" i="1" s="1" a="1"/>
  <c r="O81" i="1" s="1"/>
  <c r="N82" i="1"/>
  <c r="O82" i="1" s="1" a="1"/>
  <c r="O82" i="1" s="1"/>
  <c r="N83" i="1"/>
  <c r="O83" i="1" s="1" a="1"/>
  <c r="O83" i="1" s="1"/>
  <c r="N84" i="1"/>
  <c r="O84" i="1" s="1" a="1"/>
  <c r="O84" i="1" s="1"/>
  <c r="N85" i="1"/>
  <c r="O85" i="1" s="1" a="1"/>
  <c r="O85" i="1" s="1"/>
  <c r="N86" i="1"/>
  <c r="O86" i="1" s="1" a="1"/>
  <c r="O86" i="1" s="1"/>
  <c r="N87" i="1"/>
  <c r="O87" i="1" s="1" a="1"/>
  <c r="O87" i="1" s="1"/>
  <c r="N88" i="1"/>
  <c r="O88" i="1" s="1" a="1"/>
  <c r="O88" i="1" s="1"/>
  <c r="N89" i="1"/>
  <c r="O89" i="1" s="1" a="1"/>
  <c r="O89" i="1" s="1"/>
  <c r="N90" i="1"/>
  <c r="O90" i="1" s="1" a="1"/>
  <c r="O90" i="1" s="1"/>
  <c r="N91" i="1"/>
  <c r="O91" i="1" s="1" a="1"/>
  <c r="O91" i="1" s="1"/>
  <c r="N92" i="1"/>
  <c r="O92" i="1" s="1" a="1"/>
  <c r="O92" i="1" s="1"/>
  <c r="N93" i="1"/>
  <c r="O93" i="1" s="1" a="1"/>
  <c r="O93" i="1" s="1"/>
  <c r="N94" i="1"/>
  <c r="O94" i="1" s="1" a="1"/>
  <c r="O94" i="1" s="1"/>
  <c r="N95" i="1"/>
  <c r="O95" i="1" s="1" a="1"/>
  <c r="O95" i="1" s="1"/>
  <c r="N96" i="1"/>
  <c r="O96" i="1" s="1" a="1"/>
  <c r="O96" i="1" s="1"/>
  <c r="N97" i="1"/>
  <c r="O97" i="1" s="1" a="1"/>
  <c r="O97" i="1" s="1"/>
  <c r="N98" i="1"/>
  <c r="O98" i="1" s="1" a="1"/>
  <c r="O98" i="1" s="1"/>
  <c r="N99" i="1"/>
  <c r="O99" i="1" s="1" a="1"/>
  <c r="O99" i="1" s="1"/>
  <c r="N100" i="1"/>
  <c r="O100" i="1" s="1" a="1"/>
  <c r="O100" i="1" s="1"/>
  <c r="N101" i="1"/>
  <c r="O101" i="1" s="1" a="1"/>
  <c r="O101" i="1" s="1"/>
  <c r="N102" i="1"/>
  <c r="O102" i="1" s="1" a="1"/>
  <c r="O102" i="1" s="1"/>
  <c r="N103" i="1"/>
  <c r="O103" i="1" s="1" a="1"/>
  <c r="O103" i="1" s="1"/>
  <c r="N104" i="1"/>
  <c r="O104" i="1" s="1" a="1"/>
  <c r="O104" i="1" s="1"/>
  <c r="N105" i="1"/>
  <c r="O105" i="1" s="1" a="1"/>
  <c r="O105" i="1" s="1"/>
  <c r="N106" i="1"/>
  <c r="O106" i="1" s="1" a="1"/>
  <c r="O106" i="1" s="1"/>
  <c r="N107" i="1"/>
  <c r="O107" i="1" s="1" a="1"/>
  <c r="O107" i="1" s="1"/>
  <c r="N108" i="1"/>
  <c r="O108" i="1" s="1" a="1"/>
  <c r="O108" i="1" s="1"/>
  <c r="N109" i="1"/>
  <c r="O109" i="1" s="1" a="1"/>
  <c r="O109" i="1" s="1"/>
  <c r="N110" i="1"/>
  <c r="O110" i="1" s="1" a="1"/>
  <c r="O110" i="1" s="1"/>
  <c r="N111" i="1"/>
  <c r="O111" i="1" s="1" a="1"/>
  <c r="O111" i="1" s="1"/>
  <c r="N112" i="1"/>
  <c r="O112" i="1" s="1" a="1"/>
  <c r="O112" i="1" s="1"/>
  <c r="N113" i="1"/>
  <c r="O113" i="1" s="1" a="1"/>
  <c r="O113" i="1" s="1"/>
  <c r="N114" i="1"/>
  <c r="O114" i="1" s="1" a="1"/>
  <c r="O114" i="1" s="1"/>
  <c r="N115" i="1"/>
  <c r="O115" i="1" s="1" a="1"/>
  <c r="O115" i="1" s="1"/>
  <c r="N116" i="1"/>
  <c r="O116" i="1" s="1" a="1"/>
  <c r="O116" i="1" s="1"/>
  <c r="N117" i="1"/>
  <c r="O117" i="1" s="1" a="1"/>
  <c r="O117" i="1" s="1"/>
  <c r="N118" i="1"/>
  <c r="O118" i="1" s="1" a="1"/>
  <c r="O118" i="1" s="1"/>
  <c r="N119" i="1"/>
  <c r="O119" i="1" s="1" a="1"/>
  <c r="O119" i="1" s="1"/>
  <c r="N120" i="1"/>
  <c r="O120" i="1" s="1" a="1"/>
  <c r="O120" i="1" s="1"/>
  <c r="N121" i="1"/>
  <c r="O121" i="1" s="1" a="1"/>
  <c r="O121" i="1" s="1"/>
  <c r="N122" i="1"/>
  <c r="O122" i="1" s="1" a="1"/>
  <c r="O122" i="1" s="1"/>
  <c r="N123" i="1"/>
  <c r="O123" i="1" s="1" a="1"/>
  <c r="O123" i="1" s="1"/>
  <c r="N124" i="1"/>
  <c r="O124" i="1" s="1" a="1"/>
  <c r="O124" i="1" s="1"/>
  <c r="N125" i="1"/>
  <c r="O125" i="1" s="1" a="1"/>
  <c r="O125" i="1" s="1"/>
  <c r="N126" i="1"/>
  <c r="O126" i="1" s="1" a="1"/>
  <c r="O126" i="1" s="1"/>
  <c r="N127" i="1"/>
  <c r="O127" i="1" s="1" a="1"/>
  <c r="O127" i="1" s="1"/>
  <c r="N128" i="1"/>
  <c r="O128" i="1" s="1" a="1"/>
  <c r="O128" i="1" s="1"/>
  <c r="N129" i="1"/>
  <c r="O129" i="1" s="1" a="1"/>
  <c r="O129" i="1" s="1"/>
  <c r="N130" i="1"/>
  <c r="O130" i="1" s="1" a="1"/>
  <c r="O130" i="1" s="1"/>
  <c r="N131" i="1"/>
  <c r="O131" i="1" s="1" a="1"/>
  <c r="O131" i="1" s="1"/>
  <c r="N132" i="1"/>
  <c r="O132" i="1" s="1" a="1"/>
  <c r="O132" i="1" s="1"/>
  <c r="N133" i="1"/>
  <c r="O133" i="1" s="1" a="1"/>
  <c r="O133" i="1" s="1"/>
  <c r="N134" i="1"/>
  <c r="O134" i="1" s="1" a="1"/>
  <c r="O134" i="1" s="1"/>
  <c r="N135" i="1"/>
  <c r="O135" i="1" s="1" a="1"/>
  <c r="O135" i="1" s="1"/>
  <c r="N136" i="1"/>
  <c r="O136" i="1" s="1" a="1"/>
  <c r="O136" i="1" s="1"/>
  <c r="N137" i="1"/>
  <c r="O137" i="1" s="1" a="1"/>
  <c r="O137" i="1" s="1"/>
  <c r="N138" i="1"/>
  <c r="O138" i="1" s="1" a="1"/>
  <c r="O138" i="1" s="1"/>
  <c r="N139" i="1"/>
  <c r="O139" i="1" s="1" a="1"/>
  <c r="O139" i="1" s="1"/>
  <c r="N140" i="1"/>
  <c r="O140" i="1" s="1" a="1"/>
  <c r="O140" i="1" s="1"/>
  <c r="N141" i="1"/>
  <c r="O141" i="1" s="1" a="1"/>
  <c r="O141" i="1" s="1"/>
  <c r="N142" i="1"/>
  <c r="O142" i="1" s="1" a="1"/>
  <c r="O142" i="1" s="1"/>
  <c r="N143" i="1"/>
  <c r="O143" i="1" s="1" a="1"/>
  <c r="O143" i="1" s="1"/>
  <c r="N144" i="1"/>
  <c r="O144" i="1" s="1" a="1"/>
  <c r="O144" i="1" s="1"/>
  <c r="N145" i="1"/>
  <c r="O145" i="1" s="1" a="1"/>
  <c r="O145" i="1" s="1"/>
  <c r="N146" i="1"/>
  <c r="O146" i="1" s="1" a="1"/>
  <c r="O146" i="1" s="1"/>
  <c r="N147" i="1"/>
  <c r="O147" i="1" s="1" a="1"/>
  <c r="O147" i="1" s="1"/>
  <c r="N148" i="1"/>
  <c r="O148" i="1" s="1" a="1"/>
  <c r="O148" i="1" s="1"/>
  <c r="N149" i="1"/>
  <c r="O149" i="1" s="1" a="1"/>
  <c r="O149" i="1" s="1"/>
  <c r="N150" i="1"/>
  <c r="O150" i="1" s="1" a="1"/>
  <c r="O150" i="1" s="1"/>
  <c r="N151" i="1"/>
  <c r="O151" i="1" s="1" a="1"/>
  <c r="O151" i="1" s="1"/>
  <c r="N152" i="1"/>
  <c r="O152" i="1" s="1" a="1"/>
  <c r="O152" i="1" s="1"/>
  <c r="N153" i="1"/>
  <c r="O153" i="1" s="1" a="1"/>
  <c r="O153" i="1" s="1"/>
  <c r="N154" i="1"/>
  <c r="O154" i="1" s="1" a="1"/>
  <c r="O154" i="1" s="1"/>
  <c r="N155" i="1"/>
  <c r="O155" i="1" s="1" a="1"/>
  <c r="O155" i="1" s="1"/>
  <c r="N156" i="1"/>
  <c r="O156" i="1" s="1" a="1"/>
  <c r="O156" i="1" s="1"/>
  <c r="N157" i="1"/>
  <c r="O157" i="1" s="1" a="1"/>
  <c r="O157" i="1" s="1"/>
  <c r="N158" i="1"/>
  <c r="O158" i="1" s="1" a="1"/>
  <c r="O158" i="1" s="1"/>
  <c r="N159" i="1"/>
  <c r="O159" i="1" s="1" a="1"/>
  <c r="O159" i="1" s="1"/>
  <c r="N160" i="1"/>
  <c r="O160" i="1" s="1" a="1"/>
  <c r="O160" i="1" s="1"/>
  <c r="N161" i="1"/>
  <c r="O161" i="1" s="1" a="1"/>
  <c r="O161" i="1" s="1"/>
  <c r="N162" i="1"/>
  <c r="O162" i="1" s="1" a="1"/>
  <c r="O162" i="1" s="1"/>
  <c r="N163" i="1"/>
  <c r="O163" i="1" s="1" a="1"/>
  <c r="O163" i="1" s="1"/>
  <c r="N164" i="1"/>
  <c r="O164" i="1" s="1" a="1"/>
  <c r="O164" i="1" s="1"/>
  <c r="N165" i="1"/>
  <c r="O165" i="1" s="1" a="1"/>
  <c r="O165" i="1" s="1"/>
  <c r="N166" i="1"/>
  <c r="O166" i="1" s="1" a="1"/>
  <c r="O166" i="1" s="1"/>
  <c r="N167" i="1"/>
  <c r="O167" i="1" s="1" a="1"/>
  <c r="O167" i="1" s="1"/>
  <c r="N168" i="1"/>
  <c r="O168" i="1" s="1" a="1"/>
  <c r="O168" i="1" s="1"/>
  <c r="N169" i="1"/>
  <c r="O169" i="1" s="1" a="1"/>
  <c r="O169" i="1" s="1"/>
  <c r="N170" i="1"/>
  <c r="O170" i="1" s="1" a="1"/>
  <c r="O170" i="1" s="1"/>
  <c r="N171" i="1"/>
  <c r="O171" i="1" s="1" a="1"/>
  <c r="O171" i="1" s="1"/>
  <c r="N172" i="1"/>
  <c r="O172" i="1" s="1" a="1"/>
  <c r="O172" i="1" s="1"/>
  <c r="N173" i="1"/>
  <c r="O173" i="1" s="1" a="1"/>
  <c r="O173" i="1" s="1"/>
  <c r="N174" i="1"/>
  <c r="O174" i="1" s="1" a="1"/>
  <c r="O174" i="1" s="1"/>
  <c r="N175" i="1"/>
  <c r="O175" i="1" s="1" a="1"/>
  <c r="O175" i="1" s="1"/>
  <c r="N176" i="1"/>
  <c r="O176" i="1" s="1" a="1"/>
  <c r="O176" i="1" s="1"/>
  <c r="N177" i="1"/>
  <c r="O177" i="1" s="1" a="1"/>
  <c r="O177" i="1" s="1"/>
  <c r="N178" i="1"/>
  <c r="O178" i="1" s="1" a="1"/>
  <c r="O178" i="1" s="1"/>
  <c r="N179" i="1"/>
  <c r="O179" i="1" s="1" a="1"/>
  <c r="O179" i="1" s="1"/>
  <c r="N180" i="1"/>
  <c r="O180" i="1" s="1" a="1"/>
  <c r="O180" i="1" s="1"/>
  <c r="N181" i="1"/>
  <c r="O181" i="1" s="1" a="1"/>
  <c r="O181" i="1" s="1"/>
  <c r="N182" i="1"/>
  <c r="O182" i="1" s="1" a="1"/>
  <c r="O182" i="1" s="1"/>
  <c r="N183" i="1"/>
  <c r="O183" i="1" s="1" a="1"/>
  <c r="O183" i="1" s="1"/>
  <c r="N184" i="1"/>
  <c r="O184" i="1" s="1" a="1"/>
  <c r="O184" i="1" s="1"/>
  <c r="N185" i="1"/>
  <c r="O185" i="1" s="1" a="1"/>
  <c r="O185" i="1" s="1"/>
  <c r="N186" i="1"/>
  <c r="O186" i="1" s="1" a="1"/>
  <c r="O186" i="1" s="1"/>
  <c r="N187" i="1"/>
  <c r="O187" i="1" s="1" a="1"/>
  <c r="O187" i="1" s="1"/>
  <c r="N188" i="1"/>
  <c r="O188" i="1" s="1" a="1"/>
  <c r="O188" i="1" s="1"/>
  <c r="N189" i="1"/>
  <c r="O189" i="1" s="1" a="1"/>
  <c r="O189" i="1" s="1"/>
  <c r="N190" i="1"/>
  <c r="O190" i="1" s="1" a="1"/>
  <c r="O190" i="1" s="1"/>
  <c r="N191" i="1"/>
  <c r="O191" i="1" s="1" a="1"/>
  <c r="O191" i="1" s="1"/>
  <c r="N192" i="1"/>
  <c r="O192" i="1" s="1" a="1"/>
  <c r="O192" i="1" s="1"/>
  <c r="N193" i="1"/>
  <c r="O193" i="1" s="1" a="1"/>
  <c r="O193" i="1" s="1"/>
  <c r="N194" i="1"/>
  <c r="O194" i="1" s="1" a="1"/>
  <c r="O194" i="1" s="1"/>
  <c r="N195" i="1"/>
  <c r="O195" i="1" s="1" a="1"/>
  <c r="O195" i="1" s="1"/>
  <c r="N196" i="1"/>
  <c r="O196" i="1" s="1" a="1"/>
  <c r="O196" i="1" s="1"/>
  <c r="N197" i="1"/>
  <c r="O197" i="1" s="1" a="1"/>
  <c r="O197" i="1" s="1"/>
  <c r="N198" i="1"/>
  <c r="O198" i="1" s="1" a="1"/>
  <c r="O198" i="1" s="1"/>
  <c r="N199" i="1"/>
  <c r="O199" i="1" s="1" a="1"/>
  <c r="O199" i="1" s="1"/>
  <c r="N200" i="1"/>
  <c r="O200" i="1" s="1" a="1"/>
  <c r="O200" i="1" s="1"/>
  <c r="N201" i="1"/>
  <c r="O201" i="1" s="1" a="1"/>
  <c r="O201" i="1" s="1"/>
  <c r="N202" i="1"/>
  <c r="O202" i="1" s="1" a="1"/>
  <c r="O202" i="1" s="1"/>
  <c r="N203" i="1"/>
  <c r="O203" i="1" s="1" a="1"/>
  <c r="O203" i="1" s="1"/>
  <c r="N204" i="1"/>
  <c r="O204" i="1" s="1" a="1"/>
  <c r="O204" i="1" s="1"/>
  <c r="N205" i="1"/>
  <c r="O205" i="1" s="1" a="1"/>
  <c r="O205" i="1" s="1"/>
  <c r="N206" i="1"/>
  <c r="O206" i="1" s="1" a="1"/>
  <c r="O206" i="1" s="1"/>
  <c r="N207" i="1"/>
  <c r="O207" i="1" s="1" a="1"/>
  <c r="O207" i="1" s="1"/>
  <c r="N208" i="1"/>
  <c r="O208" i="1" s="1" a="1"/>
  <c r="O208" i="1" s="1"/>
  <c r="N209" i="1"/>
  <c r="O209" i="1" s="1" a="1"/>
  <c r="O209" i="1" s="1"/>
  <c r="N210" i="1"/>
  <c r="O210" i="1" s="1" a="1"/>
  <c r="O210" i="1" s="1"/>
  <c r="N211" i="1"/>
  <c r="O211" i="1" s="1" a="1"/>
  <c r="O211" i="1" s="1"/>
  <c r="N212" i="1"/>
  <c r="O212" i="1" s="1" a="1"/>
  <c r="O212" i="1" s="1"/>
  <c r="N213" i="1"/>
  <c r="O213" i="1" s="1" a="1"/>
  <c r="O213" i="1" s="1"/>
  <c r="N214" i="1"/>
  <c r="O214" i="1" s="1" a="1"/>
  <c r="O214" i="1" s="1"/>
  <c r="N215" i="1"/>
  <c r="O215" i="1" s="1" a="1"/>
  <c r="O215" i="1" s="1"/>
  <c r="N216" i="1"/>
  <c r="O216" i="1" s="1" a="1"/>
  <c r="O216" i="1" s="1"/>
  <c r="N217" i="1"/>
  <c r="O217" i="1" s="1" a="1"/>
  <c r="O217" i="1" s="1"/>
  <c r="N218" i="1"/>
  <c r="O218" i="1" s="1" a="1"/>
  <c r="O218" i="1" s="1"/>
  <c r="N219" i="1"/>
  <c r="O219" i="1" s="1" a="1"/>
  <c r="O219" i="1" s="1"/>
  <c r="N220" i="1"/>
  <c r="O220" i="1" s="1" a="1"/>
  <c r="O220" i="1" s="1"/>
  <c r="N221" i="1"/>
  <c r="O221" i="1" s="1" a="1"/>
  <c r="O221" i="1" s="1"/>
  <c r="N222" i="1"/>
  <c r="O222" i="1" s="1" a="1"/>
  <c r="O222" i="1" s="1"/>
  <c r="N223" i="1"/>
  <c r="O223" i="1" s="1" a="1"/>
  <c r="O223" i="1" s="1"/>
  <c r="N224" i="1"/>
  <c r="O224" i="1" s="1" a="1"/>
  <c r="O224" i="1" s="1"/>
  <c r="N225" i="1"/>
  <c r="O225" i="1" s="1" a="1"/>
  <c r="O225" i="1" s="1"/>
  <c r="N226" i="1"/>
  <c r="O226" i="1" s="1" a="1"/>
  <c r="O226" i="1" s="1"/>
  <c r="N227" i="1"/>
  <c r="O227" i="1" s="1" a="1"/>
  <c r="O227" i="1" s="1"/>
  <c r="N228" i="1"/>
  <c r="O228" i="1" s="1" a="1"/>
  <c r="O228" i="1" s="1"/>
  <c r="N229" i="1"/>
  <c r="O229" i="1" s="1" a="1"/>
  <c r="O229" i="1" s="1"/>
  <c r="N230" i="1"/>
  <c r="O230" i="1" s="1" a="1"/>
  <c r="O230" i="1" s="1"/>
  <c r="N231" i="1"/>
  <c r="O231" i="1" s="1" a="1"/>
  <c r="O231" i="1" s="1"/>
  <c r="N232" i="1"/>
  <c r="O232" i="1" s="1" a="1"/>
  <c r="O232" i="1" s="1"/>
  <c r="N233" i="1"/>
  <c r="O233" i="1" s="1" a="1"/>
  <c r="O233" i="1" s="1"/>
  <c r="N234" i="1"/>
  <c r="O234" i="1" s="1" a="1"/>
  <c r="O234" i="1" s="1"/>
  <c r="N235" i="1"/>
  <c r="O235" i="1" s="1" a="1"/>
  <c r="O235" i="1" s="1"/>
  <c r="N236" i="1"/>
  <c r="O236" i="1" s="1" a="1"/>
  <c r="O236" i="1" s="1"/>
  <c r="N237" i="1"/>
  <c r="O237" i="1" s="1" a="1"/>
  <c r="O237" i="1" s="1"/>
  <c r="N238" i="1"/>
  <c r="O238" i="1" s="1" a="1"/>
  <c r="O238" i="1" s="1"/>
  <c r="N239" i="1"/>
  <c r="O239" i="1" s="1" a="1"/>
  <c r="O239" i="1" s="1"/>
  <c r="N240" i="1"/>
  <c r="O240" i="1" s="1" a="1"/>
  <c r="O240" i="1" s="1"/>
  <c r="N241" i="1"/>
  <c r="O241" i="1" s="1" a="1"/>
  <c r="O241" i="1" s="1"/>
  <c r="N242" i="1"/>
  <c r="O242" i="1" s="1" a="1"/>
  <c r="O242" i="1" s="1"/>
  <c r="N243" i="1"/>
  <c r="O243" i="1" s="1" a="1"/>
  <c r="O243" i="1" s="1"/>
  <c r="N244" i="1"/>
  <c r="O244" i="1" s="1" a="1"/>
  <c r="O244" i="1" s="1"/>
  <c r="N245" i="1"/>
  <c r="O245" i="1" s="1" a="1"/>
  <c r="O245" i="1" s="1"/>
  <c r="N246" i="1"/>
  <c r="O246" i="1" s="1" a="1"/>
  <c r="O246" i="1" s="1"/>
  <c r="N247" i="1"/>
  <c r="O247" i="1" s="1" a="1"/>
  <c r="O247" i="1" s="1"/>
  <c r="N248" i="1"/>
  <c r="O248" i="1" s="1" a="1"/>
  <c r="O248" i="1" s="1"/>
  <c r="N249" i="1"/>
  <c r="O249" i="1" s="1" a="1"/>
  <c r="O249" i="1" s="1"/>
  <c r="N250" i="1"/>
  <c r="O250" i="1" s="1" a="1"/>
  <c r="O250" i="1" s="1"/>
  <c r="N251" i="1"/>
  <c r="O251" i="1" s="1" a="1"/>
  <c r="O251" i="1" s="1"/>
  <c r="N252" i="1"/>
  <c r="O252" i="1" s="1" a="1"/>
  <c r="O252" i="1" s="1"/>
  <c r="N253" i="1"/>
  <c r="O253" i="1" s="1" a="1"/>
  <c r="O253" i="1" s="1"/>
  <c r="N254" i="1"/>
  <c r="O254" i="1" s="1" a="1"/>
  <c r="O254" i="1" s="1"/>
  <c r="N255" i="1"/>
  <c r="O255" i="1" s="1" a="1"/>
  <c r="O255" i="1" s="1"/>
  <c r="N256" i="1"/>
  <c r="O256" i="1" s="1" a="1"/>
  <c r="O256" i="1" s="1"/>
  <c r="N257" i="1"/>
  <c r="O257" i="1" s="1" a="1"/>
  <c r="O257" i="1" s="1"/>
  <c r="N258" i="1"/>
  <c r="O258" i="1" s="1" a="1"/>
  <c r="O258" i="1" s="1"/>
  <c r="N259" i="1"/>
  <c r="O259" i="1" s="1" a="1"/>
  <c r="O259" i="1" s="1"/>
  <c r="N260" i="1"/>
  <c r="O260" i="1" s="1" a="1"/>
  <c r="O260" i="1" s="1"/>
  <c r="N261" i="1"/>
  <c r="O261" i="1" s="1" a="1"/>
  <c r="O261" i="1" s="1"/>
  <c r="N262" i="1"/>
  <c r="O262" i="1" s="1" a="1"/>
  <c r="O262" i="1" s="1"/>
  <c r="N263" i="1"/>
  <c r="O263" i="1" s="1" a="1"/>
  <c r="O263" i="1" s="1"/>
  <c r="N264" i="1"/>
  <c r="O264" i="1" s="1" a="1"/>
  <c r="O264" i="1" s="1"/>
  <c r="N265" i="1"/>
  <c r="O265" i="1" s="1" a="1"/>
  <c r="O265" i="1" s="1"/>
  <c r="N266" i="1"/>
  <c r="O266" i="1" s="1" a="1"/>
  <c r="O266" i="1" s="1"/>
  <c r="N267" i="1"/>
  <c r="O267" i="1" s="1" a="1"/>
  <c r="O267" i="1" s="1"/>
  <c r="N268" i="1"/>
  <c r="O268" i="1" s="1" a="1"/>
  <c r="O268" i="1" s="1"/>
  <c r="N269" i="1"/>
  <c r="O269" i="1" s="1" a="1"/>
  <c r="O269" i="1" s="1"/>
  <c r="N270" i="1"/>
  <c r="O270" i="1" s="1" a="1"/>
  <c r="O270" i="1" s="1"/>
  <c r="N271" i="1"/>
  <c r="O271" i="1" s="1" a="1"/>
  <c r="O271" i="1" s="1"/>
  <c r="N272" i="1"/>
  <c r="O272" i="1" s="1" a="1"/>
  <c r="O272" i="1" s="1"/>
  <c r="N273" i="1"/>
  <c r="O273" i="1" s="1" a="1"/>
  <c r="O273" i="1" s="1"/>
  <c r="N274" i="1"/>
  <c r="O274" i="1" s="1" a="1"/>
  <c r="O274" i="1" s="1"/>
  <c r="N275" i="1"/>
  <c r="O275" i="1" s="1" a="1"/>
  <c r="O275" i="1" s="1"/>
  <c r="N276" i="1"/>
  <c r="O276" i="1" s="1" a="1"/>
  <c r="O276" i="1" s="1"/>
  <c r="N277" i="1"/>
  <c r="O277" i="1" s="1" a="1"/>
  <c r="O277" i="1" s="1"/>
  <c r="N278" i="1"/>
  <c r="O278" i="1" s="1" a="1"/>
  <c r="O278" i="1" s="1"/>
  <c r="N279" i="1"/>
  <c r="O279" i="1" s="1" a="1"/>
  <c r="O279" i="1" s="1"/>
  <c r="N280" i="1"/>
  <c r="O280" i="1" s="1" a="1"/>
  <c r="O280" i="1" s="1"/>
  <c r="N281" i="1"/>
  <c r="O281" i="1" s="1" a="1"/>
  <c r="O281" i="1" s="1"/>
  <c r="N282" i="1"/>
  <c r="O282" i="1" s="1" a="1"/>
  <c r="O282" i="1" s="1"/>
  <c r="N283" i="1"/>
  <c r="O283" i="1" s="1" a="1"/>
  <c r="O283" i="1" s="1"/>
  <c r="N284" i="1"/>
  <c r="O284" i="1" s="1" a="1"/>
  <c r="O284" i="1" s="1"/>
  <c r="N285" i="1"/>
  <c r="O285" i="1" s="1" a="1"/>
  <c r="O285" i="1" s="1"/>
  <c r="N286" i="1"/>
  <c r="O286" i="1" s="1" a="1"/>
  <c r="O286" i="1" s="1"/>
  <c r="N287" i="1"/>
  <c r="O287" i="1" s="1" a="1"/>
  <c r="O287" i="1" s="1"/>
  <c r="N288" i="1"/>
  <c r="O288" i="1" s="1" a="1"/>
  <c r="O288" i="1" s="1"/>
  <c r="N289" i="1"/>
  <c r="O289" i="1" s="1" a="1"/>
  <c r="O289" i="1" s="1"/>
  <c r="N290" i="1"/>
  <c r="O290" i="1" s="1" a="1"/>
  <c r="O290" i="1" s="1"/>
  <c r="N291" i="1"/>
  <c r="O291" i="1" s="1" a="1"/>
  <c r="O291" i="1" s="1"/>
  <c r="N292" i="1"/>
  <c r="O292" i="1" s="1" a="1"/>
  <c r="O292" i="1" s="1"/>
  <c r="N293" i="1"/>
  <c r="O293" i="1" s="1" a="1"/>
  <c r="O293" i="1" s="1"/>
  <c r="N294" i="1"/>
  <c r="O294" i="1" s="1" a="1"/>
  <c r="O294" i="1" s="1"/>
  <c r="N295" i="1"/>
  <c r="O295" i="1" s="1" a="1"/>
  <c r="O295" i="1" s="1"/>
  <c r="N296" i="1"/>
  <c r="O296" i="1" s="1" a="1"/>
  <c r="O296" i="1" s="1"/>
  <c r="N297" i="1"/>
  <c r="O297" i="1" s="1" a="1"/>
  <c r="O297" i="1" s="1"/>
  <c r="N298" i="1"/>
  <c r="O298" i="1" s="1" a="1"/>
  <c r="O298" i="1" s="1"/>
  <c r="N299" i="1"/>
  <c r="O299" i="1" s="1" a="1"/>
  <c r="O299" i="1" s="1"/>
  <c r="N300" i="1"/>
  <c r="O300" i="1" s="1" a="1"/>
  <c r="O300" i="1" s="1"/>
  <c r="N301" i="1"/>
  <c r="O301" i="1" s="1" a="1"/>
  <c r="O301" i="1" s="1"/>
  <c r="N302" i="1"/>
  <c r="O302" i="1" s="1" a="1"/>
  <c r="O302" i="1" s="1"/>
  <c r="N303" i="1"/>
  <c r="O303" i="1" s="1" a="1"/>
  <c r="O303" i="1" s="1"/>
  <c r="N304" i="1"/>
  <c r="O304" i="1" s="1" a="1"/>
  <c r="O304" i="1" s="1"/>
  <c r="N305" i="1"/>
  <c r="O305" i="1" s="1" a="1"/>
  <c r="O305" i="1" s="1"/>
  <c r="N306" i="1"/>
  <c r="O306" i="1" s="1" a="1"/>
  <c r="O306" i="1" s="1"/>
  <c r="N307" i="1"/>
  <c r="O307" i="1" s="1" a="1"/>
  <c r="O307" i="1" s="1"/>
  <c r="N308" i="1"/>
  <c r="O308" i="1" s="1" a="1"/>
  <c r="O308" i="1" s="1"/>
  <c r="N309" i="1"/>
  <c r="O309" i="1" s="1" a="1"/>
  <c r="O309" i="1" s="1"/>
  <c r="N310" i="1"/>
  <c r="O310" i="1" s="1" a="1"/>
  <c r="O310" i="1" s="1"/>
  <c r="N311" i="1"/>
  <c r="O311" i="1" s="1" a="1"/>
  <c r="O311" i="1" s="1"/>
  <c r="N312" i="1"/>
  <c r="O312" i="1" s="1" a="1"/>
  <c r="O312" i="1" s="1"/>
  <c r="N313" i="1"/>
  <c r="O313" i="1" s="1" a="1"/>
  <c r="O313" i="1" s="1"/>
  <c r="N314" i="1"/>
  <c r="O314" i="1" s="1" a="1"/>
  <c r="O314" i="1" s="1"/>
  <c r="N315" i="1"/>
  <c r="O315" i="1" s="1" a="1"/>
  <c r="O315" i="1" s="1"/>
  <c r="N316" i="1"/>
  <c r="O316" i="1" s="1" a="1"/>
  <c r="O316" i="1" s="1"/>
  <c r="N317" i="1"/>
  <c r="O317" i="1" s="1" a="1"/>
  <c r="O317" i="1" s="1"/>
  <c r="N318" i="1"/>
  <c r="O318" i="1" s="1" a="1"/>
  <c r="O318" i="1" s="1"/>
  <c r="N319" i="1"/>
  <c r="O319" i="1" s="1" a="1"/>
  <c r="O319" i="1" s="1"/>
  <c r="N320" i="1"/>
  <c r="O320" i="1" s="1" a="1"/>
  <c r="O320" i="1" s="1"/>
  <c r="N321" i="1"/>
  <c r="O321" i="1" s="1" a="1"/>
  <c r="O321" i="1" s="1"/>
  <c r="N322" i="1"/>
  <c r="O322" i="1" s="1" a="1"/>
  <c r="O322" i="1" s="1"/>
  <c r="N323" i="1"/>
  <c r="O323" i="1" s="1" a="1"/>
  <c r="O323" i="1" s="1"/>
  <c r="N324" i="1"/>
  <c r="O324" i="1" s="1" a="1"/>
  <c r="O324" i="1" s="1"/>
  <c r="N325" i="1"/>
  <c r="O325" i="1" s="1" a="1"/>
  <c r="O325" i="1" s="1"/>
  <c r="N326" i="1"/>
  <c r="O326" i="1" s="1" a="1"/>
  <c r="O326" i="1" s="1"/>
  <c r="N327" i="1"/>
  <c r="O327" i="1" s="1" a="1"/>
  <c r="O327" i="1" s="1"/>
  <c r="N328" i="1"/>
  <c r="O328" i="1" s="1" a="1"/>
  <c r="O328" i="1" s="1"/>
  <c r="N329" i="1"/>
  <c r="O329" i="1" s="1" a="1"/>
  <c r="O329" i="1" s="1"/>
  <c r="N330" i="1"/>
  <c r="O330" i="1" s="1" a="1"/>
  <c r="O330" i="1" s="1"/>
  <c r="N331" i="1"/>
  <c r="O331" i="1" s="1" a="1"/>
  <c r="O331" i="1" s="1"/>
  <c r="N332" i="1"/>
  <c r="O332" i="1" s="1" a="1"/>
  <c r="O332" i="1" s="1"/>
  <c r="N333" i="1"/>
  <c r="O333" i="1" s="1" a="1"/>
  <c r="O333" i="1" s="1"/>
  <c r="N334" i="1"/>
  <c r="O334" i="1" s="1" a="1"/>
  <c r="O334" i="1" s="1"/>
  <c r="N335" i="1"/>
  <c r="O335" i="1" s="1" a="1"/>
  <c r="O335" i="1" s="1"/>
  <c r="N336" i="1"/>
  <c r="O336" i="1" s="1" a="1"/>
  <c r="O336" i="1" s="1"/>
  <c r="N337" i="1"/>
  <c r="O337" i="1" s="1" a="1"/>
  <c r="O337" i="1" s="1"/>
  <c r="N338" i="1"/>
  <c r="O338" i="1" s="1" a="1"/>
  <c r="O338" i="1" s="1"/>
  <c r="N339" i="1"/>
  <c r="O339" i="1" s="1" a="1"/>
  <c r="O339" i="1" s="1"/>
  <c r="N340" i="1"/>
  <c r="O340" i="1" s="1" a="1"/>
  <c r="O340" i="1" s="1"/>
  <c r="N341" i="1"/>
  <c r="O341" i="1" s="1" a="1"/>
  <c r="O341" i="1" s="1"/>
  <c r="N342" i="1"/>
  <c r="O342" i="1" s="1" a="1"/>
  <c r="O342" i="1" s="1"/>
  <c r="N343" i="1"/>
  <c r="O343" i="1" s="1" a="1"/>
  <c r="O343" i="1" s="1"/>
  <c r="N344" i="1"/>
  <c r="O344" i="1" s="1" a="1"/>
  <c r="O344" i="1" s="1"/>
  <c r="N345" i="1"/>
  <c r="O345" i="1" s="1" a="1"/>
  <c r="O345" i="1" s="1"/>
  <c r="N346" i="1"/>
  <c r="O346" i="1" s="1" a="1"/>
  <c r="O346" i="1" s="1"/>
  <c r="N347" i="1"/>
  <c r="O347" i="1" s="1" a="1"/>
  <c r="O347" i="1" s="1"/>
  <c r="N348" i="1"/>
  <c r="O348" i="1" s="1" a="1"/>
  <c r="O348" i="1" s="1"/>
  <c r="N349" i="1"/>
  <c r="O349" i="1" s="1" a="1"/>
  <c r="O349" i="1" s="1"/>
  <c r="N350" i="1"/>
  <c r="O350" i="1" s="1" a="1"/>
  <c r="O350" i="1" s="1"/>
  <c r="N351" i="1"/>
  <c r="O351" i="1" s="1" a="1"/>
  <c r="O351" i="1" s="1"/>
  <c r="N352" i="1"/>
  <c r="O352" i="1" s="1" a="1"/>
  <c r="O352" i="1" s="1"/>
  <c r="N353" i="1"/>
  <c r="O353" i="1" s="1" a="1"/>
  <c r="O353" i="1" s="1"/>
  <c r="N354" i="1"/>
  <c r="O354" i="1" s="1" a="1"/>
  <c r="O354" i="1" s="1"/>
  <c r="N355" i="1"/>
  <c r="O355" i="1" s="1" a="1"/>
  <c r="O355" i="1" s="1"/>
  <c r="N356" i="1"/>
  <c r="O356" i="1" s="1" a="1"/>
  <c r="O356" i="1" s="1"/>
  <c r="N357" i="1"/>
  <c r="O357" i="1" s="1" a="1"/>
  <c r="O357" i="1" s="1"/>
  <c r="N358" i="1"/>
  <c r="O358" i="1" s="1" a="1"/>
  <c r="O358" i="1" s="1"/>
  <c r="N359" i="1"/>
  <c r="O359" i="1" s="1" a="1"/>
  <c r="O359" i="1" s="1"/>
  <c r="N360" i="1"/>
  <c r="O360" i="1" s="1" a="1"/>
  <c r="O360" i="1" s="1"/>
  <c r="N361" i="1"/>
  <c r="O361" i="1" s="1" a="1"/>
  <c r="O361" i="1" s="1"/>
  <c r="N362" i="1"/>
  <c r="O362" i="1" s="1" a="1"/>
  <c r="O362" i="1" s="1"/>
  <c r="N363" i="1"/>
  <c r="O363" i="1" s="1" a="1"/>
  <c r="O363" i="1" s="1"/>
  <c r="N364" i="1"/>
  <c r="O364" i="1" s="1" a="1"/>
  <c r="O364" i="1" s="1"/>
  <c r="N365" i="1"/>
  <c r="O365" i="1" s="1" a="1"/>
  <c r="O365" i="1" s="1"/>
  <c r="N366" i="1"/>
  <c r="O366" i="1" s="1" a="1"/>
  <c r="O366" i="1" s="1"/>
  <c r="N367" i="1"/>
  <c r="O367" i="1" s="1" a="1"/>
  <c r="O367" i="1" s="1"/>
  <c r="N368" i="1"/>
  <c r="O368" i="1" s="1" a="1"/>
  <c r="O368" i="1" s="1"/>
  <c r="N369" i="1"/>
  <c r="O369" i="1" s="1" a="1"/>
  <c r="O369" i="1" s="1"/>
  <c r="N370" i="1"/>
  <c r="O370" i="1" s="1" a="1"/>
  <c r="O370" i="1" s="1"/>
  <c r="N371" i="1"/>
  <c r="O371" i="1" s="1" a="1"/>
  <c r="O371" i="1" s="1"/>
  <c r="N372" i="1"/>
  <c r="O372" i="1" s="1" a="1"/>
  <c r="O372" i="1" s="1"/>
  <c r="N373" i="1"/>
  <c r="O373" i="1" s="1" a="1"/>
  <c r="O373" i="1" s="1"/>
  <c r="N374" i="1"/>
  <c r="O374" i="1" s="1" a="1"/>
  <c r="O374" i="1" s="1"/>
  <c r="N375" i="1"/>
  <c r="O375" i="1" s="1" a="1"/>
  <c r="O375" i="1" s="1"/>
  <c r="N376" i="1"/>
  <c r="O376" i="1" s="1" a="1"/>
  <c r="O376" i="1" s="1"/>
  <c r="N377" i="1"/>
  <c r="O377" i="1" s="1" a="1"/>
  <c r="O377" i="1" s="1"/>
  <c r="N378" i="1"/>
  <c r="O378" i="1" s="1" a="1"/>
  <c r="O378" i="1" s="1"/>
  <c r="N379" i="1"/>
  <c r="O379" i="1" s="1" a="1"/>
  <c r="O379" i="1" s="1"/>
  <c r="N380" i="1"/>
  <c r="O380" i="1" s="1" a="1"/>
  <c r="O380" i="1" s="1"/>
  <c r="N381" i="1"/>
  <c r="O381" i="1" s="1" a="1"/>
  <c r="O381" i="1" s="1"/>
  <c r="N382" i="1"/>
  <c r="O382" i="1" s="1" a="1"/>
  <c r="O382" i="1" s="1"/>
  <c r="N383" i="1"/>
  <c r="O383" i="1" s="1" a="1"/>
  <c r="O383" i="1" s="1"/>
  <c r="N384" i="1"/>
  <c r="O384" i="1" s="1" a="1"/>
  <c r="O384" i="1" s="1"/>
  <c r="N385" i="1"/>
  <c r="O385" i="1" s="1" a="1"/>
  <c r="O385" i="1" s="1"/>
  <c r="N386" i="1"/>
  <c r="O386" i="1" s="1" a="1"/>
  <c r="O386" i="1" s="1"/>
  <c r="N387" i="1"/>
  <c r="O387" i="1" s="1" a="1"/>
  <c r="O387" i="1" s="1"/>
  <c r="N388" i="1"/>
  <c r="O388" i="1" s="1" a="1"/>
  <c r="O388" i="1" s="1"/>
  <c r="N389" i="1"/>
  <c r="O389" i="1" s="1" a="1"/>
  <c r="O389" i="1" s="1"/>
  <c r="N390" i="1"/>
  <c r="O390" i="1" s="1" a="1"/>
  <c r="O390" i="1" s="1"/>
  <c r="N391" i="1"/>
  <c r="O391" i="1" s="1" a="1"/>
  <c r="O391" i="1" s="1"/>
  <c r="N392" i="1"/>
  <c r="O392" i="1" s="1" a="1"/>
  <c r="O392" i="1" s="1"/>
  <c r="N393" i="1"/>
  <c r="O393" i="1" s="1" a="1"/>
  <c r="O393" i="1" s="1"/>
  <c r="N394" i="1"/>
  <c r="O394" i="1" s="1" a="1"/>
  <c r="O394" i="1" s="1"/>
  <c r="N395" i="1"/>
  <c r="O395" i="1" s="1" a="1"/>
  <c r="O395" i="1" s="1"/>
  <c r="N396" i="1"/>
  <c r="O396" i="1" s="1" a="1"/>
  <c r="O396" i="1" s="1"/>
  <c r="N397" i="1"/>
  <c r="O397" i="1" s="1" a="1"/>
  <c r="O397" i="1" s="1"/>
  <c r="N398" i="1"/>
  <c r="O398" i="1" s="1" a="1"/>
  <c r="O398" i="1" s="1"/>
  <c r="N399" i="1"/>
  <c r="O399" i="1" s="1" a="1"/>
  <c r="O399" i="1" s="1"/>
  <c r="N400" i="1"/>
  <c r="O400" i="1" s="1" a="1"/>
  <c r="O400" i="1" s="1"/>
  <c r="N401" i="1"/>
  <c r="O401" i="1" s="1" a="1"/>
  <c r="O401" i="1" s="1"/>
  <c r="N402" i="1"/>
  <c r="O402" i="1" s="1" a="1"/>
  <c r="O402" i="1" s="1"/>
  <c r="N403" i="1"/>
  <c r="O403" i="1" s="1" a="1"/>
  <c r="O403" i="1" s="1"/>
  <c r="N404" i="1"/>
  <c r="O404" i="1" s="1" a="1"/>
  <c r="O404" i="1" s="1"/>
  <c r="N405" i="1"/>
  <c r="O405" i="1" s="1" a="1"/>
  <c r="O405" i="1" s="1"/>
  <c r="N406" i="1"/>
  <c r="O406" i="1" s="1" a="1"/>
  <c r="O406" i="1" s="1"/>
  <c r="N407" i="1"/>
  <c r="O407" i="1" s="1" a="1"/>
  <c r="O407" i="1" s="1"/>
  <c r="N408" i="1"/>
  <c r="O408" i="1" s="1" a="1"/>
  <c r="O408" i="1" s="1"/>
  <c r="N409" i="1"/>
  <c r="O409" i="1" s="1" a="1"/>
  <c r="O409" i="1" s="1"/>
  <c r="N410" i="1"/>
  <c r="O410" i="1" s="1" a="1"/>
  <c r="O410" i="1" s="1"/>
  <c r="N411" i="1"/>
  <c r="O411" i="1" s="1" a="1"/>
  <c r="O411" i="1" s="1"/>
  <c r="N412" i="1"/>
  <c r="O412" i="1" s="1" a="1"/>
  <c r="O412" i="1" s="1"/>
  <c r="N413" i="1"/>
  <c r="O413" i="1" s="1" a="1"/>
  <c r="O413" i="1" s="1"/>
  <c r="N414" i="1"/>
  <c r="O414" i="1" s="1" a="1"/>
  <c r="O414" i="1" s="1"/>
  <c r="N415" i="1"/>
  <c r="O415" i="1" s="1" a="1"/>
  <c r="O415" i="1" s="1"/>
  <c r="N416" i="1"/>
  <c r="O416" i="1" s="1" a="1"/>
  <c r="O416" i="1" s="1"/>
  <c r="N417" i="1"/>
  <c r="O417" i="1" s="1" a="1"/>
  <c r="O417" i="1" s="1"/>
  <c r="N418" i="1"/>
  <c r="O418" i="1" s="1" a="1"/>
  <c r="O418" i="1" s="1"/>
  <c r="N419" i="1"/>
  <c r="O419" i="1" s="1" a="1"/>
  <c r="O419" i="1" s="1"/>
  <c r="N420" i="1"/>
  <c r="O420" i="1" s="1" a="1"/>
  <c r="O420" i="1" s="1"/>
  <c r="N421" i="1"/>
  <c r="O421" i="1" s="1" a="1"/>
  <c r="O421" i="1" s="1"/>
  <c r="N422" i="1"/>
  <c r="O422" i="1" s="1" a="1"/>
  <c r="O422" i="1" s="1"/>
  <c r="N423" i="1"/>
  <c r="O423" i="1" s="1" a="1"/>
  <c r="O423" i="1" s="1"/>
  <c r="N424" i="1"/>
  <c r="O424" i="1" s="1" a="1"/>
  <c r="O424" i="1" s="1"/>
  <c r="N425" i="1"/>
  <c r="O425" i="1" s="1" a="1"/>
  <c r="O425" i="1" s="1"/>
  <c r="N426" i="1"/>
  <c r="O426" i="1" s="1" a="1"/>
  <c r="O426" i="1" s="1"/>
  <c r="N427" i="1"/>
  <c r="O427" i="1" s="1" a="1"/>
  <c r="O427" i="1" s="1"/>
  <c r="N428" i="1"/>
  <c r="O428" i="1" s="1" a="1"/>
  <c r="O428" i="1" s="1"/>
  <c r="N429" i="1"/>
  <c r="O429" i="1" s="1" a="1"/>
  <c r="O429" i="1" s="1"/>
  <c r="N430" i="1"/>
  <c r="O430" i="1" s="1" a="1"/>
  <c r="O430" i="1" s="1"/>
  <c r="N431" i="1"/>
  <c r="O431" i="1" s="1" a="1"/>
  <c r="O431" i="1" s="1"/>
  <c r="N432" i="1"/>
  <c r="O432" i="1" s="1" a="1"/>
  <c r="O432" i="1" s="1"/>
  <c r="N433" i="1"/>
  <c r="O433" i="1" s="1" a="1"/>
  <c r="O433" i="1" s="1"/>
  <c r="N434" i="1"/>
  <c r="O434" i="1" s="1" a="1"/>
  <c r="O434" i="1" s="1"/>
  <c r="N435" i="1"/>
  <c r="O435" i="1" s="1" a="1"/>
  <c r="O435" i="1" s="1"/>
  <c r="N436" i="1"/>
  <c r="O436" i="1" s="1" a="1"/>
  <c r="O436" i="1" s="1"/>
  <c r="N437" i="1"/>
  <c r="O437" i="1" s="1" a="1"/>
  <c r="O437" i="1" s="1"/>
  <c r="N438" i="1"/>
  <c r="O438" i="1" s="1" a="1"/>
  <c r="O438" i="1" s="1"/>
  <c r="N439" i="1"/>
  <c r="O439" i="1" s="1" a="1"/>
  <c r="O439" i="1" s="1"/>
  <c r="N440" i="1"/>
  <c r="O440" i="1" s="1" a="1"/>
  <c r="O440" i="1" s="1"/>
  <c r="N441" i="1"/>
  <c r="O441" i="1" s="1" a="1"/>
  <c r="O441" i="1" s="1"/>
  <c r="N442" i="1"/>
  <c r="O442" i="1" s="1" a="1"/>
  <c r="O442" i="1" s="1"/>
  <c r="N443" i="1"/>
  <c r="O443" i="1" s="1" a="1"/>
  <c r="O443" i="1" s="1"/>
  <c r="N444" i="1"/>
  <c r="O444" i="1" s="1" a="1"/>
  <c r="O444" i="1" s="1"/>
  <c r="N445" i="1"/>
  <c r="O445" i="1" s="1" a="1"/>
  <c r="O445" i="1" s="1"/>
  <c r="N446" i="1"/>
  <c r="O446" i="1" s="1" a="1"/>
  <c r="O446" i="1" s="1"/>
  <c r="N447" i="1"/>
  <c r="O447" i="1" s="1" a="1"/>
  <c r="O447" i="1" s="1"/>
  <c r="N448" i="1"/>
  <c r="O448" i="1" s="1" a="1"/>
  <c r="O448" i="1" s="1"/>
  <c r="N449" i="1"/>
  <c r="O449" i="1" s="1" a="1"/>
  <c r="O449" i="1" s="1"/>
  <c r="N450" i="1"/>
  <c r="O450" i="1" s="1" a="1"/>
  <c r="O450" i="1" s="1"/>
  <c r="N451" i="1"/>
  <c r="O451" i="1" s="1" a="1"/>
  <c r="O451" i="1" s="1"/>
  <c r="N452" i="1"/>
  <c r="O452" i="1" s="1" a="1"/>
  <c r="O452" i="1" s="1"/>
  <c r="N453" i="1"/>
  <c r="O453" i="1" s="1" a="1"/>
  <c r="O453" i="1" s="1"/>
  <c r="N454" i="1"/>
  <c r="O454" i="1" s="1" a="1"/>
  <c r="O454" i="1" s="1"/>
  <c r="N455" i="1"/>
  <c r="O455" i="1" s="1" a="1"/>
  <c r="O455" i="1" s="1"/>
  <c r="N456" i="1"/>
  <c r="O456" i="1" s="1" a="1"/>
  <c r="O456" i="1" s="1"/>
  <c r="N457" i="1"/>
  <c r="O457" i="1" s="1" a="1"/>
  <c r="O457" i="1" s="1"/>
  <c r="N458" i="1"/>
  <c r="O458" i="1" s="1" a="1"/>
  <c r="O458" i="1" s="1"/>
  <c r="N459" i="1"/>
  <c r="O459" i="1" s="1" a="1"/>
  <c r="O459" i="1" s="1"/>
  <c r="N460" i="1"/>
  <c r="O460" i="1" s="1" a="1"/>
  <c r="O460" i="1" s="1"/>
  <c r="N461" i="1"/>
  <c r="O461" i="1" s="1" a="1"/>
  <c r="O461" i="1" s="1"/>
  <c r="N462" i="1"/>
  <c r="O462" i="1" s="1" a="1"/>
  <c r="O462" i="1" s="1"/>
  <c r="N463" i="1"/>
  <c r="O463" i="1" s="1" a="1"/>
  <c r="O463" i="1" s="1"/>
  <c r="N464" i="1"/>
  <c r="O464" i="1" s="1" a="1"/>
  <c r="O464" i="1" s="1"/>
  <c r="N465" i="1"/>
  <c r="O465" i="1" s="1" a="1"/>
  <c r="O465" i="1" s="1"/>
  <c r="N466" i="1"/>
  <c r="O466" i="1" s="1" a="1"/>
  <c r="O466" i="1" s="1"/>
  <c r="N467" i="1"/>
  <c r="O467" i="1" s="1" a="1"/>
  <c r="O467" i="1" s="1"/>
  <c r="N468" i="1"/>
  <c r="O468" i="1" s="1" a="1"/>
  <c r="O468" i="1" s="1"/>
  <c r="N469" i="1"/>
  <c r="O469" i="1" s="1" a="1"/>
  <c r="O469" i="1" s="1"/>
  <c r="N470" i="1"/>
  <c r="O470" i="1" s="1" a="1"/>
  <c r="O470" i="1" s="1"/>
  <c r="N471" i="1"/>
  <c r="O471" i="1" s="1" a="1"/>
  <c r="O471" i="1" s="1"/>
  <c r="N472" i="1"/>
  <c r="O472" i="1" s="1" a="1"/>
  <c r="O472" i="1" s="1"/>
  <c r="N473" i="1"/>
  <c r="O473" i="1" s="1" a="1"/>
  <c r="O473" i="1" s="1"/>
  <c r="N474" i="1"/>
  <c r="O474" i="1" s="1" a="1"/>
  <c r="O474" i="1" s="1"/>
  <c r="N475" i="1"/>
  <c r="O475" i="1" s="1" a="1"/>
  <c r="O475" i="1" s="1"/>
  <c r="N476" i="1"/>
  <c r="O476" i="1" s="1" a="1"/>
  <c r="O476" i="1" s="1"/>
  <c r="N477" i="1"/>
  <c r="O477" i="1" s="1" a="1"/>
  <c r="O477" i="1" s="1"/>
  <c r="N478" i="1"/>
  <c r="O478" i="1" s="1" a="1"/>
  <c r="O478" i="1" s="1"/>
  <c r="N479" i="1"/>
  <c r="O479" i="1" s="1" a="1"/>
  <c r="O479" i="1" s="1"/>
  <c r="N480" i="1"/>
  <c r="O480" i="1" s="1" a="1"/>
  <c r="O480" i="1" s="1"/>
  <c r="N481" i="1"/>
  <c r="O481" i="1" s="1" a="1"/>
  <c r="O481" i="1" s="1"/>
  <c r="N482" i="1"/>
  <c r="O482" i="1" s="1" a="1"/>
  <c r="O482" i="1" s="1"/>
  <c r="N483" i="1"/>
  <c r="O483" i="1" s="1" a="1"/>
  <c r="O483" i="1" s="1"/>
  <c r="N484" i="1"/>
  <c r="O484" i="1" s="1" a="1"/>
  <c r="O484" i="1" s="1"/>
  <c r="N485" i="1"/>
  <c r="O485" i="1" s="1" a="1"/>
  <c r="O485" i="1" s="1"/>
  <c r="N486" i="1"/>
  <c r="O486" i="1" s="1" a="1"/>
  <c r="O486" i="1" s="1"/>
  <c r="N487" i="1"/>
  <c r="O487" i="1" s="1" a="1"/>
  <c r="O487" i="1" s="1"/>
  <c r="N488" i="1"/>
  <c r="O488" i="1" s="1" a="1"/>
  <c r="O488" i="1" s="1"/>
  <c r="N489" i="1"/>
  <c r="O489" i="1" s="1" a="1"/>
  <c r="O489" i="1" s="1"/>
  <c r="N490" i="1"/>
  <c r="O490" i="1" s="1" a="1"/>
  <c r="O490" i="1" s="1"/>
  <c r="N491" i="1"/>
  <c r="O491" i="1" s="1" a="1"/>
  <c r="O491" i="1" s="1"/>
  <c r="N492" i="1"/>
  <c r="O492" i="1" s="1" a="1"/>
  <c r="O492" i="1" s="1"/>
  <c r="N493" i="1"/>
  <c r="O493" i="1" s="1" a="1"/>
  <c r="O493" i="1" s="1"/>
  <c r="N494" i="1"/>
  <c r="O494" i="1" s="1" a="1"/>
  <c r="O494" i="1" s="1"/>
  <c r="N495" i="1"/>
  <c r="O495" i="1" s="1" a="1"/>
  <c r="O495" i="1" s="1"/>
  <c r="N496" i="1"/>
  <c r="O496" i="1" s="1" a="1"/>
  <c r="O496" i="1" s="1"/>
  <c r="N497" i="1"/>
  <c r="O497" i="1" s="1" a="1"/>
  <c r="O497" i="1" s="1"/>
  <c r="N498" i="1"/>
  <c r="O498" i="1" s="1" a="1"/>
  <c r="O498" i="1" s="1"/>
  <c r="N499" i="1"/>
  <c r="O499" i="1" s="1" a="1"/>
  <c r="O499" i="1" s="1"/>
  <c r="N500" i="1"/>
  <c r="O500" i="1" s="1" a="1"/>
  <c r="O500" i="1" s="1"/>
  <c r="N501" i="1"/>
  <c r="O501" i="1" s="1" a="1"/>
  <c r="O501" i="1" s="1"/>
  <c r="N2" i="1"/>
  <c r="O2" i="1" s="1" a="1"/>
  <c r="O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<sst xmlns="http://schemas.openxmlformats.org/spreadsheetml/2006/main" count="14250" uniqueCount="1081">
  <si>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</si>
  <si>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</si>
  <si>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</si>
  <si>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</si>
  <si>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</si>
  <si>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</si>
  <si>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</si>
  <si>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</si>
  <si>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</si>
  <si>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</si>
  <si>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</si>
  <si>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</si>
  <si>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Department (XLook)</t>
  </si>
  <si>
    <t>Rating</t>
  </si>
  <si>
    <t>Bonus</t>
  </si>
  <si>
    <t>Questions</t>
  </si>
  <si>
    <t>E0001</t>
  </si>
  <si>
    <t>Amit</t>
  </si>
  <si>
    <t>Dutta</t>
  </si>
  <si>
    <t>Female</t>
  </si>
  <si>
    <t>D01</t>
  </si>
  <si>
    <t>Analyst</t>
  </si>
  <si>
    <t>Kolkata</t>
  </si>
  <si>
    <t>amit.dutta1@example.com</t>
  </si>
  <si>
    <t>Active</t>
  </si>
  <si>
    <t>1. In Employee sheet fetch the department name from department worksheet using XLOOKUP.</t>
  </si>
  <si>
    <t>E0002</t>
  </si>
  <si>
    <t>Roy</t>
  </si>
  <si>
    <t>Male</t>
  </si>
  <si>
    <t>D03</t>
  </si>
  <si>
    <t>Executive</t>
  </si>
  <si>
    <t>amit.roy2@example.com</t>
  </si>
  <si>
    <t>2. Fetch Rating from performance worksheet to employee worksheet.</t>
  </si>
  <si>
    <t>E0003</t>
  </si>
  <si>
    <t>Rohit</t>
  </si>
  <si>
    <t>D04</t>
  </si>
  <si>
    <t>Coordinator</t>
  </si>
  <si>
    <t>Pune</t>
  </si>
  <si>
    <t>rohit.roy3@example.com</t>
  </si>
  <si>
    <t>Inactive</t>
  </si>
  <si>
    <t>3. calculate bonus if rating is 5 then bonus will be 15% of salary, if rating is 4 then bonus will be 10%, if rating is 3, bonus will be 7% and for rating less than 3, bonus will be 5%.</t>
  </si>
  <si>
    <t>E0004</t>
  </si>
  <si>
    <t>David</t>
  </si>
  <si>
    <t>D05</t>
  </si>
  <si>
    <t>Manager</t>
  </si>
  <si>
    <t>david.dutta4@example.com</t>
  </si>
  <si>
    <t>4. In Department worksheet, find department wise average salary.</t>
  </si>
  <si>
    <t>E0005</t>
  </si>
  <si>
    <t>Jane</t>
  </si>
  <si>
    <t>Ghosh</t>
  </si>
  <si>
    <t>jane.ghosh5@example.com</t>
  </si>
  <si>
    <t>5. count active employees.</t>
  </si>
  <si>
    <t>E0006</t>
  </si>
  <si>
    <t>Rahul</t>
  </si>
  <si>
    <t>D02</t>
  </si>
  <si>
    <t>rahul.dutta6@example.com</t>
  </si>
  <si>
    <t>Active Employees</t>
  </si>
  <si>
    <t>E0007</t>
  </si>
  <si>
    <t>Sara</t>
  </si>
  <si>
    <t>sara.ghosh7@example.com</t>
  </si>
  <si>
    <t>E0008</t>
  </si>
  <si>
    <t>John</t>
  </si>
  <si>
    <t>Delhi</t>
  </si>
  <si>
    <t>john.dutta8@example.com</t>
  </si>
  <si>
    <t>6. Highlight employees earning greater than 1Lakh.</t>
  </si>
  <si>
    <t>E0009</t>
  </si>
  <si>
    <t>Singh</t>
  </si>
  <si>
    <t>Bengaluru</t>
  </si>
  <si>
    <t>john.singh9@example.com</t>
  </si>
  <si>
    <t>7. Highlight the employees hired before 2020.</t>
  </si>
  <si>
    <t>E0010</t>
  </si>
  <si>
    <t>amit.roy10@example.com</t>
  </si>
  <si>
    <t>8. Filter the employees with job title "Analyst" and City is "Kolkata".</t>
  </si>
  <si>
    <t>E0011</t>
  </si>
  <si>
    <t>Anita</t>
  </si>
  <si>
    <t>anita.roy11@example.com</t>
  </si>
  <si>
    <t>&lt;- solved in filter sheet</t>
  </si>
  <si>
    <t>E0012</t>
  </si>
  <si>
    <t>rohit.ghosh12@example.com</t>
  </si>
  <si>
    <t>E0013</t>
  </si>
  <si>
    <t>Khan</t>
  </si>
  <si>
    <t>Mumbai</t>
  </si>
  <si>
    <t>rohit.khan13@example.com</t>
  </si>
  <si>
    <t>E0014</t>
  </si>
  <si>
    <t>Sen</t>
  </si>
  <si>
    <t>rohit.sen14@example.com</t>
  </si>
  <si>
    <t>E0015</t>
  </si>
  <si>
    <t>david.sen15@example.com</t>
  </si>
  <si>
    <t>E0016</t>
  </si>
  <si>
    <t>Paul</t>
  </si>
  <si>
    <t>sara.paul16@example.com</t>
  </si>
  <si>
    <t>E0017</t>
  </si>
  <si>
    <t>Priya</t>
  </si>
  <si>
    <t>Smith</t>
  </si>
  <si>
    <t>priya.smith17@example.com</t>
  </si>
  <si>
    <t>E0018</t>
  </si>
  <si>
    <t>john.roy18@example.com</t>
  </si>
  <si>
    <t>E0019</t>
  </si>
  <si>
    <t>rohit.khan19@example.com</t>
  </si>
  <si>
    <t>E0020</t>
  </si>
  <si>
    <t>priya.dutta20@example.com</t>
  </si>
  <si>
    <t>E0021</t>
  </si>
  <si>
    <t>Specialist</t>
  </si>
  <si>
    <t>priya.sen21@example.com</t>
  </si>
  <si>
    <t>E0022</t>
  </si>
  <si>
    <t>amit.dutta22@example.com</t>
  </si>
  <si>
    <t>E0023</t>
  </si>
  <si>
    <t>anita.singh23@example.com</t>
  </si>
  <si>
    <t>E0024</t>
  </si>
  <si>
    <t>jane.singh24@example.com</t>
  </si>
  <si>
    <t>E0025</t>
  </si>
  <si>
    <t>anita.sen25@example.com</t>
  </si>
  <si>
    <t>E0026</t>
  </si>
  <si>
    <t>john.dutta26@example.com</t>
  </si>
  <si>
    <t>E0027</t>
  </si>
  <si>
    <t>amit.sen27@example.com</t>
  </si>
  <si>
    <t>E0028</t>
  </si>
  <si>
    <t>Das</t>
  </si>
  <si>
    <t>jane.das28@example.com</t>
  </si>
  <si>
    <t>E0029</t>
  </si>
  <si>
    <t>sara.khan29@example.com</t>
  </si>
  <si>
    <t>E0030</t>
  </si>
  <si>
    <t>david.dutta30@example.com</t>
  </si>
  <si>
    <t>E0031</t>
  </si>
  <si>
    <t>amit.ghosh31@example.com</t>
  </si>
  <si>
    <t>E0032</t>
  </si>
  <si>
    <t>Neha</t>
  </si>
  <si>
    <t>neha.smith32@example.com</t>
  </si>
  <si>
    <t>E0033</t>
  </si>
  <si>
    <t>neha.singh33@example.com</t>
  </si>
  <si>
    <t>E0034</t>
  </si>
  <si>
    <t>john.sen34@example.com</t>
  </si>
  <si>
    <t>E0035</t>
  </si>
  <si>
    <t>david.khan35@example.com</t>
  </si>
  <si>
    <t>E0036</t>
  </si>
  <si>
    <t>rohit.ghosh36@example.com</t>
  </si>
  <si>
    <t>E0037</t>
  </si>
  <si>
    <t>amit.ghosh37@example.com</t>
  </si>
  <si>
    <t>E0038</t>
  </si>
  <si>
    <t>neha.paul38@example.com</t>
  </si>
  <si>
    <t>E0039</t>
  </si>
  <si>
    <t>Brown</t>
  </si>
  <si>
    <t>david.brown39@example.com</t>
  </si>
  <si>
    <t>E0040</t>
  </si>
  <si>
    <t>neha.paul40@example.com</t>
  </si>
  <si>
    <t>E0041</t>
  </si>
  <si>
    <t>anita.ghosh41@example.com</t>
  </si>
  <si>
    <t>E0042</t>
  </si>
  <si>
    <t>jane.smith42@example.com</t>
  </si>
  <si>
    <t>E0043</t>
  </si>
  <si>
    <t>priya.das43@example.com</t>
  </si>
  <si>
    <t>E0044</t>
  </si>
  <si>
    <t>amit.das44@example.com</t>
  </si>
  <si>
    <t>E0045</t>
  </si>
  <si>
    <t>neha.brown45@example.com</t>
  </si>
  <si>
    <t>E0046</t>
  </si>
  <si>
    <t>rohit.smith46@example.com</t>
  </si>
  <si>
    <t>E0047</t>
  </si>
  <si>
    <t>anita.singh47@example.com</t>
  </si>
  <si>
    <t>E0048</t>
  </si>
  <si>
    <t>rahul.sen48@example.com</t>
  </si>
  <si>
    <t>E0049</t>
  </si>
  <si>
    <t>sara.smith49@example.com</t>
  </si>
  <si>
    <t>E0050</t>
  </si>
  <si>
    <t>david.smith50@example.com</t>
  </si>
  <si>
    <t>E0051</t>
  </si>
  <si>
    <t>john.singh51@example.com</t>
  </si>
  <si>
    <t>E0052</t>
  </si>
  <si>
    <t>david.das52@example.com</t>
  </si>
  <si>
    <t>E0053</t>
  </si>
  <si>
    <t>rohit.roy53@example.com</t>
  </si>
  <si>
    <t>E0054</t>
  </si>
  <si>
    <t>priya.smith54@example.com</t>
  </si>
  <si>
    <t>E0055</t>
  </si>
  <si>
    <t>anita.brown55@example.com</t>
  </si>
  <si>
    <t>E0056</t>
  </si>
  <si>
    <t>anita.ghosh56@example.com</t>
  </si>
  <si>
    <t>E0057</t>
  </si>
  <si>
    <t>rohit.singh57@example.com</t>
  </si>
  <si>
    <t>E0058</t>
  </si>
  <si>
    <t>john.khan58@example.com</t>
  </si>
  <si>
    <t>E0059</t>
  </si>
  <si>
    <t>anita.das59@example.com</t>
  </si>
  <si>
    <t>E0060</t>
  </si>
  <si>
    <t>david.singh60@example.com</t>
  </si>
  <si>
    <t>E0061</t>
  </si>
  <si>
    <t>neha.khan61@example.com</t>
  </si>
  <si>
    <t>E0062</t>
  </si>
  <si>
    <t>sara.paul62@example.com</t>
  </si>
  <si>
    <t>E0063</t>
  </si>
  <si>
    <t>anita.das63@example.com</t>
  </si>
  <si>
    <t>E0064</t>
  </si>
  <si>
    <t>david.sen64@example.com</t>
  </si>
  <si>
    <t>E0065</t>
  </si>
  <si>
    <t>rohit.paul65@example.com</t>
  </si>
  <si>
    <t>E0066</t>
  </si>
  <si>
    <t>john.brown66@example.com</t>
  </si>
  <si>
    <t>E0067</t>
  </si>
  <si>
    <t>david.das67@example.com</t>
  </si>
  <si>
    <t>E0068</t>
  </si>
  <si>
    <t>jane.roy68@example.com</t>
  </si>
  <si>
    <t>E0069</t>
  </si>
  <si>
    <t>amit.ghosh69@example.com</t>
  </si>
  <si>
    <t>E0070</t>
  </si>
  <si>
    <t>david.paul70@example.com</t>
  </si>
  <si>
    <t>E0071</t>
  </si>
  <si>
    <t>anita.paul71@example.com</t>
  </si>
  <si>
    <t>E0072</t>
  </si>
  <si>
    <t>rahul.paul72@example.com</t>
  </si>
  <si>
    <t>E0073</t>
  </si>
  <si>
    <t>jane.ghosh73@example.com</t>
  </si>
  <si>
    <t>E0074</t>
  </si>
  <si>
    <t>amit.das74@example.com</t>
  </si>
  <si>
    <t>E0075</t>
  </si>
  <si>
    <t>neha.roy75@example.com</t>
  </si>
  <si>
    <t>E0076</t>
  </si>
  <si>
    <t>sara.dutta76@example.com</t>
  </si>
  <si>
    <t>E0077</t>
  </si>
  <si>
    <t>neha.smith77@example.com</t>
  </si>
  <si>
    <t>E0078</t>
  </si>
  <si>
    <t>rahul.singh78@example.com</t>
  </si>
  <si>
    <t>E0079</t>
  </si>
  <si>
    <t>sara.brown79@example.com</t>
  </si>
  <si>
    <t>E0080</t>
  </si>
  <si>
    <t>anita.dutta80@example.com</t>
  </si>
  <si>
    <t>E0081</t>
  </si>
  <si>
    <t>anita.roy81@example.com</t>
  </si>
  <si>
    <t>E0082</t>
  </si>
  <si>
    <t>david.khan82@example.com</t>
  </si>
  <si>
    <t>E0083</t>
  </si>
  <si>
    <t>jane.ghosh83@example.com</t>
  </si>
  <si>
    <t>E0084</t>
  </si>
  <si>
    <t>priya.das84@example.com</t>
  </si>
  <si>
    <t>E0085</t>
  </si>
  <si>
    <t>sara.paul85@example.com</t>
  </si>
  <si>
    <t>E0086</t>
  </si>
  <si>
    <t>john.khan86@example.com</t>
  </si>
  <si>
    <t>E0087</t>
  </si>
  <si>
    <t>jane.smith87@example.com</t>
  </si>
  <si>
    <t>E0088</t>
  </si>
  <si>
    <t>rahul.ghosh88@example.com</t>
  </si>
  <si>
    <t>E0089</t>
  </si>
  <si>
    <t>sara.paul89@example.com</t>
  </si>
  <si>
    <t>E0090</t>
  </si>
  <si>
    <t>rohit.paul90@example.com</t>
  </si>
  <si>
    <t>E0091</t>
  </si>
  <si>
    <t>john.roy91@example.com</t>
  </si>
  <si>
    <t>E0092</t>
  </si>
  <si>
    <t>anita.paul92@example.com</t>
  </si>
  <si>
    <t>E0093</t>
  </si>
  <si>
    <t>rahul.khan93@example.com</t>
  </si>
  <si>
    <t>E0094</t>
  </si>
  <si>
    <t>rahul.khan94@example.com</t>
  </si>
  <si>
    <t>E0095</t>
  </si>
  <si>
    <t>priya.singh95@example.com</t>
  </si>
  <si>
    <t>E0096</t>
  </si>
  <si>
    <t>sara.ghosh96@example.com</t>
  </si>
  <si>
    <t>E0097</t>
  </si>
  <si>
    <t>david.paul97@example.com</t>
  </si>
  <si>
    <t>E0098</t>
  </si>
  <si>
    <t>amit.paul98@example.com</t>
  </si>
  <si>
    <t>E0099</t>
  </si>
  <si>
    <t>david.khan99@example.com</t>
  </si>
  <si>
    <t>E0100</t>
  </si>
  <si>
    <t>david.roy100@example.com</t>
  </si>
  <si>
    <t>E0101</t>
  </si>
  <si>
    <t>jane.smith101@example.com</t>
  </si>
  <si>
    <t>E0102</t>
  </si>
  <si>
    <t>anita.sen102@example.com</t>
  </si>
  <si>
    <t>E0103</t>
  </si>
  <si>
    <t>rahul.roy103@example.com</t>
  </si>
  <si>
    <t>E0104</t>
  </si>
  <si>
    <t>rohit.paul104@example.com</t>
  </si>
  <si>
    <t>E0105</t>
  </si>
  <si>
    <t>priya.dutta105@example.com</t>
  </si>
  <si>
    <t>E0106</t>
  </si>
  <si>
    <t>neha.ghosh106@example.com</t>
  </si>
  <si>
    <t>E0107</t>
  </si>
  <si>
    <t>neha.singh107@example.com</t>
  </si>
  <si>
    <t>E0108</t>
  </si>
  <si>
    <t>neha.sen108@example.com</t>
  </si>
  <si>
    <t>E0109</t>
  </si>
  <si>
    <t>john.smith109@example.com</t>
  </si>
  <si>
    <t>E0110</t>
  </si>
  <si>
    <t>neha.das110@example.com</t>
  </si>
  <si>
    <t>E0111</t>
  </si>
  <si>
    <t>amit.dutta111@example.com</t>
  </si>
  <si>
    <t>E0112</t>
  </si>
  <si>
    <t>amit.khan112@example.com</t>
  </si>
  <si>
    <t>E0113</t>
  </si>
  <si>
    <t>anita.das113@example.com</t>
  </si>
  <si>
    <t>E0114</t>
  </si>
  <si>
    <t>david.smith114@example.com</t>
  </si>
  <si>
    <t>E0115</t>
  </si>
  <si>
    <t>sara.roy115@example.com</t>
  </si>
  <si>
    <t>E0116</t>
  </si>
  <si>
    <t>rohit.das116@example.com</t>
  </si>
  <si>
    <t>E0117</t>
  </si>
  <si>
    <t>neha.sen117@example.com</t>
  </si>
  <si>
    <t>E0118</t>
  </si>
  <si>
    <t>neha.khan118@example.com</t>
  </si>
  <si>
    <t>E0119</t>
  </si>
  <si>
    <t>jane.smith119@example.com</t>
  </si>
  <si>
    <t>E0120</t>
  </si>
  <si>
    <t>jane.brown120@example.com</t>
  </si>
  <si>
    <t>E0121</t>
  </si>
  <si>
    <t>priya.ghosh121@example.com</t>
  </si>
  <si>
    <t>E0122</t>
  </si>
  <si>
    <t>jane.singh122@example.com</t>
  </si>
  <si>
    <t>E0123</t>
  </si>
  <si>
    <t>jane.das123@example.com</t>
  </si>
  <si>
    <t>E0124</t>
  </si>
  <si>
    <t>jane.khan124@example.com</t>
  </si>
  <si>
    <t>E0125</t>
  </si>
  <si>
    <t>david.singh125@example.com</t>
  </si>
  <si>
    <t>E0126</t>
  </si>
  <si>
    <t>sara.brown126@example.com</t>
  </si>
  <si>
    <t>E0127</t>
  </si>
  <si>
    <t>john.roy127@example.com</t>
  </si>
  <si>
    <t>E0128</t>
  </si>
  <si>
    <t>anita.das128@example.com</t>
  </si>
  <si>
    <t>E0129</t>
  </si>
  <si>
    <t>priya.singh129@example.com</t>
  </si>
  <si>
    <t>E0130</t>
  </si>
  <si>
    <t>sara.singh130@example.com</t>
  </si>
  <si>
    <t>E0131</t>
  </si>
  <si>
    <t>neha.dutta131@example.com</t>
  </si>
  <si>
    <t>E0132</t>
  </si>
  <si>
    <t>jane.ghosh132@example.com</t>
  </si>
  <si>
    <t>E0133</t>
  </si>
  <si>
    <t>anita.brown133@example.com</t>
  </si>
  <si>
    <t>E0134</t>
  </si>
  <si>
    <t>neha.dutta134@example.com</t>
  </si>
  <si>
    <t>E0135</t>
  </si>
  <si>
    <t>anita.smith135@example.com</t>
  </si>
  <si>
    <t>E0136</t>
  </si>
  <si>
    <t>david.dutta136@example.com</t>
  </si>
  <si>
    <t>E0137</t>
  </si>
  <si>
    <t>priya.khan137@example.com</t>
  </si>
  <si>
    <t>E0138</t>
  </si>
  <si>
    <t>david.ghosh138@example.com</t>
  </si>
  <si>
    <t>E0139</t>
  </si>
  <si>
    <t>rahul.brown139@example.com</t>
  </si>
  <si>
    <t>E0140</t>
  </si>
  <si>
    <t>priya.brown140@example.com</t>
  </si>
  <si>
    <t>E0141</t>
  </si>
  <si>
    <t>sara.das141@example.com</t>
  </si>
  <si>
    <t>E0142</t>
  </si>
  <si>
    <t>david.khan142@example.com</t>
  </si>
  <si>
    <t>E0143</t>
  </si>
  <si>
    <t>john.brown143@example.com</t>
  </si>
  <si>
    <t>E0144</t>
  </si>
  <si>
    <t>anita.sen144@example.com</t>
  </si>
  <si>
    <t>E0145</t>
  </si>
  <si>
    <t>jane.roy145@example.com</t>
  </si>
  <si>
    <t>E0146</t>
  </si>
  <si>
    <t>rohit.ghosh146@example.com</t>
  </si>
  <si>
    <t>E0147</t>
  </si>
  <si>
    <t>david.smith147@example.com</t>
  </si>
  <si>
    <t>E0148</t>
  </si>
  <si>
    <t>sara.singh148@example.com</t>
  </si>
  <si>
    <t>E0149</t>
  </si>
  <si>
    <t>neha.roy149@example.com</t>
  </si>
  <si>
    <t>E0150</t>
  </si>
  <si>
    <t>rohit.das150@example.com</t>
  </si>
  <si>
    <t>E0151</t>
  </si>
  <si>
    <t>priya.dutta151@example.com</t>
  </si>
  <si>
    <t>E0152</t>
  </si>
  <si>
    <t>david.paul152@example.com</t>
  </si>
  <si>
    <t>E0153</t>
  </si>
  <si>
    <t>rohit.paul153@example.com</t>
  </si>
  <si>
    <t>E0154</t>
  </si>
  <si>
    <t>rahul.paul154@example.com</t>
  </si>
  <si>
    <t>E0155</t>
  </si>
  <si>
    <t>sara.roy155@example.com</t>
  </si>
  <si>
    <t>E0156</t>
  </si>
  <si>
    <t>anita.roy156@example.com</t>
  </si>
  <si>
    <t>E0157</t>
  </si>
  <si>
    <t>sara.khan157@example.com</t>
  </si>
  <si>
    <t>E0158</t>
  </si>
  <si>
    <t>anita.singh158@example.com</t>
  </si>
  <si>
    <t>E0159</t>
  </si>
  <si>
    <t>rahul.khan159@example.com</t>
  </si>
  <si>
    <t>E0160</t>
  </si>
  <si>
    <t>anita.brown160@example.com</t>
  </si>
  <si>
    <t>E0161</t>
  </si>
  <si>
    <t>david.dutta161@example.com</t>
  </si>
  <si>
    <t>E0162</t>
  </si>
  <si>
    <t>priya.ghosh162@example.com</t>
  </si>
  <si>
    <t>E0163</t>
  </si>
  <si>
    <t>rohit.paul163@example.com</t>
  </si>
  <si>
    <t>E0164</t>
  </si>
  <si>
    <t>rahul.ghosh164@example.com</t>
  </si>
  <si>
    <t>E0165</t>
  </si>
  <si>
    <t>jane.khan165@example.com</t>
  </si>
  <si>
    <t>E0166</t>
  </si>
  <si>
    <t>sara.paul166@example.com</t>
  </si>
  <si>
    <t>E0167</t>
  </si>
  <si>
    <t>david.khan167@example.com</t>
  </si>
  <si>
    <t>E0168</t>
  </si>
  <si>
    <t>sara.sen168@example.com</t>
  </si>
  <si>
    <t>E0169</t>
  </si>
  <si>
    <t>john.ghosh169@example.com</t>
  </si>
  <si>
    <t>E0170</t>
  </si>
  <si>
    <t>anita.roy170@example.com</t>
  </si>
  <si>
    <t>E0171</t>
  </si>
  <si>
    <t>amit.paul171@example.com</t>
  </si>
  <si>
    <t>E0172</t>
  </si>
  <si>
    <t>neha.singh172@example.com</t>
  </si>
  <si>
    <t>E0173</t>
  </si>
  <si>
    <t>john.singh173@example.com</t>
  </si>
  <si>
    <t>E0174</t>
  </si>
  <si>
    <t>priya.das174@example.com</t>
  </si>
  <si>
    <t>E0175</t>
  </si>
  <si>
    <t>sara.singh175@example.com</t>
  </si>
  <si>
    <t>E0176</t>
  </si>
  <si>
    <t>neha.sen176@example.com</t>
  </si>
  <si>
    <t>E0177</t>
  </si>
  <si>
    <t>sara.paul177@example.com</t>
  </si>
  <si>
    <t>E0178</t>
  </si>
  <si>
    <t>john.khan178@example.com</t>
  </si>
  <si>
    <t>E0179</t>
  </si>
  <si>
    <t>sara.ghosh179@example.com</t>
  </si>
  <si>
    <t>E0180</t>
  </si>
  <si>
    <t>rohit.khan180@example.com</t>
  </si>
  <si>
    <t>E0181</t>
  </si>
  <si>
    <t>rahul.das181@example.com</t>
  </si>
  <si>
    <t>E0182</t>
  </si>
  <si>
    <t>neha.dutta182@example.com</t>
  </si>
  <si>
    <t>E0183</t>
  </si>
  <si>
    <t>anita.sen183@example.com</t>
  </si>
  <si>
    <t>E0184</t>
  </si>
  <si>
    <t>neha.singh184@example.com</t>
  </si>
  <si>
    <t>E0185</t>
  </si>
  <si>
    <t>neha.ghosh185@example.com</t>
  </si>
  <si>
    <t>E0186</t>
  </si>
  <si>
    <t>david.das186@example.com</t>
  </si>
  <si>
    <t>E0187</t>
  </si>
  <si>
    <t>rohit.singh187@example.com</t>
  </si>
  <si>
    <t>E0188</t>
  </si>
  <si>
    <t>rahul.brown188@example.com</t>
  </si>
  <si>
    <t>E0189</t>
  </si>
  <si>
    <t>sara.khan189@example.com</t>
  </si>
  <si>
    <t>E0190</t>
  </si>
  <si>
    <t>john.das190@example.com</t>
  </si>
  <si>
    <t>E0191</t>
  </si>
  <si>
    <t>neha.brown191@example.com</t>
  </si>
  <si>
    <t>E0192</t>
  </si>
  <si>
    <t>neha.smith192@example.com</t>
  </si>
  <si>
    <t>E0193</t>
  </si>
  <si>
    <t>rohit.brown193@example.com</t>
  </si>
  <si>
    <t>E0194</t>
  </si>
  <si>
    <t>priya.ghosh194@example.com</t>
  </si>
  <si>
    <t>E0195</t>
  </si>
  <si>
    <t>amit.brown195@example.com</t>
  </si>
  <si>
    <t>E0196</t>
  </si>
  <si>
    <t>john.sen196@example.com</t>
  </si>
  <si>
    <t>E0197</t>
  </si>
  <si>
    <t>amit.singh197@example.com</t>
  </si>
  <si>
    <t>E0198</t>
  </si>
  <si>
    <t>jane.das198@example.com</t>
  </si>
  <si>
    <t>E0199</t>
  </si>
  <si>
    <t>anita.paul199@example.com</t>
  </si>
  <si>
    <t>E0200</t>
  </si>
  <si>
    <t>priya.brown200@example.com</t>
  </si>
  <si>
    <t>E0201</t>
  </si>
  <si>
    <t>rohit.roy201@example.com</t>
  </si>
  <si>
    <t>E0202</t>
  </si>
  <si>
    <t>jane.brown202@example.com</t>
  </si>
  <si>
    <t>E0203</t>
  </si>
  <si>
    <t>rohit.khan203@example.com</t>
  </si>
  <si>
    <t>E0204</t>
  </si>
  <si>
    <t>rohit.roy204@example.com</t>
  </si>
  <si>
    <t>E0205</t>
  </si>
  <si>
    <t>john.ghosh205@example.com</t>
  </si>
  <si>
    <t>E0206</t>
  </si>
  <si>
    <t>amit.ghosh206@example.com</t>
  </si>
  <si>
    <t>E0207</t>
  </si>
  <si>
    <t>amit.dutta207@example.com</t>
  </si>
  <si>
    <t>E0208</t>
  </si>
  <si>
    <t>anita.singh208@example.com</t>
  </si>
  <si>
    <t>E0209</t>
  </si>
  <si>
    <t>rohit.dutta209@example.com</t>
  </si>
  <si>
    <t>E0210</t>
  </si>
  <si>
    <t>david.brown210@example.com</t>
  </si>
  <si>
    <t>E0211</t>
  </si>
  <si>
    <t>priya.ghosh211@example.com</t>
  </si>
  <si>
    <t>E0212</t>
  </si>
  <si>
    <t>neha.roy212@example.com</t>
  </si>
  <si>
    <t>E0213</t>
  </si>
  <si>
    <t>rohit.khan213@example.com</t>
  </si>
  <si>
    <t>E0214</t>
  </si>
  <si>
    <t>rahul.das214@example.com</t>
  </si>
  <si>
    <t>E0215</t>
  </si>
  <si>
    <t>david.singh215@example.com</t>
  </si>
  <si>
    <t>E0216</t>
  </si>
  <si>
    <t>david.ghosh216@example.com</t>
  </si>
  <si>
    <t>E0217</t>
  </si>
  <si>
    <t>priya.khan217@example.com</t>
  </si>
  <si>
    <t>E0218</t>
  </si>
  <si>
    <t>rohit.das218@example.com</t>
  </si>
  <si>
    <t>E0219</t>
  </si>
  <si>
    <t>david.sen219@example.com</t>
  </si>
  <si>
    <t>E0220</t>
  </si>
  <si>
    <t>neha.roy220@example.com</t>
  </si>
  <si>
    <t>E0221</t>
  </si>
  <si>
    <t>amit.paul221@example.com</t>
  </si>
  <si>
    <t>E0222</t>
  </si>
  <si>
    <t>amit.sen222@example.com</t>
  </si>
  <si>
    <t>E0223</t>
  </si>
  <si>
    <t>john.ghosh223@example.com</t>
  </si>
  <si>
    <t>E0224</t>
  </si>
  <si>
    <t>john.brown224@example.com</t>
  </si>
  <si>
    <t>E0225</t>
  </si>
  <si>
    <t>david.sen225@example.com</t>
  </si>
  <si>
    <t>E0226</t>
  </si>
  <si>
    <t>rohit.ghosh226@example.com</t>
  </si>
  <si>
    <t>E0227</t>
  </si>
  <si>
    <t>priya.khan227@example.com</t>
  </si>
  <si>
    <t>E0228</t>
  </si>
  <si>
    <t>neha.brown228@example.com</t>
  </si>
  <si>
    <t>E0229</t>
  </si>
  <si>
    <t>jane.brown229@example.com</t>
  </si>
  <si>
    <t>E0230</t>
  </si>
  <si>
    <t>david.khan230@example.com</t>
  </si>
  <si>
    <t>E0231</t>
  </si>
  <si>
    <t>priya.roy231@example.com</t>
  </si>
  <si>
    <t>E0232</t>
  </si>
  <si>
    <t>amit.sen232@example.com</t>
  </si>
  <si>
    <t>E0233</t>
  </si>
  <si>
    <t>david.dutta233@example.com</t>
  </si>
  <si>
    <t>E0234</t>
  </si>
  <si>
    <t>priya.roy234@example.com</t>
  </si>
  <si>
    <t>E0235</t>
  </si>
  <si>
    <t>jane.ghosh235@example.com</t>
  </si>
  <si>
    <t>E0236</t>
  </si>
  <si>
    <t>john.brown236@example.com</t>
  </si>
  <si>
    <t>E0237</t>
  </si>
  <si>
    <t>rohit.ghosh237@example.com</t>
  </si>
  <si>
    <t>E0238</t>
  </si>
  <si>
    <t>amit.brown238@example.com</t>
  </si>
  <si>
    <t>E0239</t>
  </si>
  <si>
    <t>neha.paul239@example.com</t>
  </si>
  <si>
    <t>E0240</t>
  </si>
  <si>
    <t>rohit.smith240@example.com</t>
  </si>
  <si>
    <t>E0241</t>
  </si>
  <si>
    <t>sara.das241@example.com</t>
  </si>
  <si>
    <t>E0242</t>
  </si>
  <si>
    <t>priya.dutta242@example.com</t>
  </si>
  <si>
    <t>E0243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</si>
  <si>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</si>
  <si>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</si>
  <si>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</si>
  <si>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</si>
  <si>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</si>
  <si>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</si>
  <si>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amit.ghosh246@example.com</t>
  </si>
  <si>
    <t>E0247</t>
  </si>
  <si>
    <t>neha.das247@example.com</t>
  </si>
  <si>
    <t>E0248</t>
  </si>
  <si>
    <t>jane.dutta248@example.com</t>
  </si>
  <si>
    <t>E0249</t>
  </si>
  <si>
    <t>jane.singh249@example.com</t>
  </si>
  <si>
    <t>E0250</t>
  </si>
  <si>
    <t>anita.roy250@example.com</t>
  </si>
  <si>
    <t>E0251</t>
  </si>
  <si>
    <t>rahul.paul251@example.com</t>
  </si>
  <si>
    <t>E0252</t>
  </si>
  <si>
    <t>sara.brown252@example.com</t>
  </si>
  <si>
    <t>E0253</t>
  </si>
  <si>
    <t>david.smith253@example.com</t>
  </si>
  <si>
    <t>E0254</t>
  </si>
  <si>
    <t>david.ghosh254@example.com</t>
  </si>
  <si>
    <t>E0255</t>
  </si>
  <si>
    <t>rahul.paul255@example.com</t>
  </si>
  <si>
    <t>E0256</t>
  </si>
  <si>
    <t>neha.das256@example.com</t>
  </si>
  <si>
    <t>E0257</t>
  </si>
  <si>
    <t>neha.khan257@example.com</t>
  </si>
  <si>
    <t>E0258</t>
  </si>
  <si>
    <t>jane.smith258@example.com</t>
  </si>
  <si>
    <t>E0259</t>
  </si>
  <si>
    <t>neha.brown259@example.com</t>
  </si>
  <si>
    <t>E0260</t>
  </si>
  <si>
    <t>jane.ghosh260@example.com</t>
  </si>
  <si>
    <t>E0261</t>
  </si>
  <si>
    <t>sara.ghosh261@example.com</t>
  </si>
  <si>
    <t>E0262</t>
  </si>
  <si>
    <t>sara.das262@example.com</t>
  </si>
  <si>
    <t>E0263</t>
  </si>
  <si>
    <t>rohit.paul263@example.com</t>
  </si>
  <si>
    <t>E0264</t>
  </si>
  <si>
    <t>priya.das264@example.com</t>
  </si>
  <si>
    <t>E0265</t>
  </si>
  <si>
    <t>rohit.khan265@example.com</t>
  </si>
  <si>
    <t>E0266</t>
  </si>
  <si>
    <t>john.dutta266@example.com</t>
  </si>
  <si>
    <t>E0267</t>
  </si>
  <si>
    <t>anita.brown267@example.com</t>
  </si>
  <si>
    <t>E0268</t>
  </si>
  <si>
    <t>jane.khan268@example.com</t>
  </si>
  <si>
    <t>E0269</t>
  </si>
  <si>
    <t>sara.singh269@example.com</t>
  </si>
  <si>
    <t>E0270</t>
  </si>
  <si>
    <t>amit.sen270@example.com</t>
  </si>
  <si>
    <t>E0271</t>
  </si>
  <si>
    <t>amit.khan271@example.com</t>
  </si>
  <si>
    <t>E0272</t>
  </si>
  <si>
    <t>rohit.ghosh272@example.com</t>
  </si>
  <si>
    <t>E0273</t>
  </si>
  <si>
    <t>neha.sen273@example.com</t>
  </si>
  <si>
    <t>E0274</t>
  </si>
  <si>
    <t>priya.roy274@example.com</t>
  </si>
  <si>
    <t>E0275</t>
  </si>
  <si>
    <t>amit.paul275@example.com</t>
  </si>
  <si>
    <t>E0276</t>
  </si>
  <si>
    <t>sara.roy276@example.com</t>
  </si>
  <si>
    <t>E0277</t>
  </si>
  <si>
    <t>priya.ghosh277@example.com</t>
  </si>
  <si>
    <t>E0278</t>
  </si>
  <si>
    <t>rahul.smith278@example.com</t>
  </si>
  <si>
    <t>E0279</t>
  </si>
  <si>
    <t>david.brown279@example.com</t>
  </si>
  <si>
    <t>E0280</t>
  </si>
  <si>
    <t>rahul.das280@example.com</t>
  </si>
  <si>
    <t>E0281</t>
  </si>
  <si>
    <t>neha.brown281@example.com</t>
  </si>
  <si>
    <t>E0282</t>
  </si>
  <si>
    <t>neha.smith282@example.com</t>
  </si>
  <si>
    <t>E0283</t>
  </si>
  <si>
    <t>john.roy283@example.com</t>
  </si>
  <si>
    <t>E0284</t>
  </si>
  <si>
    <t>jane.smith284@example.com</t>
  </si>
  <si>
    <t>E0285</t>
  </si>
  <si>
    <t>sara.ghosh285@example.com</t>
  </si>
  <si>
    <t>E0286</t>
  </si>
  <si>
    <t>anita.ghosh286@example.com</t>
  </si>
  <si>
    <t>E0287</t>
  </si>
  <si>
    <t>john.das287@example.com</t>
  </si>
  <si>
    <t>E0288</t>
  </si>
  <si>
    <t>sara.smith288@example.com</t>
  </si>
  <si>
    <t>E0289</t>
  </si>
  <si>
    <t>rahul.brown289@example.com</t>
  </si>
  <si>
    <t>E0290</t>
  </si>
  <si>
    <t>priya.singh290@example.com</t>
  </si>
  <si>
    <t>E0291</t>
  </si>
  <si>
    <t>john.ghosh291@example.com</t>
  </si>
  <si>
    <t>E0292</t>
  </si>
  <si>
    <t>neha.das292@example.com</t>
  </si>
  <si>
    <t>E0293</t>
  </si>
  <si>
    <t>david.ghosh293@example.com</t>
  </si>
  <si>
    <t>E0294</t>
  </si>
  <si>
    <t>amit.ghosh294@example.com</t>
  </si>
  <si>
    <t>E0295</t>
  </si>
  <si>
    <t>neha.singh295@example.com</t>
  </si>
  <si>
    <t>E0296</t>
  </si>
  <si>
    <t>rohit.smith296@example.com</t>
  </si>
  <si>
    <t>E0297</t>
  </si>
  <si>
    <t>amit.khan297@example.com</t>
  </si>
  <si>
    <t>E0298</t>
  </si>
  <si>
    <t>anita.dutta298@example.com</t>
  </si>
  <si>
    <t>E0299</t>
  </si>
  <si>
    <t>rohit.smith299@example.com</t>
  </si>
  <si>
    <t>E0300</t>
  </si>
  <si>
    <t>jane.khan300@example.com</t>
  </si>
  <si>
    <t>E0301</t>
  </si>
  <si>
    <t>david.das301@example.com</t>
  </si>
  <si>
    <t>E0302</t>
  </si>
  <si>
    <t>jane.roy302@example.com</t>
  </si>
  <si>
    <t>E0303</t>
  </si>
  <si>
    <t>amit.dutta303@example.com</t>
  </si>
  <si>
    <t>E0304</t>
  </si>
  <si>
    <t>neha.smith304@example.com</t>
  </si>
  <si>
    <t>E0305</t>
  </si>
  <si>
    <t>david.ghosh305@example.com</t>
  </si>
  <si>
    <t>E0306</t>
  </si>
  <si>
    <t>john.das306@example.com</t>
  </si>
  <si>
    <t>E0307</t>
  </si>
  <si>
    <t>david.khan307@example.com</t>
  </si>
  <si>
    <t>E0308</t>
  </si>
  <si>
    <t>rahul.sen308@example.com</t>
  </si>
  <si>
    <t>E0309</t>
  </si>
  <si>
    <t>neha.singh309@example.com</t>
  </si>
  <si>
    <t>E0310</t>
  </si>
  <si>
    <t>sara.singh310@example.com</t>
  </si>
  <si>
    <t>E0311</t>
  </si>
  <si>
    <t>sara.roy311@example.com</t>
  </si>
  <si>
    <t>E0312</t>
  </si>
  <si>
    <t>neha.brown312@example.com</t>
  </si>
  <si>
    <t>E0313</t>
  </si>
  <si>
    <t>jane.brown313@example.com</t>
  </si>
  <si>
    <t>E0314</t>
  </si>
  <si>
    <t>rohit.roy314@example.com</t>
  </si>
  <si>
    <t>E0315</t>
  </si>
  <si>
    <t>amit.brown315@example.com</t>
  </si>
  <si>
    <t>E0316</t>
  </si>
  <si>
    <t>sara.das316@example.com</t>
  </si>
  <si>
    <t>E0317</t>
  </si>
  <si>
    <t>sara.roy317@example.com</t>
  </si>
  <si>
    <t>E0318</t>
  </si>
  <si>
    <t>neha.das318@example.com</t>
  </si>
  <si>
    <t>E0319</t>
  </si>
  <si>
    <t>david.smith319@example.com</t>
  </si>
  <si>
    <t>E0320</t>
  </si>
  <si>
    <t>david.sen320@example.com</t>
  </si>
  <si>
    <t>E0321</t>
  </si>
  <si>
    <t>jane.smith321@example.com</t>
  </si>
  <si>
    <t>E0322</t>
  </si>
  <si>
    <t>john.das322@example.com</t>
  </si>
  <si>
    <t>E0323</t>
  </si>
  <si>
    <t>rohit.ghosh323@example.com</t>
  </si>
  <si>
    <t>E0324</t>
  </si>
  <si>
    <t>david.ghosh324@example.com</t>
  </si>
  <si>
    <t>E0325</t>
  </si>
  <si>
    <t>jane.ghosh325@example.com</t>
  </si>
  <si>
    <t>E0326</t>
  </si>
  <si>
    <t>amit.brown326@example.com</t>
  </si>
  <si>
    <t>E0327</t>
  </si>
  <si>
    <t>sara.paul327@example.com</t>
  </si>
  <si>
    <t>E0328</t>
  </si>
  <si>
    <t>sara.roy328@example.com</t>
  </si>
  <si>
    <t>E0329</t>
  </si>
  <si>
    <t>rahul.smith329@example.com</t>
  </si>
  <si>
    <t>E0330</t>
  </si>
  <si>
    <t>amit.ghosh330@example.com</t>
  </si>
  <si>
    <t>E0331</t>
  </si>
  <si>
    <t>priya.khan331@example.com</t>
  </si>
  <si>
    <t>E0332</t>
  </si>
  <si>
    <t>neha.singh332@example.com</t>
  </si>
  <si>
    <t>E0333</t>
  </si>
  <si>
    <t>anita.brown333@example.com</t>
  </si>
  <si>
    <t>E0334</t>
  </si>
  <si>
    <t>david.sen334@example.com</t>
  </si>
  <si>
    <t>E0335</t>
  </si>
  <si>
    <t>jane.das335@example.com</t>
  </si>
  <si>
    <t>E0336</t>
  </si>
  <si>
    <t>john.paul336@example.com</t>
  </si>
  <si>
    <t>E0337</t>
  </si>
  <si>
    <t>rohit.sen337@example.com</t>
  </si>
  <si>
    <t>E0338</t>
  </si>
  <si>
    <t>neha.khan338@example.com</t>
  </si>
  <si>
    <t>E0339</t>
  </si>
  <si>
    <t>sara.smith339@example.com</t>
  </si>
  <si>
    <t>E0340</t>
  </si>
  <si>
    <t>priya.ghosh340@example.com</t>
  </si>
  <si>
    <t>E0341</t>
  </si>
  <si>
    <t>john.das341@example.com</t>
  </si>
  <si>
    <t>E0342</t>
  </si>
  <si>
    <t>rohit.sen342@example.com</t>
  </si>
  <si>
    <t>E0343</t>
  </si>
  <si>
    <t>anita.roy343@example.com</t>
  </si>
  <si>
    <t>E0344</t>
  </si>
  <si>
    <t>rohit.smith344@example.com</t>
  </si>
  <si>
    <t>E0345</t>
  </si>
  <si>
    <t>anita.paul345@example.com</t>
  </si>
  <si>
    <t>E0346</t>
  </si>
  <si>
    <t>jane.sen346@example.com</t>
  </si>
  <si>
    <t>E0347</t>
  </si>
  <si>
    <t>john.khan347@example.com</t>
  </si>
  <si>
    <t>E0348</t>
  </si>
  <si>
    <t>amit.singh348@example.com</t>
  </si>
  <si>
    <t>E0349</t>
  </si>
  <si>
    <t>priya.das349@example.com</t>
  </si>
  <si>
    <t>E0350</t>
  </si>
  <si>
    <t>rahul.dutta350@example.com</t>
  </si>
  <si>
    <t>E0351</t>
  </si>
  <si>
    <t>rahul.ghosh351@example.com</t>
  </si>
  <si>
    <t>E0352</t>
  </si>
  <si>
    <t>jane.paul352@example.com</t>
  </si>
  <si>
    <t>E0353</t>
  </si>
  <si>
    <t>neha.singh353@example.com</t>
  </si>
  <si>
    <t>E0354</t>
  </si>
  <si>
    <t>anita.smith354@example.com</t>
  </si>
  <si>
    <t>E0355</t>
  </si>
  <si>
    <t>sara.dutta355@example.com</t>
  </si>
  <si>
    <t>E0356</t>
  </si>
  <si>
    <t>sara.paul356@example.com</t>
  </si>
  <si>
    <t>E0357</t>
  </si>
  <si>
    <t>john.sen357@example.com</t>
  </si>
  <si>
    <t>E0358</t>
  </si>
  <si>
    <t>john.smith358@example.com</t>
  </si>
  <si>
    <t>E0359</t>
  </si>
  <si>
    <t>rohit.das359@example.com</t>
  </si>
  <si>
    <t>E0360</t>
  </si>
  <si>
    <t>john.das360@example.com</t>
  </si>
  <si>
    <t>E0361</t>
  </si>
  <si>
    <t>john.dutta361@example.com</t>
  </si>
  <si>
    <t>E0362</t>
  </si>
  <si>
    <t>anita.dutta362@example.com</t>
  </si>
  <si>
    <t>E0363</t>
  </si>
  <si>
    <t>amit.dutta363@example.com</t>
  </si>
  <si>
    <t>E0364</t>
  </si>
  <si>
    <t>neha.brown364@example.com</t>
  </si>
  <si>
    <t>E0365</t>
  </si>
  <si>
    <t>neha.dutta365@example.com</t>
  </si>
  <si>
    <t>E0366</t>
  </si>
  <si>
    <t>rahul.smith366@example.com</t>
  </si>
  <si>
    <t>E0367</t>
  </si>
  <si>
    <t>sara.khan367@example.com</t>
  </si>
  <si>
    <t>E0368</t>
  </si>
  <si>
    <t>rohit.ghosh368@example.com</t>
  </si>
  <si>
    <t>E0369</t>
  </si>
  <si>
    <t>john.das369@example.com</t>
  </si>
  <si>
    <t>E0370</t>
  </si>
  <si>
    <t>priya.das370@example.com</t>
  </si>
  <si>
    <t>E0371</t>
  </si>
  <si>
    <t>neha.singh371@example.com</t>
  </si>
  <si>
    <t>E0372</t>
  </si>
  <si>
    <t>amit.das372@example.com</t>
  </si>
  <si>
    <t>E0373</t>
  </si>
  <si>
    <t>rohit.khan373@example.com</t>
  </si>
  <si>
    <t>E0374</t>
  </si>
  <si>
    <t>sara.paul374@example.com</t>
  </si>
  <si>
    <t>E0375</t>
  </si>
  <si>
    <t>amit.brown375@example.com</t>
  </si>
  <si>
    <t>E0376</t>
  </si>
  <si>
    <t>priya.dutta376@example.com</t>
  </si>
  <si>
    <t>E0377</t>
  </si>
  <si>
    <t>sara.paul377@example.com</t>
  </si>
  <si>
    <t>E0378</t>
  </si>
  <si>
    <t>priya.paul378@example.com</t>
  </si>
  <si>
    <t>E0379</t>
  </si>
  <si>
    <t>john.dutta379@example.com</t>
  </si>
  <si>
    <t>E0380</t>
  </si>
  <si>
    <t>rahul.dutta380@example.com</t>
  </si>
  <si>
    <t>E0381</t>
  </si>
  <si>
    <t>david.singh381@example.com</t>
  </si>
  <si>
    <t>E0382</t>
  </si>
  <si>
    <t>david.singh382@example.com</t>
  </si>
  <si>
    <t>E0383</t>
  </si>
  <si>
    <t>jane.das383@example.com</t>
  </si>
  <si>
    <t>E0384</t>
  </si>
  <si>
    <t>rohit.khan384@example.com</t>
  </si>
  <si>
    <t>E0385</t>
  </si>
  <si>
    <t>rohit.smith385@example.com</t>
  </si>
  <si>
    <t>E0386</t>
  </si>
  <si>
    <t>neha.dutta386@example.com</t>
  </si>
  <si>
    <t>E0387</t>
  </si>
  <si>
    <t>john.das387@example.com</t>
  </si>
  <si>
    <t>E0388</t>
  </si>
  <si>
    <t>anita.das388@example.com</t>
  </si>
  <si>
    <t>E0389</t>
  </si>
  <si>
    <t>priya.brown389@example.com</t>
  </si>
  <si>
    <t>E0390</t>
  </si>
  <si>
    <t>rohit.khan390@example.com</t>
  </si>
  <si>
    <t>E0391</t>
  </si>
  <si>
    <t>rahul.khan391@example.com</t>
  </si>
  <si>
    <t>E0392</t>
  </si>
  <si>
    <t>john.paul392@example.com</t>
  </si>
  <si>
    <t>E0393</t>
  </si>
  <si>
    <t>jane.paul393@example.com</t>
  </si>
  <si>
    <t>E0394</t>
  </si>
  <si>
    <t>sara.sen394@example.com</t>
  </si>
  <si>
    <t>E0395</t>
  </si>
  <si>
    <t>rahul.dutta395@example.com</t>
  </si>
  <si>
    <t>E0396</t>
  </si>
  <si>
    <t>rohit.brown396@example.com</t>
  </si>
  <si>
    <t>E0397</t>
  </si>
  <si>
    <t>david.das397@example.com</t>
  </si>
  <si>
    <t>E0398</t>
  </si>
  <si>
    <t>anita.brown398@example.com</t>
  </si>
  <si>
    <t>E0399</t>
  </si>
  <si>
    <t>jane.ghosh399@example.com</t>
  </si>
  <si>
    <t>E0400</t>
  </si>
  <si>
    <t>priya.das400@example.com</t>
  </si>
  <si>
    <t>E0401</t>
  </si>
  <si>
    <t>anita.roy401@example.com</t>
  </si>
  <si>
    <t>E0402</t>
  </si>
  <si>
    <t>anita.paul402@example.com</t>
  </si>
  <si>
    <t>E0403</t>
  </si>
  <si>
    <t>anita.brown403@example.com</t>
  </si>
  <si>
    <t>E0404</t>
  </si>
  <si>
    <t>jane.dutta404@example.com</t>
  </si>
  <si>
    <t>E0405</t>
  </si>
  <si>
    <t>priya.smith405@example.com</t>
  </si>
  <si>
    <t>E0406</t>
  </si>
  <si>
    <t>neha.roy406@example.com</t>
  </si>
  <si>
    <t>E0407</t>
  </si>
  <si>
    <t>rohit.smith407@example.com</t>
  </si>
  <si>
    <t>E0408</t>
  </si>
  <si>
    <t>anita.singh408@example.com</t>
  </si>
  <si>
    <t>E0409</t>
  </si>
  <si>
    <t>rahul.brown409@example.com</t>
  </si>
  <si>
    <t>E0410</t>
  </si>
  <si>
    <t>anita.paul410@example.com</t>
  </si>
  <si>
    <t>E0411</t>
  </si>
  <si>
    <t>david.khan411@example.com</t>
  </si>
  <si>
    <t>E0412</t>
  </si>
  <si>
    <t>amit.ghosh412@example.com</t>
  </si>
  <si>
    <t>E0413</t>
  </si>
  <si>
    <t>john.dutta413@example.com</t>
  </si>
  <si>
    <t>E0414</t>
  </si>
  <si>
    <t>john.ghosh414@example.com</t>
  </si>
  <si>
    <t>E0415</t>
  </si>
  <si>
    <t>sara.dutta415@example.com</t>
  </si>
  <si>
    <t>E0416</t>
  </si>
  <si>
    <t>sara.brown416@example.com</t>
  </si>
  <si>
    <t>E0417</t>
  </si>
  <si>
    <t>rohit.sen417@example.com</t>
  </si>
  <si>
    <t>E0418</t>
  </si>
  <si>
    <t>jane.sen418@example.com</t>
  </si>
  <si>
    <t>E0419</t>
  </si>
  <si>
    <t>priya.khan419@example.com</t>
  </si>
  <si>
    <t>E0420</t>
  </si>
  <si>
    <t>amit.das420@example.com</t>
  </si>
  <si>
    <t>E0421</t>
  </si>
  <si>
    <t>anita.singh421@example.com</t>
  </si>
  <si>
    <t>E0422</t>
  </si>
  <si>
    <t>rohit.paul422@example.com</t>
  </si>
  <si>
    <t>E0423</t>
  </si>
  <si>
    <t>david.singh423@example.com</t>
  </si>
  <si>
    <t>E0424</t>
  </si>
  <si>
    <t>amit.singh424@example.com</t>
  </si>
  <si>
    <t>E0425</t>
  </si>
  <si>
    <t>john.singh425@example.com</t>
  </si>
  <si>
    <t>E0426</t>
  </si>
  <si>
    <t>anita.paul426@example.com</t>
  </si>
  <si>
    <t>E0427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</si>
  <si>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</si>
  <si>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</si>
  <si>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</si>
  <si>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</si>
  <si>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</si>
  <si>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</si>
  <si>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amit.paul430@example.com</t>
  </si>
  <si>
    <t>E0431</t>
  </si>
  <si>
    <t>rahul.das431@example.com</t>
  </si>
  <si>
    <t>E0432</t>
  </si>
  <si>
    <t>priya.ghosh432@example.com</t>
  </si>
  <si>
    <t>E0433</t>
  </si>
  <si>
    <t>david.ghosh433@example.com</t>
  </si>
  <si>
    <t>E0434</t>
  </si>
  <si>
    <t>jane.das434@example.com</t>
  </si>
  <si>
    <t>E0435</t>
  </si>
  <si>
    <t>rahul.ghosh435@example.com</t>
  </si>
  <si>
    <t>E0436</t>
  </si>
  <si>
    <t>neha.paul436@example.com</t>
  </si>
  <si>
    <t>E0437</t>
  </si>
  <si>
    <t>amit.smith437@example.com</t>
  </si>
  <si>
    <t>E0438</t>
  </si>
  <si>
    <t>priya.das438@example.com</t>
  </si>
  <si>
    <t>E0439</t>
  </si>
  <si>
    <t>david.sen439@example.com</t>
  </si>
  <si>
    <t>E0440</t>
  </si>
  <si>
    <t>priya.sen440@example.com</t>
  </si>
  <si>
    <t>E0441</t>
  </si>
  <si>
    <t>john.brown441@example.com</t>
  </si>
  <si>
    <t>E0442</t>
  </si>
  <si>
    <t>jane.singh442@example.com</t>
  </si>
  <si>
    <t>E0443</t>
  </si>
  <si>
    <t>anita.brown443@example.com</t>
  </si>
  <si>
    <t>E0444</t>
  </si>
  <si>
    <t>jane.dutta444@example.com</t>
  </si>
  <si>
    <t>E0445</t>
  </si>
  <si>
    <t>amit.roy445@example.com</t>
  </si>
  <si>
    <t>E0446</t>
  </si>
  <si>
    <t>sara.khan446@example.com</t>
  </si>
  <si>
    <t>E0447</t>
  </si>
  <si>
    <t>neha.smith447@example.com</t>
  </si>
  <si>
    <t>E0448</t>
  </si>
  <si>
    <t>priya.das448@example.com</t>
  </si>
  <si>
    <t>E0449</t>
  </si>
  <si>
    <t>amit.ghosh449@example.com</t>
  </si>
  <si>
    <t>E0450</t>
  </si>
  <si>
    <t>rahul.khan450@example.com</t>
  </si>
  <si>
    <t>E0451</t>
  </si>
  <si>
    <t>anita.brown451@example.com</t>
  </si>
  <si>
    <t>E0452</t>
  </si>
  <si>
    <t>rahul.roy452@example.com</t>
  </si>
  <si>
    <t>E0453</t>
  </si>
  <si>
    <t>david.das453@example.com</t>
  </si>
  <si>
    <t>E0454</t>
  </si>
  <si>
    <t>rohit.paul454@example.com</t>
  </si>
  <si>
    <t>E0455</t>
  </si>
  <si>
    <t>neha.dutta455@example.com</t>
  </si>
  <si>
    <t>E0456</t>
  </si>
  <si>
    <t>neha.khan456@example.com</t>
  </si>
  <si>
    <t>E0457</t>
  </si>
  <si>
    <t>jane.brown457@example.com</t>
  </si>
  <si>
    <t>E0458</t>
  </si>
  <si>
    <t>david.khan458@example.com</t>
  </si>
  <si>
    <t>E0459</t>
  </si>
  <si>
    <t>sara.dutta459@example.com</t>
  </si>
  <si>
    <t>E0460</t>
  </si>
  <si>
    <t>rohit.ghosh460@example.com</t>
  </si>
  <si>
    <t>E0461</t>
  </si>
  <si>
    <t>priya.paul461@example.com</t>
  </si>
  <si>
    <t>E0462</t>
  </si>
  <si>
    <t>neha.paul462@example.com</t>
  </si>
  <si>
    <t>E0463</t>
  </si>
  <si>
    <t>david.smith463@example.com</t>
  </si>
  <si>
    <t>E0464</t>
  </si>
  <si>
    <t>jane.brown464@example.com</t>
  </si>
  <si>
    <t>E0465</t>
  </si>
  <si>
    <t>amit.sen465@example.com</t>
  </si>
  <si>
    <t>E0466</t>
  </si>
  <si>
    <t>rohit.smith466@example.com</t>
  </si>
  <si>
    <t>E0467</t>
  </si>
  <si>
    <t>rohit.paul467@example.com</t>
  </si>
  <si>
    <t>E0468</t>
  </si>
  <si>
    <t>rohit.sen468@example.com</t>
  </si>
  <si>
    <t>E0469</t>
  </si>
  <si>
    <t>rahul.dutta469@example.com</t>
  </si>
  <si>
    <t>E0470</t>
  </si>
  <si>
    <t>priya.singh470@example.com</t>
  </si>
  <si>
    <t>E0471</t>
  </si>
  <si>
    <t>john.khan471@example.com</t>
  </si>
  <si>
    <t>E0472</t>
  </si>
  <si>
    <t>anita.roy472@example.com</t>
  </si>
  <si>
    <t>E0473</t>
  </si>
  <si>
    <t>rahul.ghosh473@example.com</t>
  </si>
  <si>
    <t>E0474</t>
  </si>
  <si>
    <t>rohit.brown474@example.com</t>
  </si>
  <si>
    <t>E0475</t>
  </si>
  <si>
    <t>anita.paul475@example.com</t>
  </si>
  <si>
    <t>E0476</t>
  </si>
  <si>
    <t>amit.paul476@example.com</t>
  </si>
  <si>
    <t>E0477</t>
  </si>
  <si>
    <t>neha.smith477@example.com</t>
  </si>
  <si>
    <t>E0478</t>
  </si>
  <si>
    <t>jane.das478@example.com</t>
  </si>
  <si>
    <t>E0479</t>
  </si>
  <si>
    <t>sara.roy479@example.com</t>
  </si>
  <si>
    <t>E0480</t>
  </si>
  <si>
    <t>rahul.brown480@example.com</t>
  </si>
  <si>
    <t>E0481</t>
  </si>
  <si>
    <t>rahul.singh481@example.com</t>
  </si>
  <si>
    <t>E0482</t>
  </si>
  <si>
    <t>amit.sen482@example.com</t>
  </si>
  <si>
    <t>E0483</t>
  </si>
  <si>
    <t>david.ghosh483@example.com</t>
  </si>
  <si>
    <t>E0484</t>
  </si>
  <si>
    <t>neha.ghosh484@example.com</t>
  </si>
  <si>
    <t>E0485</t>
  </si>
  <si>
    <t>john.ghosh485@example.com</t>
  </si>
  <si>
    <t>E0486</t>
  </si>
  <si>
    <t>priya.singh486@example.com</t>
  </si>
  <si>
    <t>E0487</t>
  </si>
  <si>
    <t>david.dutta487@example.com</t>
  </si>
  <si>
    <t>E0488</t>
  </si>
  <si>
    <t>anita.singh488@example.com</t>
  </si>
  <si>
    <t>E0489</t>
  </si>
  <si>
    <t>priya.smith489@example.com</t>
  </si>
  <si>
    <t>E0490</t>
  </si>
  <si>
    <t>anita.das490@example.com</t>
  </si>
  <si>
    <t>E0491</t>
  </si>
  <si>
    <t>neha.dutta491@example.com</t>
  </si>
  <si>
    <t>E0492</t>
  </si>
  <si>
    <t>david.ghosh492@example.com</t>
  </si>
  <si>
    <t>E0493</t>
  </si>
  <si>
    <t>rahul.ghosh493@example.com</t>
  </si>
  <si>
    <t>E0494</t>
  </si>
  <si>
    <t>jane.das494@example.com</t>
  </si>
  <si>
    <t>E0495</t>
  </si>
  <si>
    <t>john.sen495@example.com</t>
  </si>
  <si>
    <t>E0496</t>
  </si>
  <si>
    <t>rahul.ghosh496@example.com</t>
  </si>
  <si>
    <t>E0497</t>
  </si>
  <si>
    <t>john.brown497@example.com</t>
  </si>
  <si>
    <t>E0498</t>
  </si>
  <si>
    <t>priya.singh498@example.com</t>
  </si>
  <si>
    <t>E0499</t>
  </si>
  <si>
    <t>david.sen499@example.com</t>
  </si>
  <si>
    <t>E0500</t>
  </si>
  <si>
    <t>david.singh500@example.com</t>
  </si>
  <si>
    <t>DepartmentName</t>
  </si>
  <si>
    <t>Average Salary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</si>
  <si>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</si>
  <si>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</si>
  <si>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</si>
  <si>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</si>
  <si>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</si>
  <si>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</si>
  <si>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</si>
  <si>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</si>
  <si>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</si>
  <si>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</si>
  <si>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</si>
  <si>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TrainingHours</t>
  </si>
  <si>
    <t>ProjectsCompleted</t>
  </si>
  <si>
    <r>
      <rPr>
        <sz val="11"/>
        <color rgb="FF000000"/>
        <rFont val="Calibri"/>
        <scheme val="minor"/>
      </rPr>
      <t xml:space="preserve">Conditional Formatting &gt; Use formula </t>
    </r>
    <r>
      <rPr>
        <b/>
        <sz val="11"/>
        <color rgb="FF000000"/>
        <rFont val="Calibri"/>
        <scheme val="minor"/>
      </rPr>
      <t>=$H2&lt;DATE(2020.1.1)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</si>
</sst>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u/>
      <sz val="11"/>
      <color rgb="FFFF0000"/>
      <name val="Calibri"/>
      <family val="2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C00000"/>
      <name val="Calibri"/>
      <family val="2"/>
    </font>
    <font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3" borderId="4" xfId="0" applyFont="1" applyFill="1" applyBorder="1" applyAlignment="1"/>
    <xf numFmtId="0" fontId="2" fillId="3" borderId="5" xfId="0" applyFont="1" applyFill="1" applyBorder="1" applyAlignment="1"/>
    <xf numFmtId="14" fontId="2" fillId="3" borderId="5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2" fillId="0" borderId="0" xfId="0" applyFont="1" applyFill="1" applyBorder="1" applyAlignment="1"/>
    <xf numFmtId="0" fontId="0" fillId="5" borderId="6" xfId="0" applyFill="1" applyBorder="1"/>
    <xf numFmtId="0" fontId="2" fillId="3" borderId="7" xfId="0" applyFont="1" applyFill="1" applyBorder="1" applyAlignment="1"/>
    <xf numFmtId="0" fontId="0" fillId="5" borderId="8" xfId="0" applyFill="1" applyBorder="1"/>
    <xf numFmtId="0" fontId="4" fillId="4" borderId="9" xfId="0" applyFont="1" applyFill="1" applyBorder="1"/>
    <xf numFmtId="0" fontId="5" fillId="8" borderId="6" xfId="0" applyFont="1" applyFill="1" applyBorder="1"/>
    <xf numFmtId="0" fontId="0" fillId="9" borderId="6" xfId="0" applyFill="1" applyBorder="1"/>
    <xf numFmtId="0" fontId="4" fillId="6" borderId="9" xfId="0" applyFont="1" applyFill="1" applyBorder="1"/>
    <xf numFmtId="0" fontId="0" fillId="7" borderId="10" xfId="0" applyFill="1" applyBorder="1"/>
    <xf numFmtId="0" fontId="0" fillId="7" borderId="11" xfId="0" applyFill="1" applyBorder="1"/>
    <xf numFmtId="0" fontId="1" fillId="2" borderId="6" xfId="0" applyFont="1" applyFill="1" applyBorder="1" applyAlignment="1"/>
    <xf numFmtId="0" fontId="2" fillId="10" borderId="4" xfId="0" applyFont="1" applyFill="1" applyBorder="1" applyAlignment="1"/>
    <xf numFmtId="0" fontId="2" fillId="10" borderId="5" xfId="0" applyFont="1" applyFill="1" applyBorder="1" applyAlignment="1"/>
    <xf numFmtId="14" fontId="2" fillId="10" borderId="5" xfId="0" applyNumberFormat="1" applyFont="1" applyFill="1" applyBorder="1" applyAlignment="1"/>
    <xf numFmtId="0" fontId="2" fillId="10" borderId="7" xfId="0" applyFont="1" applyFill="1" applyBorder="1" applyAlignment="1"/>
    <xf numFmtId="0" fontId="0" fillId="10" borderId="6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8" xfId="0" applyFill="1" applyBorder="1"/>
    <xf numFmtId="0" fontId="1" fillId="11" borderId="1" xfId="0" applyFont="1" applyFill="1" applyBorder="1" applyAlignment="1"/>
    <xf numFmtId="0" fontId="1" fillId="11" borderId="2" xfId="0" applyFont="1" applyFill="1" applyBorder="1" applyAlignment="1"/>
    <xf numFmtId="0" fontId="1" fillId="11" borderId="3" xfId="0" applyFont="1" applyFill="1" applyBorder="1" applyAlignment="1"/>
    <xf numFmtId="0" fontId="4" fillId="11" borderId="9" xfId="0" applyFont="1" applyFill="1" applyBorder="1"/>
    <xf numFmtId="0" fontId="5" fillId="11" borderId="6" xfId="0" applyFont="1" applyFill="1" applyBorder="1"/>
    <xf numFmtId="0" fontId="1" fillId="13" borderId="1" xfId="0" applyFont="1" applyFill="1" applyBorder="1" applyAlignment="1"/>
    <xf numFmtId="0" fontId="1" fillId="13" borderId="2" xfId="0" applyFont="1" applyFill="1" applyBorder="1" applyAlignment="1"/>
    <xf numFmtId="0" fontId="1" fillId="13" borderId="3" xfId="0" applyFont="1" applyFill="1" applyBorder="1" applyAlignment="1"/>
    <xf numFmtId="0" fontId="4" fillId="13" borderId="9" xfId="0" applyFont="1" applyFill="1" applyBorder="1"/>
    <xf numFmtId="0" fontId="5" fillId="13" borderId="6" xfId="0" applyFont="1" applyFill="1" applyBorder="1"/>
    <xf numFmtId="0" fontId="2" fillId="0" borderId="0" xfId="0" applyFont="1" applyFill="1" applyBorder="1" applyAlignment="1"/>
    <xf numFmtId="0" fontId="2" fillId="6" borderId="0" xfId="0" applyFont="1" applyFill="1" applyBorder="1" applyAlignment="1"/>
    <xf numFmtId="0" fontId="6" fillId="12" borderId="0" xfId="0" applyFont="1" applyFill="1" applyBorder="1" applyAlignment="1"/>
    <xf numFmtId="0" fontId="7" fillId="14" borderId="6" xfId="0" applyFont="1" applyFill="1" applyBorder="1" applyAlignment="1"/>
    <xf numFmtId="0" fontId="0" fillId="12" borderId="6" xfId="0" applyFill="1" applyBorder="1" applyAlignment="1">
      <alignment horizontal="center"/>
    </xf>
    <xf numFmtId="0" fontId="2" fillId="8" borderId="0" xfId="0" applyFont="1" applyFill="1" applyBorder="1" applyAlignment="1">
      <alignment horizontal="left"/>
    </xf>
    <xf numFmtId="0" fontId="8" fillId="0" borderId="0" xfId="0" applyFont="1"/>
    <xf numFmtId="0" fontId="9" fillId="9" borderId="0" xfId="0" applyFont="1" applyFill="1" applyBorder="1" applyAlignment="1"/>
    <xf numFmtId="0" fontId="2" fillId="0" borderId="7" xfId="0" applyFont="1" applyFill="1" applyBorder="1" applyAlignment="1"/>
    <xf numFmtId="0" fontId="2" fillId="15" borderId="0" xfId="0" applyFont="1" applyFill="1" applyBorder="1" applyAlignment="1"/>
    <xf numFmtId="0" fontId="0" fillId="15" borderId="6" xfId="0" applyFill="1" applyBorder="1"/>
    <xf numFmtId="0" fontId="5" fillId="16" borderId="0" xfId="0" applyFont="1" applyFill="1"/>
    <xf numFmtId="0" fontId="2" fillId="14" borderId="0" xfId="0" applyFont="1" applyFill="1" applyBorder="1" applyAlignment="1"/>
    <xf numFmtId="14" fontId="0" fillId="0" borderId="0" xfId="0" applyNumberFormat="1"/>
    <xf numFmtId="14" fontId="2" fillId="3" borderId="1" xfId="0" applyNumberFormat="1" applyFont="1" applyFill="1" applyBorder="1" applyAlignment="1"/>
    <xf numFmtId="0" fontId="2" fillId="4" borderId="12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6" borderId="15" xfId="0" applyFont="1" applyFill="1" applyBorder="1" applyAlignment="1"/>
    <xf numFmtId="0" fontId="2" fillId="6" borderId="16" xfId="0" applyFont="1" applyFill="1" applyBorder="1" applyAlignment="1"/>
    <xf numFmtId="0" fontId="2" fillId="8" borderId="15" xfId="0" applyFont="1" applyFill="1" applyBorder="1" applyAlignment="1">
      <alignment horizontal="left"/>
    </xf>
    <xf numFmtId="0" fontId="2" fillId="8" borderId="16" xfId="0" applyFont="1" applyFill="1" applyBorder="1" applyAlignment="1">
      <alignment horizontal="left"/>
    </xf>
    <xf numFmtId="0" fontId="2" fillId="15" borderId="15" xfId="0" applyFont="1" applyFill="1" applyBorder="1" applyAlignment="1"/>
    <xf numFmtId="0" fontId="0" fillId="15" borderId="0" xfId="0" applyFill="1" applyBorder="1"/>
    <xf numFmtId="0" fontId="0" fillId="15" borderId="16" xfId="0" applyFill="1" applyBorder="1"/>
    <xf numFmtId="0" fontId="2" fillId="14" borderId="15" xfId="0" applyFont="1" applyFill="1" applyBorder="1" applyAlignment="1"/>
    <xf numFmtId="0" fontId="2" fillId="14" borderId="16" xfId="0" applyFont="1" applyFill="1" applyBorder="1" applyAlignment="1"/>
    <xf numFmtId="0" fontId="7" fillId="14" borderId="17" xfId="0" applyFont="1" applyFill="1" applyBorder="1" applyAlignment="1"/>
    <xf numFmtId="0" fontId="0" fillId="0" borderId="0" xfId="0" applyBorder="1"/>
    <xf numFmtId="0" fontId="0" fillId="0" borderId="16" xfId="0" applyBorder="1"/>
    <xf numFmtId="0" fontId="0" fillId="12" borderId="17" xfId="0" applyFill="1" applyBorder="1" applyAlignment="1">
      <alignment horizontal="center"/>
    </xf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9" fillId="9" borderId="15" xfId="0" applyFont="1" applyFill="1" applyBorder="1" applyAlignment="1"/>
    <xf numFmtId="0" fontId="10" fillId="9" borderId="0" xfId="0" applyFont="1" applyFill="1" applyBorder="1"/>
    <xf numFmtId="0" fontId="10" fillId="9" borderId="16" xfId="0" applyFont="1" applyFill="1" applyBorder="1"/>
    <xf numFmtId="0" fontId="2" fillId="0" borderId="15" xfId="0" applyFont="1" applyFill="1" applyBorder="1" applyAlignment="1"/>
    <xf numFmtId="0" fontId="1" fillId="2" borderId="17" xfId="0" applyFont="1" applyFill="1" applyBorder="1" applyAlignment="1"/>
    <xf numFmtId="0" fontId="2" fillId="3" borderId="18" xfId="0" applyFont="1" applyFill="1" applyBorder="1" applyAlignment="1"/>
    <xf numFmtId="0" fontId="2" fillId="3" borderId="19" xfId="0" applyFont="1" applyFill="1" applyBorder="1" applyAlignment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1"/>
  <sheetViews>
    <sheetView tabSelected="1" topLeftCell="O1" workbookViewId="0">
      <selection activeCell="R2" sqref="R2:AH13"/>
    </sheetView>
  </sheetViews>
  <sheetFormatPr defaultRowHeight="15"/>
  <cols>
    <col min="1" max="1" width="11.85546875" bestFit="1" customWidth="1"/>
    <col min="2" max="2" width="10.28515625" bestFit="1" customWidth="1"/>
    <col min="3" max="3" width="10" bestFit="1" customWidth="1"/>
    <col min="4" max="4" width="7.7109375" bestFit="1" customWidth="1"/>
    <col min="5" max="5" width="4.5703125" bestFit="1" customWidth="1"/>
    <col min="6" max="6" width="14" bestFit="1" customWidth="1"/>
    <col min="7" max="7" width="11.7109375" bestFit="1" customWidth="1"/>
    <col min="8" max="8" width="11.42578125" bestFit="1" customWidth="1"/>
    <col min="9" max="9" width="7.7109375" bestFit="1" customWidth="1"/>
    <col min="10" max="10" width="10" bestFit="1" customWidth="1"/>
    <col min="11" max="11" width="29.5703125" bestFit="1" customWidth="1"/>
    <col min="12" max="12" width="8" bestFit="1" customWidth="1"/>
  </cols>
  <sheetData>
    <row r="1" spans="1: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7" t="s">
        <v>12</v>
      </c>
      <c r="N1" s="20" t="s">
        <v>13</v>
      </c>
      <c r="O1" s="18" t="s">
        <v>14</v>
      </c>
      <c r="R1" s="11" t="s">
        <v>15</v>
      </c>
      <c r="S1" s="12"/>
      <c r="T1" s="13"/>
      <c r="U1" s="13"/>
      <c r="V1" s="13"/>
      <c r="W1" s="13"/>
      <c r="X1" s="13"/>
      <c r="Y1" s="13"/>
      <c r="Z1" s="13"/>
      <c r="AA1" s="13"/>
      <c r="AB1" s="13"/>
    </row>
    <row r="2" spans="1:34">
      <c r="A2" s="4" t="s">
        <v>16</v>
      </c>
      <c r="B2" s="5" t="s">
        <v>17</v>
      </c>
      <c r="C2" s="5" t="s">
        <v>18</v>
      </c>
      <c r="D2" s="5" t="s">
        <v>19</v>
      </c>
      <c r="E2" s="5">
        <v>30</v>
      </c>
      <c r="F2" s="5" t="s">
        <v>20</v>
      </c>
      <c r="G2" s="5" t="s">
        <v>21</v>
      </c>
      <c r="H2" s="6">
        <v>43517</v>
      </c>
      <c r="I2" s="5">
        <v>105257</v>
      </c>
      <c r="J2" s="5" t="s">
        <v>22</v>
      </c>
      <c r="K2" s="5" t="s">
        <v>23</v>
      </c>
      <c r="L2" s="15" t="s">
        <v>24</v>
      </c>
      <c r="M2" s="14" t="str">
        <f>_xlfn.XLOOKUP(F2,Department!$A$2:$A$6,Department!$B$2:$B$6)</f>
        <v>HR</v>
      </c>
      <c r="N2" s="21">
        <f>_xlfn.XLOOKUP(A2,Performance!$A$2:$A$501,Performance!$C$2:$C$501)</f>
        <v>1</v>
      </c>
      <c r="O2" s="19" cm="1">
        <f t="array" ref="O2">_xlfn.IFS(N2=5,I2*15%,N2=4,I2*10%,N2=3,I2*7%,N2&lt;3,I2*5%)</f>
        <v>5262.85</v>
      </c>
      <c r="R2" s="57" t="s">
        <v>25</v>
      </c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9"/>
    </row>
    <row r="3" spans="1:34">
      <c r="A3" s="4" t="s">
        <v>26</v>
      </c>
      <c r="B3" s="5" t="s">
        <v>17</v>
      </c>
      <c r="C3" s="5" t="s">
        <v>27</v>
      </c>
      <c r="D3" s="5" t="s">
        <v>28</v>
      </c>
      <c r="E3" s="5">
        <v>48</v>
      </c>
      <c r="F3" s="5" t="s">
        <v>29</v>
      </c>
      <c r="G3" s="5" t="s">
        <v>30</v>
      </c>
      <c r="H3" s="6">
        <v>44548</v>
      </c>
      <c r="I3" s="5">
        <v>97903</v>
      </c>
      <c r="J3" s="5" t="s">
        <v>22</v>
      </c>
      <c r="K3" s="5" t="s">
        <v>31</v>
      </c>
      <c r="L3" s="15" t="s">
        <v>24</v>
      </c>
      <c r="M3" s="14" t="str">
        <f>_xlfn.XLOOKUP(F3,Department!$A$2:$A$6,Department!$B$2:$B$6)</f>
        <v>IT</v>
      </c>
      <c r="N3" s="22">
        <f>_xlfn.XLOOKUP(A3,Performance!$A$2:$A$501,Performance!$C$2:$C$501)</f>
        <v>4</v>
      </c>
      <c r="O3" s="19" cm="1">
        <f t="array" ref="O3">_xlfn.IFS(N3=5,I3*15%,N3=4,I3*10%,N3=3,I3*7%,N3&lt;3,I3*5%)</f>
        <v>9790.3000000000011</v>
      </c>
      <c r="R3" s="60" t="s">
        <v>32</v>
      </c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61"/>
    </row>
    <row r="4" spans="1:34">
      <c r="A4" s="4" t="s">
        <v>33</v>
      </c>
      <c r="B4" s="5" t="s">
        <v>34</v>
      </c>
      <c r="C4" s="5" t="s">
        <v>27</v>
      </c>
      <c r="D4" s="5" t="s">
        <v>28</v>
      </c>
      <c r="E4" s="5">
        <v>48</v>
      </c>
      <c r="F4" s="5" t="s">
        <v>35</v>
      </c>
      <c r="G4" s="5" t="s">
        <v>36</v>
      </c>
      <c r="H4" s="6">
        <v>44037</v>
      </c>
      <c r="I4" s="5">
        <v>73429</v>
      </c>
      <c r="J4" s="5" t="s">
        <v>37</v>
      </c>
      <c r="K4" s="5" t="s">
        <v>38</v>
      </c>
      <c r="L4" s="15" t="s">
        <v>39</v>
      </c>
      <c r="M4" s="14" t="str">
        <f>_xlfn.XLOOKUP(F4,Department!$A$2:$A$6,Department!$B$2:$B$6)</f>
        <v>Sales</v>
      </c>
      <c r="N4" s="22">
        <f>_xlfn.XLOOKUP(A4,Performance!$A$2:$A$501,Performance!$C$2:$C$501)</f>
        <v>2</v>
      </c>
      <c r="O4" s="19" cm="1">
        <f t="array" ref="O4">_xlfn.IFS(N4=5,I4*15%,N4=4,I4*10%,N4=3,I4*7%,N4&lt;3,I4*5%)</f>
        <v>3671.4500000000003</v>
      </c>
      <c r="R4" s="62" t="s">
        <v>40</v>
      </c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63"/>
    </row>
    <row r="5" spans="1:34">
      <c r="A5" s="4" t="s">
        <v>41</v>
      </c>
      <c r="B5" s="5" t="s">
        <v>42</v>
      </c>
      <c r="C5" s="5" t="s">
        <v>18</v>
      </c>
      <c r="D5" s="5" t="s">
        <v>19</v>
      </c>
      <c r="E5" s="5">
        <v>50</v>
      </c>
      <c r="F5" s="5" t="s">
        <v>43</v>
      </c>
      <c r="G5" s="5" t="s">
        <v>44</v>
      </c>
      <c r="H5" s="6">
        <v>44413</v>
      </c>
      <c r="I5" s="5">
        <v>99336</v>
      </c>
      <c r="J5" s="5" t="s">
        <v>37</v>
      </c>
      <c r="K5" s="5" t="s">
        <v>45</v>
      </c>
      <c r="L5" s="15" t="s">
        <v>24</v>
      </c>
      <c r="M5" s="14" t="str">
        <f>_xlfn.XLOOKUP(F5,Department!$A$2:$A$6,Department!$B$2:$B$6)</f>
        <v>Marketing</v>
      </c>
      <c r="N5" s="22">
        <f>_xlfn.XLOOKUP(A5,Performance!$A$2:$A$501,Performance!$C$2:$C$501)</f>
        <v>4</v>
      </c>
      <c r="O5" s="19" cm="1">
        <f t="array" ref="O5">_xlfn.IFS(N5=5,I5*15%,N5=4,I5*10%,N5=3,I5*7%,N5&lt;3,I5*5%)</f>
        <v>9933.6</v>
      </c>
      <c r="R5" s="64" t="s">
        <v>46</v>
      </c>
      <c r="S5" s="51"/>
      <c r="T5" s="51"/>
      <c r="U5" s="51"/>
      <c r="V5" s="51"/>
      <c r="W5" s="51"/>
      <c r="X5" s="51"/>
      <c r="Y5" s="51"/>
      <c r="Z5" s="51"/>
      <c r="AA5" s="51"/>
      <c r="AB5" s="51"/>
      <c r="AC5" s="65"/>
      <c r="AD5" s="65"/>
      <c r="AE5" s="65"/>
      <c r="AF5" s="65"/>
      <c r="AG5" s="65"/>
      <c r="AH5" s="66"/>
    </row>
    <row r="6" spans="1:34">
      <c r="A6" s="4" t="s">
        <v>47</v>
      </c>
      <c r="B6" s="5" t="s">
        <v>48</v>
      </c>
      <c r="C6" s="5" t="s">
        <v>49</v>
      </c>
      <c r="D6" s="5" t="s">
        <v>28</v>
      </c>
      <c r="E6" s="5">
        <v>60</v>
      </c>
      <c r="F6" s="5" t="s">
        <v>20</v>
      </c>
      <c r="G6" s="5" t="s">
        <v>36</v>
      </c>
      <c r="H6" s="6">
        <v>43990</v>
      </c>
      <c r="I6" s="5">
        <v>105020</v>
      </c>
      <c r="J6" s="5" t="s">
        <v>37</v>
      </c>
      <c r="K6" s="5" t="s">
        <v>50</v>
      </c>
      <c r="L6" s="15" t="s">
        <v>24</v>
      </c>
      <c r="M6" s="14" t="str">
        <f>_xlfn.XLOOKUP(F6,Department!$A$2:$A$6,Department!$B$2:$B$6)</f>
        <v>HR</v>
      </c>
      <c r="N6" s="22">
        <f>_xlfn.XLOOKUP(A6,Performance!$A$2:$A$501,Performance!$C$2:$C$501)</f>
        <v>2</v>
      </c>
      <c r="O6" s="19" cm="1">
        <f t="array" ref="O6">_xlfn.IFS(N6=5,I6*15%,N6=4,I6*10%,N6=3,I6*7%,N6&lt;3,I6*5%)</f>
        <v>5251</v>
      </c>
      <c r="R6" s="67" t="s">
        <v>51</v>
      </c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68"/>
    </row>
    <row r="7" spans="1:34">
      <c r="A7" s="4" t="s">
        <v>52</v>
      </c>
      <c r="B7" s="5" t="s">
        <v>53</v>
      </c>
      <c r="C7" s="5" t="s">
        <v>18</v>
      </c>
      <c r="D7" s="5" t="s">
        <v>28</v>
      </c>
      <c r="E7" s="5">
        <v>33</v>
      </c>
      <c r="F7" s="5" t="s">
        <v>54</v>
      </c>
      <c r="G7" s="5" t="s">
        <v>36</v>
      </c>
      <c r="H7" s="6">
        <v>43681</v>
      </c>
      <c r="I7" s="5">
        <v>93173</v>
      </c>
      <c r="J7" s="5" t="s">
        <v>37</v>
      </c>
      <c r="K7" s="5" t="s">
        <v>55</v>
      </c>
      <c r="L7" s="15" t="s">
        <v>24</v>
      </c>
      <c r="M7" s="14" t="str">
        <f>_xlfn.XLOOKUP(F7,Department!$A$2:$A$6,Department!$B$2:$B$6)</f>
        <v>Finance</v>
      </c>
      <c r="N7" s="22">
        <f>_xlfn.XLOOKUP(A7,Performance!$A$2:$A$501,Performance!$C$2:$C$501)</f>
        <v>3</v>
      </c>
      <c r="O7" s="19" cm="1">
        <f t="array" ref="O7">_xlfn.IFS(N7=5,I7*15%,N7=4,I7*10%,N7=3,I7*7%,N7&lt;3,I7*5%)</f>
        <v>6522.1100000000006</v>
      </c>
      <c r="R7" s="69" t="s">
        <v>56</v>
      </c>
      <c r="S7" s="45"/>
      <c r="T7" s="70"/>
      <c r="U7" s="70"/>
      <c r="V7" s="70"/>
      <c r="W7" s="70"/>
      <c r="X7" s="70"/>
      <c r="Y7" s="70"/>
      <c r="Z7" s="70"/>
      <c r="AA7" s="13"/>
      <c r="AB7" s="13"/>
      <c r="AC7" s="70"/>
      <c r="AD7" s="70"/>
      <c r="AE7" s="70"/>
      <c r="AF7" s="70"/>
      <c r="AG7" s="70"/>
      <c r="AH7" s="71"/>
    </row>
    <row r="8" spans="1:34">
      <c r="A8" s="4" t="s">
        <v>57</v>
      </c>
      <c r="B8" s="5" t="s">
        <v>58</v>
      </c>
      <c r="C8" s="5" t="s">
        <v>49</v>
      </c>
      <c r="D8" s="5" t="s">
        <v>28</v>
      </c>
      <c r="E8" s="5">
        <v>52</v>
      </c>
      <c r="F8" s="5" t="s">
        <v>43</v>
      </c>
      <c r="G8" s="5" t="s">
        <v>21</v>
      </c>
      <c r="H8" s="6">
        <v>44219</v>
      </c>
      <c r="I8" s="5">
        <v>106626</v>
      </c>
      <c r="J8" s="5" t="s">
        <v>37</v>
      </c>
      <c r="K8" s="5" t="s">
        <v>59</v>
      </c>
      <c r="L8" s="15" t="s">
        <v>24</v>
      </c>
      <c r="M8" s="14" t="str">
        <f>_xlfn.XLOOKUP(F8,Department!$A$2:$A$6,Department!$B$2:$B$6)</f>
        <v>Marketing</v>
      </c>
      <c r="N8" s="22">
        <f>_xlfn.XLOOKUP(A8,Performance!$A$2:$A$501,Performance!$C$2:$C$501)</f>
        <v>2</v>
      </c>
      <c r="O8" s="19" cm="1">
        <f t="array" ref="O8">_xlfn.IFS(N8=5,I8*15%,N8=4,I8*10%,N8=3,I8*7%,N8&lt;3,I8*5%)</f>
        <v>5331.3</v>
      </c>
      <c r="R8" s="72">
        <f>COUNTIF(L2:L501,"Active")</f>
        <v>237</v>
      </c>
      <c r="S8" s="46"/>
      <c r="T8" s="70"/>
      <c r="U8" s="70"/>
      <c r="V8" s="70"/>
      <c r="W8" s="70"/>
      <c r="X8" s="70"/>
      <c r="Y8" s="70"/>
      <c r="Z8" s="70"/>
      <c r="AA8" s="13"/>
      <c r="AB8" s="13"/>
      <c r="AC8" s="70"/>
      <c r="AD8" s="70"/>
      <c r="AE8" s="70"/>
      <c r="AF8" s="70"/>
      <c r="AG8" s="70"/>
      <c r="AH8" s="71"/>
    </row>
    <row r="9" spans="1:34">
      <c r="A9" s="4" t="s">
        <v>60</v>
      </c>
      <c r="B9" s="5" t="s">
        <v>61</v>
      </c>
      <c r="C9" s="5" t="s">
        <v>18</v>
      </c>
      <c r="D9" s="5" t="s">
        <v>19</v>
      </c>
      <c r="E9" s="5">
        <v>42</v>
      </c>
      <c r="F9" s="5" t="s">
        <v>54</v>
      </c>
      <c r="G9" s="5" t="s">
        <v>44</v>
      </c>
      <c r="H9" s="6">
        <v>43978</v>
      </c>
      <c r="I9" s="5">
        <v>114547</v>
      </c>
      <c r="J9" s="5" t="s">
        <v>62</v>
      </c>
      <c r="K9" s="5" t="s">
        <v>63</v>
      </c>
      <c r="L9" s="15" t="s">
        <v>39</v>
      </c>
      <c r="M9" s="14" t="str">
        <f>_xlfn.XLOOKUP(F9,Department!$A$2:$A$6,Department!$B$2:$B$6)</f>
        <v>Finance</v>
      </c>
      <c r="N9" s="22">
        <f>_xlfn.XLOOKUP(A9,Performance!$A$2:$A$501,Performance!$C$2:$C$501)</f>
        <v>1</v>
      </c>
      <c r="O9" s="19" cm="1">
        <f t="array" ref="O9">_xlfn.IFS(N9=5,I9*15%,N9=4,I9*10%,N9=3,I9*7%,N9&lt;3,I9*5%)</f>
        <v>5727.35</v>
      </c>
      <c r="R9" s="73" t="s">
        <v>64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74"/>
    </row>
    <row r="10" spans="1:34">
      <c r="A10" s="4" t="s">
        <v>65</v>
      </c>
      <c r="B10" s="5" t="s">
        <v>61</v>
      </c>
      <c r="C10" s="5" t="s">
        <v>66</v>
      </c>
      <c r="D10" s="5" t="s">
        <v>19</v>
      </c>
      <c r="E10" s="5">
        <v>40</v>
      </c>
      <c r="F10" s="5" t="s">
        <v>20</v>
      </c>
      <c r="G10" s="5" t="s">
        <v>36</v>
      </c>
      <c r="H10" s="6">
        <v>44681</v>
      </c>
      <c r="I10" s="5">
        <v>51139</v>
      </c>
      <c r="J10" s="5" t="s">
        <v>67</v>
      </c>
      <c r="K10" s="5" t="s">
        <v>68</v>
      </c>
      <c r="L10" s="15" t="s">
        <v>39</v>
      </c>
      <c r="M10" s="14" t="str">
        <f>_xlfn.XLOOKUP(F10,Department!$A$2:$A$6,Department!$B$2:$B$6)</f>
        <v>HR</v>
      </c>
      <c r="N10" s="22">
        <f>_xlfn.XLOOKUP(A10,Performance!$A$2:$A$501,Performance!$C$2:$C$501)</f>
        <v>4</v>
      </c>
      <c r="O10" s="19" cm="1">
        <f t="array" ref="O10">_xlfn.IFS(N10=5,I10*15%,N10=4,I10*10%,N10=3,I10*7%,N10&lt;3,I10*5%)</f>
        <v>5113.9000000000005</v>
      </c>
      <c r="R10" s="75" t="s">
        <v>69</v>
      </c>
      <c r="S10" s="49"/>
      <c r="T10" s="49"/>
      <c r="U10" s="49"/>
      <c r="V10" s="49"/>
      <c r="W10" s="49"/>
      <c r="X10" s="49"/>
      <c r="Y10" s="49"/>
      <c r="Z10" s="49"/>
      <c r="AA10" s="76"/>
      <c r="AB10" s="76"/>
      <c r="AC10" s="76"/>
      <c r="AD10" s="76"/>
      <c r="AE10" s="76"/>
      <c r="AF10" s="76"/>
      <c r="AG10" s="76"/>
      <c r="AH10" s="77"/>
    </row>
    <row r="11" spans="1:34">
      <c r="A11" s="4" t="s">
        <v>70</v>
      </c>
      <c r="B11" s="5" t="s">
        <v>17</v>
      </c>
      <c r="C11" s="5" t="s">
        <v>27</v>
      </c>
      <c r="D11" s="5" t="s">
        <v>19</v>
      </c>
      <c r="E11" s="5">
        <v>25</v>
      </c>
      <c r="F11" s="5" t="s">
        <v>43</v>
      </c>
      <c r="G11" s="5" t="s">
        <v>21</v>
      </c>
      <c r="H11" s="6">
        <v>43457</v>
      </c>
      <c r="I11" s="5">
        <v>60673</v>
      </c>
      <c r="J11" s="5" t="s">
        <v>67</v>
      </c>
      <c r="K11" s="5" t="s">
        <v>71</v>
      </c>
      <c r="L11" s="15" t="s">
        <v>39</v>
      </c>
      <c r="M11" s="14" t="str">
        <f>_xlfn.XLOOKUP(F11,Department!$A$2:$A$6,Department!$B$2:$B$6)</f>
        <v>Marketing</v>
      </c>
      <c r="N11" s="22">
        <f>_xlfn.XLOOKUP(A11,Performance!$A$2:$A$501,Performance!$C$2:$C$501)</f>
        <v>5</v>
      </c>
      <c r="O11" s="19" cm="1">
        <f t="array" ref="O11">_xlfn.IFS(N11=5,I11*15%,N11=4,I11*10%,N11=3,I11*7%,N11&lt;3,I11*5%)</f>
        <v>9100.9499999999989</v>
      </c>
      <c r="R11" s="78" t="s">
        <v>72</v>
      </c>
      <c r="S11" s="42"/>
      <c r="T11" s="42"/>
      <c r="U11" s="42"/>
      <c r="V11" s="42"/>
      <c r="W11" s="42"/>
      <c r="X11" s="42"/>
      <c r="Y11" s="42"/>
      <c r="Z11" s="70"/>
      <c r="AA11" s="70"/>
      <c r="AB11" s="70"/>
      <c r="AC11" s="70"/>
      <c r="AD11" s="70"/>
      <c r="AE11" s="70"/>
      <c r="AF11" s="70"/>
      <c r="AG11" s="70"/>
      <c r="AH11" s="71"/>
    </row>
    <row r="12" spans="1:34">
      <c r="A12" s="4" t="s">
        <v>73</v>
      </c>
      <c r="B12" s="5" t="s">
        <v>74</v>
      </c>
      <c r="C12" s="5" t="s">
        <v>27</v>
      </c>
      <c r="D12" s="5" t="s">
        <v>19</v>
      </c>
      <c r="E12" s="5">
        <v>25</v>
      </c>
      <c r="F12" s="5" t="s">
        <v>43</v>
      </c>
      <c r="G12" s="5" t="s">
        <v>36</v>
      </c>
      <c r="H12" s="6">
        <v>44356</v>
      </c>
      <c r="I12" s="5">
        <v>65690</v>
      </c>
      <c r="J12" s="5" t="s">
        <v>22</v>
      </c>
      <c r="K12" s="5" t="s">
        <v>75</v>
      </c>
      <c r="L12" s="15" t="s">
        <v>39</v>
      </c>
      <c r="M12" s="14" t="str">
        <f>_xlfn.XLOOKUP(F12,Department!$A$2:$A$6,Department!$B$2:$B$6)</f>
        <v>Marketing</v>
      </c>
      <c r="N12" s="22">
        <f>_xlfn.XLOOKUP(A12,Performance!$A$2:$A$501,Performance!$C$2:$C$501)</f>
        <v>3</v>
      </c>
      <c r="O12" s="19" cm="1">
        <f t="array" ref="O12">_xlfn.IFS(N12=5,I12*15%,N12=4,I12*10%,N12=3,I12*7%,N12&lt;3,I12*5%)</f>
        <v>4598.3</v>
      </c>
      <c r="R12" s="79" t="s">
        <v>6</v>
      </c>
      <c r="S12" s="23" t="s">
        <v>9</v>
      </c>
      <c r="T12" s="70" t="s">
        <v>76</v>
      </c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1"/>
    </row>
    <row r="13" spans="1:34">
      <c r="A13" s="4" t="s">
        <v>77</v>
      </c>
      <c r="B13" s="5" t="s">
        <v>34</v>
      </c>
      <c r="C13" s="5" t="s">
        <v>49</v>
      </c>
      <c r="D13" s="5" t="s">
        <v>28</v>
      </c>
      <c r="E13" s="5">
        <v>49</v>
      </c>
      <c r="F13" s="5" t="s">
        <v>29</v>
      </c>
      <c r="G13" s="5" t="s">
        <v>30</v>
      </c>
      <c r="H13" s="6">
        <v>43520</v>
      </c>
      <c r="I13" s="5">
        <v>63823</v>
      </c>
      <c r="J13" s="5" t="s">
        <v>67</v>
      </c>
      <c r="K13" s="5" t="s">
        <v>78</v>
      </c>
      <c r="L13" s="15" t="s">
        <v>24</v>
      </c>
      <c r="M13" s="14" t="str">
        <f>_xlfn.XLOOKUP(F13,Department!$A$2:$A$6,Department!$B$2:$B$6)</f>
        <v>IT</v>
      </c>
      <c r="N13" s="22">
        <f>_xlfn.XLOOKUP(A13,Performance!$A$2:$A$501,Performance!$C$2:$C$501)</f>
        <v>2</v>
      </c>
      <c r="O13" s="19" cm="1">
        <f t="array" ref="O13">_xlfn.IFS(N13=5,I13*15%,N13=4,I13*10%,N13=3,I13*7%,N13&lt;3,I13*5%)</f>
        <v>3191.15</v>
      </c>
      <c r="R13" s="80" t="s">
        <v>21</v>
      </c>
      <c r="S13" s="81" t="s">
        <v>22</v>
      </c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3"/>
    </row>
    <row r="14" spans="1:34">
      <c r="A14" s="4" t="s">
        <v>79</v>
      </c>
      <c r="B14" s="5" t="s">
        <v>34</v>
      </c>
      <c r="C14" s="5" t="s">
        <v>80</v>
      </c>
      <c r="D14" s="5" t="s">
        <v>19</v>
      </c>
      <c r="E14" s="5">
        <v>56</v>
      </c>
      <c r="F14" s="5" t="s">
        <v>43</v>
      </c>
      <c r="G14" s="5" t="s">
        <v>21</v>
      </c>
      <c r="H14" s="6">
        <v>44651</v>
      </c>
      <c r="I14" s="5">
        <v>49557</v>
      </c>
      <c r="J14" s="5" t="s">
        <v>81</v>
      </c>
      <c r="K14" s="5" t="s">
        <v>82</v>
      </c>
      <c r="L14" s="15" t="s">
        <v>39</v>
      </c>
      <c r="M14" s="14" t="str">
        <f>_xlfn.XLOOKUP(F14,Department!$A$2:$A$6,Department!$B$2:$B$6)</f>
        <v>Marketing</v>
      </c>
      <c r="N14" s="22">
        <f>_xlfn.XLOOKUP(A14,Performance!$A$2:$A$501,Performance!$C$2:$C$501)</f>
        <v>3</v>
      </c>
      <c r="O14" s="19" cm="1">
        <f t="array" ref="O14">_xlfn.IFS(N14=5,I14*15%,N14=4,I14*10%,N14=3,I14*7%,N14&lt;3,I14*5%)</f>
        <v>3468.9900000000002</v>
      </c>
      <c r="Z14" s="13"/>
    </row>
    <row r="15" spans="1:34">
      <c r="A15" s="4" t="s">
        <v>83</v>
      </c>
      <c r="B15" s="5" t="s">
        <v>34</v>
      </c>
      <c r="C15" s="5" t="s">
        <v>84</v>
      </c>
      <c r="D15" s="5" t="s">
        <v>28</v>
      </c>
      <c r="E15" s="5">
        <v>44</v>
      </c>
      <c r="F15" s="5" t="s">
        <v>20</v>
      </c>
      <c r="G15" s="5" t="s">
        <v>36</v>
      </c>
      <c r="H15" s="6">
        <v>44827</v>
      </c>
      <c r="I15" s="5">
        <v>116901</v>
      </c>
      <c r="J15" s="5" t="s">
        <v>67</v>
      </c>
      <c r="K15" s="5" t="s">
        <v>85</v>
      </c>
      <c r="L15" s="15" t="s">
        <v>24</v>
      </c>
      <c r="M15" s="14" t="str">
        <f>_xlfn.XLOOKUP(F15,Department!$A$2:$A$6,Department!$B$2:$B$6)</f>
        <v>HR</v>
      </c>
      <c r="N15" s="22">
        <f>_xlfn.XLOOKUP(A15,Performance!$A$2:$A$501,Performance!$C$2:$C$501)</f>
        <v>2</v>
      </c>
      <c r="O15" s="19" cm="1">
        <f t="array" ref="O15">_xlfn.IFS(N15=5,I15*15%,N15=4,I15*10%,N15=3,I15*7%,N15&lt;3,I15*5%)</f>
        <v>5845.05</v>
      </c>
    </row>
    <row r="16" spans="1:34">
      <c r="A16" s="4" t="s">
        <v>86</v>
      </c>
      <c r="B16" s="5" t="s">
        <v>42</v>
      </c>
      <c r="C16" s="5" t="s">
        <v>84</v>
      </c>
      <c r="D16" s="5" t="s">
        <v>19</v>
      </c>
      <c r="E16" s="5">
        <v>55</v>
      </c>
      <c r="F16" s="5" t="s">
        <v>54</v>
      </c>
      <c r="G16" s="5" t="s">
        <v>21</v>
      </c>
      <c r="H16" s="6">
        <v>43284</v>
      </c>
      <c r="I16" s="5">
        <v>85190</v>
      </c>
      <c r="J16" s="5" t="s">
        <v>62</v>
      </c>
      <c r="K16" s="5" t="s">
        <v>87</v>
      </c>
      <c r="L16" s="15" t="s">
        <v>39</v>
      </c>
      <c r="M16" s="14" t="str">
        <f>_xlfn.XLOOKUP(F16,Department!$A$2:$A$6,Department!$B$2:$B$6)</f>
        <v>Finance</v>
      </c>
      <c r="N16" s="22">
        <f>_xlfn.XLOOKUP(A16,Performance!$A$2:$A$501,Performance!$C$2:$C$501)</f>
        <v>4</v>
      </c>
      <c r="O16" s="19" cm="1">
        <f t="array" ref="O16">_xlfn.IFS(N16=5,I16*15%,N16=4,I16*10%,N16=3,I16*7%,N16&lt;3,I16*5%)</f>
        <v>8519</v>
      </c>
    </row>
    <row r="17" spans="1:15">
      <c r="A17" s="4" t="s">
        <v>88</v>
      </c>
      <c r="B17" s="5" t="s">
        <v>58</v>
      </c>
      <c r="C17" s="5" t="s">
        <v>89</v>
      </c>
      <c r="D17" s="5" t="s">
        <v>19</v>
      </c>
      <c r="E17" s="5">
        <v>30</v>
      </c>
      <c r="F17" s="5" t="s">
        <v>35</v>
      </c>
      <c r="G17" s="5" t="s">
        <v>36</v>
      </c>
      <c r="H17" s="6">
        <v>45393</v>
      </c>
      <c r="I17" s="5">
        <v>95723</v>
      </c>
      <c r="J17" s="5" t="s">
        <v>67</v>
      </c>
      <c r="K17" s="5" t="s">
        <v>90</v>
      </c>
      <c r="L17" s="15" t="s">
        <v>39</v>
      </c>
      <c r="M17" s="14" t="str">
        <f>_xlfn.XLOOKUP(F17,Department!$A$2:$A$6,Department!$B$2:$B$6)</f>
        <v>Sales</v>
      </c>
      <c r="N17" s="22">
        <f>_xlfn.XLOOKUP(A17,Performance!$A$2:$A$501,Performance!$C$2:$C$501)</f>
        <v>2</v>
      </c>
      <c r="O17" s="19" cm="1">
        <f t="array" ref="O17">_xlfn.IFS(N17=5,I17*15%,N17=4,I17*10%,N17=3,I17*7%,N17&lt;3,I17*5%)</f>
        <v>4786.1500000000005</v>
      </c>
    </row>
    <row r="18" spans="1:15">
      <c r="A18" s="4" t="s">
        <v>91</v>
      </c>
      <c r="B18" s="5" t="s">
        <v>92</v>
      </c>
      <c r="C18" s="5" t="s">
        <v>93</v>
      </c>
      <c r="D18" s="5" t="s">
        <v>19</v>
      </c>
      <c r="E18" s="5">
        <v>51</v>
      </c>
      <c r="F18" s="5" t="s">
        <v>35</v>
      </c>
      <c r="G18" s="5" t="s">
        <v>30</v>
      </c>
      <c r="H18" s="6">
        <v>43578</v>
      </c>
      <c r="I18" s="5">
        <v>35234</v>
      </c>
      <c r="J18" s="5" t="s">
        <v>62</v>
      </c>
      <c r="K18" s="5" t="s">
        <v>94</v>
      </c>
      <c r="L18" s="15" t="s">
        <v>39</v>
      </c>
      <c r="M18" s="14" t="str">
        <f>_xlfn.XLOOKUP(F18,Department!$A$2:$A$6,Department!$B$2:$B$6)</f>
        <v>Sales</v>
      </c>
      <c r="N18" s="22">
        <f>_xlfn.XLOOKUP(A18,Performance!$A$2:$A$501,Performance!$C$2:$C$501)</f>
        <v>1</v>
      </c>
      <c r="O18" s="19" cm="1">
        <f t="array" ref="O18">_xlfn.IFS(N18=5,I18*15%,N18=4,I18*10%,N18=3,I18*7%,N18&lt;3,I18*5%)</f>
        <v>1761.7</v>
      </c>
    </row>
    <row r="19" spans="1:15">
      <c r="A19" s="4" t="s">
        <v>95</v>
      </c>
      <c r="B19" s="5" t="s">
        <v>61</v>
      </c>
      <c r="C19" s="5" t="s">
        <v>27</v>
      </c>
      <c r="D19" s="5" t="s">
        <v>28</v>
      </c>
      <c r="E19" s="5">
        <v>38</v>
      </c>
      <c r="F19" s="5" t="s">
        <v>20</v>
      </c>
      <c r="G19" s="5" t="s">
        <v>30</v>
      </c>
      <c r="H19" s="6">
        <v>43291</v>
      </c>
      <c r="I19" s="5">
        <v>102733</v>
      </c>
      <c r="J19" s="5" t="s">
        <v>22</v>
      </c>
      <c r="K19" s="5" t="s">
        <v>96</v>
      </c>
      <c r="L19" s="15" t="s">
        <v>39</v>
      </c>
      <c r="M19" s="14" t="str">
        <f>_xlfn.XLOOKUP(F19,Department!$A$2:$A$6,Department!$B$2:$B$6)</f>
        <v>HR</v>
      </c>
      <c r="N19" s="22">
        <f>_xlfn.XLOOKUP(A19,Performance!$A$2:$A$501,Performance!$C$2:$C$501)</f>
        <v>4</v>
      </c>
      <c r="O19" s="19" cm="1">
        <f t="array" ref="O19">_xlfn.IFS(N19=5,I19*15%,N19=4,I19*10%,N19=3,I19*7%,N19&lt;3,I19*5%)</f>
        <v>10273.300000000001</v>
      </c>
    </row>
    <row r="20" spans="1:15">
      <c r="A20" s="4" t="s">
        <v>97</v>
      </c>
      <c r="B20" s="5" t="s">
        <v>34</v>
      </c>
      <c r="C20" s="5" t="s">
        <v>80</v>
      </c>
      <c r="D20" s="5" t="s">
        <v>19</v>
      </c>
      <c r="E20" s="5">
        <v>46</v>
      </c>
      <c r="F20" s="5" t="s">
        <v>20</v>
      </c>
      <c r="G20" s="5" t="s">
        <v>44</v>
      </c>
      <c r="H20" s="6">
        <v>44789</v>
      </c>
      <c r="I20" s="5">
        <v>76829</v>
      </c>
      <c r="J20" s="5" t="s">
        <v>67</v>
      </c>
      <c r="K20" s="5" t="s">
        <v>98</v>
      </c>
      <c r="L20" s="15" t="s">
        <v>24</v>
      </c>
      <c r="M20" s="14" t="str">
        <f>_xlfn.XLOOKUP(F20,Department!$A$2:$A$6,Department!$B$2:$B$6)</f>
        <v>HR</v>
      </c>
      <c r="N20" s="22">
        <f>_xlfn.XLOOKUP(A20,Performance!$A$2:$A$501,Performance!$C$2:$C$501)</f>
        <v>5</v>
      </c>
      <c r="O20" s="19" cm="1">
        <f t="array" ref="O20">_xlfn.IFS(N20=5,I20*15%,N20=4,I20*10%,N20=3,I20*7%,N20&lt;3,I20*5%)</f>
        <v>11524.35</v>
      </c>
    </row>
    <row r="21" spans="1:15">
      <c r="A21" s="4" t="s">
        <v>99</v>
      </c>
      <c r="B21" s="5" t="s">
        <v>92</v>
      </c>
      <c r="C21" s="5" t="s">
        <v>18</v>
      </c>
      <c r="D21" s="5" t="s">
        <v>28</v>
      </c>
      <c r="E21" s="5">
        <v>60</v>
      </c>
      <c r="F21" s="5" t="s">
        <v>43</v>
      </c>
      <c r="G21" s="5" t="s">
        <v>36</v>
      </c>
      <c r="H21" s="6">
        <v>43181</v>
      </c>
      <c r="I21" s="5">
        <v>69718</v>
      </c>
      <c r="J21" s="5" t="s">
        <v>37</v>
      </c>
      <c r="K21" s="5" t="s">
        <v>100</v>
      </c>
      <c r="L21" s="15" t="s">
        <v>39</v>
      </c>
      <c r="M21" s="14" t="str">
        <f>_xlfn.XLOOKUP(F21,Department!$A$2:$A$6,Department!$B$2:$B$6)</f>
        <v>Marketing</v>
      </c>
      <c r="N21" s="22">
        <f>_xlfn.XLOOKUP(A21,Performance!$A$2:$A$501,Performance!$C$2:$C$501)</f>
        <v>5</v>
      </c>
      <c r="O21" s="19" cm="1">
        <f t="array" ref="O21">_xlfn.IFS(N21=5,I21*15%,N21=4,I21*10%,N21=3,I21*7%,N21&lt;3,I21*5%)</f>
        <v>10457.699999999999</v>
      </c>
    </row>
    <row r="22" spans="1:15">
      <c r="A22" s="4" t="s">
        <v>101</v>
      </c>
      <c r="B22" s="5" t="s">
        <v>92</v>
      </c>
      <c r="C22" s="5" t="s">
        <v>84</v>
      </c>
      <c r="D22" s="5" t="s">
        <v>19</v>
      </c>
      <c r="E22" s="5">
        <v>24</v>
      </c>
      <c r="F22" s="5" t="s">
        <v>35</v>
      </c>
      <c r="G22" s="5" t="s">
        <v>102</v>
      </c>
      <c r="H22" s="6">
        <v>44461</v>
      </c>
      <c r="I22" s="5">
        <v>90834</v>
      </c>
      <c r="J22" s="5" t="s">
        <v>81</v>
      </c>
      <c r="K22" s="5" t="s">
        <v>103</v>
      </c>
      <c r="L22" s="15" t="s">
        <v>24</v>
      </c>
      <c r="M22" s="14" t="str">
        <f>_xlfn.XLOOKUP(F22,Department!$A$2:$A$6,Department!$B$2:$B$6)</f>
        <v>Sales</v>
      </c>
      <c r="N22" s="22">
        <f>_xlfn.XLOOKUP(A22,Performance!$A$2:$A$501,Performance!$C$2:$C$501)</f>
        <v>1</v>
      </c>
      <c r="O22" s="19" cm="1">
        <f t="array" ref="O22">_xlfn.IFS(N22=5,I22*15%,N22=4,I22*10%,N22=3,I22*7%,N22&lt;3,I22*5%)</f>
        <v>4541.7</v>
      </c>
    </row>
    <row r="23" spans="1:15">
      <c r="A23" s="4" t="s">
        <v>104</v>
      </c>
      <c r="B23" s="5" t="s">
        <v>17</v>
      </c>
      <c r="C23" s="5" t="s">
        <v>18</v>
      </c>
      <c r="D23" s="5" t="s">
        <v>28</v>
      </c>
      <c r="E23" s="5">
        <v>51</v>
      </c>
      <c r="F23" s="5" t="s">
        <v>20</v>
      </c>
      <c r="G23" s="5" t="s">
        <v>102</v>
      </c>
      <c r="H23" s="6">
        <v>44884</v>
      </c>
      <c r="I23" s="5">
        <v>51631</v>
      </c>
      <c r="J23" s="5" t="s">
        <v>67</v>
      </c>
      <c r="K23" s="5" t="s">
        <v>105</v>
      </c>
      <c r="L23" s="15" t="s">
        <v>39</v>
      </c>
      <c r="M23" s="14" t="str">
        <f>_xlfn.XLOOKUP(F23,Department!$A$2:$A$6,Department!$B$2:$B$6)</f>
        <v>HR</v>
      </c>
      <c r="N23" s="22">
        <f>_xlfn.XLOOKUP(A23,Performance!$A$2:$A$501,Performance!$C$2:$C$501)</f>
        <v>5</v>
      </c>
      <c r="O23" s="19" cm="1">
        <f t="array" ref="O23">_xlfn.IFS(N23=5,I23*15%,N23=4,I23*10%,N23=3,I23*7%,N23&lt;3,I23*5%)</f>
        <v>7744.65</v>
      </c>
    </row>
    <row r="24" spans="1:15">
      <c r="A24" s="4" t="s">
        <v>106</v>
      </c>
      <c r="B24" s="5" t="s">
        <v>74</v>
      </c>
      <c r="C24" s="5" t="s">
        <v>66</v>
      </c>
      <c r="D24" s="5" t="s">
        <v>28</v>
      </c>
      <c r="E24" s="5">
        <v>45</v>
      </c>
      <c r="F24" s="5" t="s">
        <v>35</v>
      </c>
      <c r="G24" s="5" t="s">
        <v>30</v>
      </c>
      <c r="H24" s="6">
        <v>44552</v>
      </c>
      <c r="I24" s="5">
        <v>51414</v>
      </c>
      <c r="J24" s="5" t="s">
        <v>67</v>
      </c>
      <c r="K24" s="5" t="s">
        <v>107</v>
      </c>
      <c r="L24" s="15" t="s">
        <v>24</v>
      </c>
      <c r="M24" s="14" t="str">
        <f>_xlfn.XLOOKUP(F24,Department!$A$2:$A$6,Department!$B$2:$B$6)</f>
        <v>Sales</v>
      </c>
      <c r="N24" s="22">
        <f>_xlfn.XLOOKUP(A24,Performance!$A$2:$A$501,Performance!$C$2:$C$501)</f>
        <v>3</v>
      </c>
      <c r="O24" s="19" cm="1">
        <f t="array" ref="O24">_xlfn.IFS(N24=5,I24*15%,N24=4,I24*10%,N24=3,I24*7%,N24&lt;3,I24*5%)</f>
        <v>3598.9800000000005</v>
      </c>
    </row>
    <row r="25" spans="1:15">
      <c r="A25" s="4" t="s">
        <v>108</v>
      </c>
      <c r="B25" s="5" t="s">
        <v>48</v>
      </c>
      <c r="C25" s="5" t="s">
        <v>66</v>
      </c>
      <c r="D25" s="5" t="s">
        <v>28</v>
      </c>
      <c r="E25" s="5">
        <v>35</v>
      </c>
      <c r="F25" s="5" t="s">
        <v>54</v>
      </c>
      <c r="G25" s="5" t="s">
        <v>21</v>
      </c>
      <c r="H25" s="6">
        <v>43624</v>
      </c>
      <c r="I25" s="5">
        <v>79578</v>
      </c>
      <c r="J25" s="5" t="s">
        <v>22</v>
      </c>
      <c r="K25" s="5" t="s">
        <v>109</v>
      </c>
      <c r="L25" s="15" t="s">
        <v>39</v>
      </c>
      <c r="M25" s="14" t="str">
        <f>_xlfn.XLOOKUP(F25,Department!$A$2:$A$6,Department!$B$2:$B$6)</f>
        <v>Finance</v>
      </c>
      <c r="N25" s="22">
        <f>_xlfn.XLOOKUP(A25,Performance!$A$2:$A$501,Performance!$C$2:$C$501)</f>
        <v>4</v>
      </c>
      <c r="O25" s="19" cm="1">
        <f t="array" ref="O25">_xlfn.IFS(N25=5,I25*15%,N25=4,I25*10%,N25=3,I25*7%,N25&lt;3,I25*5%)</f>
        <v>7957.8</v>
      </c>
    </row>
    <row r="26" spans="1:15">
      <c r="A26" s="4" t="s">
        <v>110</v>
      </c>
      <c r="B26" s="5" t="s">
        <v>74</v>
      </c>
      <c r="C26" s="5" t="s">
        <v>84</v>
      </c>
      <c r="D26" s="5" t="s">
        <v>28</v>
      </c>
      <c r="E26" s="5">
        <v>47</v>
      </c>
      <c r="F26" s="5" t="s">
        <v>29</v>
      </c>
      <c r="G26" s="5" t="s">
        <v>102</v>
      </c>
      <c r="H26" s="6">
        <v>44537</v>
      </c>
      <c r="I26" s="5">
        <v>111899</v>
      </c>
      <c r="J26" s="5" t="s">
        <v>67</v>
      </c>
      <c r="K26" s="5" t="s">
        <v>111</v>
      </c>
      <c r="L26" s="15" t="s">
        <v>39</v>
      </c>
      <c r="M26" s="14" t="str">
        <f>_xlfn.XLOOKUP(F26,Department!$A$2:$A$6,Department!$B$2:$B$6)</f>
        <v>IT</v>
      </c>
      <c r="N26" s="22">
        <f>_xlfn.XLOOKUP(A26,Performance!$A$2:$A$501,Performance!$C$2:$C$501)</f>
        <v>4</v>
      </c>
      <c r="O26" s="19" cm="1">
        <f t="array" ref="O26">_xlfn.IFS(N26=5,I26*15%,N26=4,I26*10%,N26=3,I26*7%,N26&lt;3,I26*5%)</f>
        <v>11189.900000000001</v>
      </c>
    </row>
    <row r="27" spans="1:15">
      <c r="A27" s="4" t="s">
        <v>112</v>
      </c>
      <c r="B27" s="5" t="s">
        <v>61</v>
      </c>
      <c r="C27" s="5" t="s">
        <v>18</v>
      </c>
      <c r="D27" s="5" t="s">
        <v>28</v>
      </c>
      <c r="E27" s="5">
        <v>47</v>
      </c>
      <c r="F27" s="5" t="s">
        <v>35</v>
      </c>
      <c r="G27" s="5" t="s">
        <v>30</v>
      </c>
      <c r="H27" s="6">
        <v>45101</v>
      </c>
      <c r="I27" s="5">
        <v>95862</v>
      </c>
      <c r="J27" s="5" t="s">
        <v>22</v>
      </c>
      <c r="K27" s="5" t="s">
        <v>113</v>
      </c>
      <c r="L27" s="15" t="s">
        <v>24</v>
      </c>
      <c r="M27" s="14" t="str">
        <f>_xlfn.XLOOKUP(F27,Department!$A$2:$A$6,Department!$B$2:$B$6)</f>
        <v>Sales</v>
      </c>
      <c r="N27" s="22">
        <f>_xlfn.XLOOKUP(A27,Performance!$A$2:$A$501,Performance!$C$2:$C$501)</f>
        <v>1</v>
      </c>
      <c r="O27" s="19" cm="1">
        <f t="array" ref="O27">_xlfn.IFS(N27=5,I27*15%,N27=4,I27*10%,N27=3,I27*7%,N27&lt;3,I27*5%)</f>
        <v>4793.1000000000004</v>
      </c>
    </row>
    <row r="28" spans="1:15">
      <c r="A28" s="4" t="s">
        <v>114</v>
      </c>
      <c r="B28" s="5" t="s">
        <v>17</v>
      </c>
      <c r="C28" s="5" t="s">
        <v>84</v>
      </c>
      <c r="D28" s="5" t="s">
        <v>19</v>
      </c>
      <c r="E28" s="5">
        <v>49</v>
      </c>
      <c r="F28" s="5" t="s">
        <v>29</v>
      </c>
      <c r="G28" s="5" t="s">
        <v>21</v>
      </c>
      <c r="H28" s="6">
        <v>44113</v>
      </c>
      <c r="I28" s="5">
        <v>110397</v>
      </c>
      <c r="J28" s="5" t="s">
        <v>81</v>
      </c>
      <c r="K28" s="5" t="s">
        <v>115</v>
      </c>
      <c r="L28" s="15" t="s">
        <v>39</v>
      </c>
      <c r="M28" s="14" t="str">
        <f>_xlfn.XLOOKUP(F28,Department!$A$2:$A$6,Department!$B$2:$B$6)</f>
        <v>IT</v>
      </c>
      <c r="N28" s="22">
        <f>_xlfn.XLOOKUP(A28,Performance!$A$2:$A$501,Performance!$C$2:$C$501)</f>
        <v>1</v>
      </c>
      <c r="O28" s="19" cm="1">
        <f t="array" ref="O28">_xlfn.IFS(N28=5,I28*15%,N28=4,I28*10%,N28=3,I28*7%,N28&lt;3,I28*5%)</f>
        <v>5519.85</v>
      </c>
    </row>
    <row r="29" spans="1:15">
      <c r="A29" s="4" t="s">
        <v>116</v>
      </c>
      <c r="B29" s="5" t="s">
        <v>48</v>
      </c>
      <c r="C29" s="5" t="s">
        <v>117</v>
      </c>
      <c r="D29" s="5" t="s">
        <v>19</v>
      </c>
      <c r="E29" s="5">
        <v>27</v>
      </c>
      <c r="F29" s="5" t="s">
        <v>54</v>
      </c>
      <c r="G29" s="5" t="s">
        <v>30</v>
      </c>
      <c r="H29" s="6">
        <v>44355</v>
      </c>
      <c r="I29" s="5">
        <v>111149</v>
      </c>
      <c r="J29" s="5" t="s">
        <v>81</v>
      </c>
      <c r="K29" s="5" t="s">
        <v>118</v>
      </c>
      <c r="L29" s="15" t="s">
        <v>24</v>
      </c>
      <c r="M29" s="14" t="str">
        <f>_xlfn.XLOOKUP(F29,Department!$A$2:$A$6,Department!$B$2:$B$6)</f>
        <v>Finance</v>
      </c>
      <c r="N29" s="22">
        <f>_xlfn.XLOOKUP(A29,Performance!$A$2:$A$501,Performance!$C$2:$C$501)</f>
        <v>4</v>
      </c>
      <c r="O29" s="19" cm="1">
        <f t="array" ref="O29">_xlfn.IFS(N29=5,I29*15%,N29=4,I29*10%,N29=3,I29*7%,N29&lt;3,I29*5%)</f>
        <v>11114.900000000001</v>
      </c>
    </row>
    <row r="30" spans="1:15">
      <c r="A30" s="4" t="s">
        <v>119</v>
      </c>
      <c r="B30" s="5" t="s">
        <v>58</v>
      </c>
      <c r="C30" s="5" t="s">
        <v>80</v>
      </c>
      <c r="D30" s="5" t="s">
        <v>28</v>
      </c>
      <c r="E30" s="5">
        <v>36</v>
      </c>
      <c r="F30" s="5" t="s">
        <v>35</v>
      </c>
      <c r="G30" s="5" t="s">
        <v>21</v>
      </c>
      <c r="H30" s="6">
        <v>44600</v>
      </c>
      <c r="I30" s="5">
        <v>67035</v>
      </c>
      <c r="J30" s="5" t="s">
        <v>81</v>
      </c>
      <c r="K30" s="5" t="s">
        <v>120</v>
      </c>
      <c r="L30" s="15" t="s">
        <v>39</v>
      </c>
      <c r="M30" s="14" t="str">
        <f>_xlfn.XLOOKUP(F30,Department!$A$2:$A$6,Department!$B$2:$B$6)</f>
        <v>Sales</v>
      </c>
      <c r="N30" s="22">
        <f>_xlfn.XLOOKUP(A30,Performance!$A$2:$A$501,Performance!$C$2:$C$501)</f>
        <v>5</v>
      </c>
      <c r="O30" s="19" cm="1">
        <f t="array" ref="O30">_xlfn.IFS(N30=5,I30*15%,N30=4,I30*10%,N30=3,I30*7%,N30&lt;3,I30*5%)</f>
        <v>10055.25</v>
      </c>
    </row>
    <row r="31" spans="1:15">
      <c r="A31" s="4" t="s">
        <v>121</v>
      </c>
      <c r="B31" s="5" t="s">
        <v>42</v>
      </c>
      <c r="C31" s="5" t="s">
        <v>18</v>
      </c>
      <c r="D31" s="5" t="s">
        <v>28</v>
      </c>
      <c r="E31" s="5">
        <v>41</v>
      </c>
      <c r="F31" s="5" t="s">
        <v>29</v>
      </c>
      <c r="G31" s="5" t="s">
        <v>21</v>
      </c>
      <c r="H31" s="6">
        <v>44336</v>
      </c>
      <c r="I31" s="5">
        <v>103851</v>
      </c>
      <c r="J31" s="5" t="s">
        <v>37</v>
      </c>
      <c r="K31" s="5" t="s">
        <v>122</v>
      </c>
      <c r="L31" s="15" t="s">
        <v>39</v>
      </c>
      <c r="M31" s="14" t="str">
        <f>_xlfn.XLOOKUP(F31,Department!$A$2:$A$6,Department!$B$2:$B$6)</f>
        <v>IT</v>
      </c>
      <c r="N31" s="22">
        <f>_xlfn.XLOOKUP(A31,Performance!$A$2:$A$501,Performance!$C$2:$C$501)</f>
        <v>2</v>
      </c>
      <c r="O31" s="19" cm="1">
        <f t="array" ref="O31">_xlfn.IFS(N31=5,I31*15%,N31=4,I31*10%,N31=3,I31*7%,N31&lt;3,I31*5%)</f>
        <v>5192.55</v>
      </c>
    </row>
    <row r="32" spans="1:15">
      <c r="A32" s="4" t="s">
        <v>123</v>
      </c>
      <c r="B32" s="5" t="s">
        <v>17</v>
      </c>
      <c r="C32" s="5" t="s">
        <v>49</v>
      </c>
      <c r="D32" s="5" t="s">
        <v>19</v>
      </c>
      <c r="E32" s="5">
        <v>26</v>
      </c>
      <c r="F32" s="5" t="s">
        <v>43</v>
      </c>
      <c r="G32" s="5" t="s">
        <v>102</v>
      </c>
      <c r="H32" s="6">
        <v>43685</v>
      </c>
      <c r="I32" s="5">
        <v>63676</v>
      </c>
      <c r="J32" s="5" t="s">
        <v>22</v>
      </c>
      <c r="K32" s="5" t="s">
        <v>124</v>
      </c>
      <c r="L32" s="15" t="s">
        <v>39</v>
      </c>
      <c r="M32" s="14" t="str">
        <f>_xlfn.XLOOKUP(F32,Department!$A$2:$A$6,Department!$B$2:$B$6)</f>
        <v>Marketing</v>
      </c>
      <c r="N32" s="22">
        <f>_xlfn.XLOOKUP(A32,Performance!$A$2:$A$501,Performance!$C$2:$C$501)</f>
        <v>1</v>
      </c>
      <c r="O32" s="19" cm="1">
        <f t="array" ref="O32">_xlfn.IFS(N32=5,I32*15%,N32=4,I32*10%,N32=3,I32*7%,N32&lt;3,I32*5%)</f>
        <v>3183.8</v>
      </c>
    </row>
    <row r="33" spans="1:15">
      <c r="A33" s="4" t="s">
        <v>125</v>
      </c>
      <c r="B33" s="5" t="s">
        <v>126</v>
      </c>
      <c r="C33" s="5" t="s">
        <v>93</v>
      </c>
      <c r="D33" s="5" t="s">
        <v>19</v>
      </c>
      <c r="E33" s="5">
        <v>31</v>
      </c>
      <c r="F33" s="5" t="s">
        <v>20</v>
      </c>
      <c r="G33" s="5" t="s">
        <v>44</v>
      </c>
      <c r="H33" s="6">
        <v>43784</v>
      </c>
      <c r="I33" s="5">
        <v>115269</v>
      </c>
      <c r="J33" s="5" t="s">
        <v>81</v>
      </c>
      <c r="K33" s="5" t="s">
        <v>127</v>
      </c>
      <c r="L33" s="15" t="s">
        <v>39</v>
      </c>
      <c r="M33" s="14" t="str">
        <f>_xlfn.XLOOKUP(F33,Department!$A$2:$A$6,Department!$B$2:$B$6)</f>
        <v>HR</v>
      </c>
      <c r="N33" s="22">
        <f>_xlfn.XLOOKUP(A33,Performance!$A$2:$A$501,Performance!$C$2:$C$501)</f>
        <v>4</v>
      </c>
      <c r="O33" s="19" cm="1">
        <f t="array" ref="O33">_xlfn.IFS(N33=5,I33*15%,N33=4,I33*10%,N33=3,I33*7%,N33&lt;3,I33*5%)</f>
        <v>11526.900000000001</v>
      </c>
    </row>
    <row r="34" spans="1:15">
      <c r="A34" s="4" t="s">
        <v>128</v>
      </c>
      <c r="B34" s="5" t="s">
        <v>126</v>
      </c>
      <c r="C34" s="5" t="s">
        <v>66</v>
      </c>
      <c r="D34" s="5" t="s">
        <v>28</v>
      </c>
      <c r="E34" s="5">
        <v>47</v>
      </c>
      <c r="F34" s="5" t="s">
        <v>35</v>
      </c>
      <c r="G34" s="5" t="s">
        <v>21</v>
      </c>
      <c r="H34" s="6">
        <v>43634</v>
      </c>
      <c r="I34" s="5">
        <v>77203</v>
      </c>
      <c r="J34" s="5" t="s">
        <v>37</v>
      </c>
      <c r="K34" s="5" t="s">
        <v>129</v>
      </c>
      <c r="L34" s="15" t="s">
        <v>24</v>
      </c>
      <c r="M34" s="14" t="str">
        <f>_xlfn.XLOOKUP(F34,Department!$A$2:$A$6,Department!$B$2:$B$6)</f>
        <v>Sales</v>
      </c>
      <c r="N34" s="22">
        <f>_xlfn.XLOOKUP(A34,Performance!$A$2:$A$501,Performance!$C$2:$C$501)</f>
        <v>5</v>
      </c>
      <c r="O34" s="19" cm="1">
        <f t="array" ref="O34">_xlfn.IFS(N34=5,I34*15%,N34=4,I34*10%,N34=3,I34*7%,N34&lt;3,I34*5%)</f>
        <v>11580.449999999999</v>
      </c>
    </row>
    <row r="35" spans="1:15">
      <c r="A35" s="4" t="s">
        <v>130</v>
      </c>
      <c r="B35" s="5" t="s">
        <v>61</v>
      </c>
      <c r="C35" s="5" t="s">
        <v>84</v>
      </c>
      <c r="D35" s="5" t="s">
        <v>28</v>
      </c>
      <c r="E35" s="5">
        <v>57</v>
      </c>
      <c r="F35" s="5" t="s">
        <v>20</v>
      </c>
      <c r="G35" s="5" t="s">
        <v>102</v>
      </c>
      <c r="H35" s="6">
        <v>45366</v>
      </c>
      <c r="I35" s="5">
        <v>113291</v>
      </c>
      <c r="J35" s="5" t="s">
        <v>81</v>
      </c>
      <c r="K35" s="5" t="s">
        <v>131</v>
      </c>
      <c r="L35" s="15" t="s">
        <v>39</v>
      </c>
      <c r="M35" s="14" t="str">
        <f>_xlfn.XLOOKUP(F35,Department!$A$2:$A$6,Department!$B$2:$B$6)</f>
        <v>HR</v>
      </c>
      <c r="N35" s="22">
        <f>_xlfn.XLOOKUP(A35,Performance!$A$2:$A$501,Performance!$C$2:$C$501)</f>
        <v>1</v>
      </c>
      <c r="O35" s="19" cm="1">
        <f t="array" ref="O35">_xlfn.IFS(N35=5,I35*15%,N35=4,I35*10%,N35=3,I35*7%,N35&lt;3,I35*5%)</f>
        <v>5664.55</v>
      </c>
    </row>
    <row r="36" spans="1:15">
      <c r="A36" s="4" t="s">
        <v>132</v>
      </c>
      <c r="B36" s="5" t="s">
        <v>42</v>
      </c>
      <c r="C36" s="5" t="s">
        <v>80</v>
      </c>
      <c r="D36" s="5" t="s">
        <v>19</v>
      </c>
      <c r="E36" s="5">
        <v>45</v>
      </c>
      <c r="F36" s="5" t="s">
        <v>20</v>
      </c>
      <c r="G36" s="5" t="s">
        <v>21</v>
      </c>
      <c r="H36" s="6">
        <v>44525</v>
      </c>
      <c r="I36" s="5">
        <v>93729</v>
      </c>
      <c r="J36" s="5" t="s">
        <v>81</v>
      </c>
      <c r="K36" s="5" t="s">
        <v>133</v>
      </c>
      <c r="L36" s="15" t="s">
        <v>39</v>
      </c>
      <c r="M36" s="14" t="str">
        <f>_xlfn.XLOOKUP(F36,Department!$A$2:$A$6,Department!$B$2:$B$6)</f>
        <v>HR</v>
      </c>
      <c r="N36" s="22">
        <f>_xlfn.XLOOKUP(A36,Performance!$A$2:$A$501,Performance!$C$2:$C$501)</f>
        <v>5</v>
      </c>
      <c r="O36" s="19" cm="1">
        <f t="array" ref="O36">_xlfn.IFS(N36=5,I36*15%,N36=4,I36*10%,N36=3,I36*7%,N36&lt;3,I36*5%)</f>
        <v>14059.35</v>
      </c>
    </row>
    <row r="37" spans="1:15">
      <c r="A37" s="4" t="s">
        <v>134</v>
      </c>
      <c r="B37" s="5" t="s">
        <v>34</v>
      </c>
      <c r="C37" s="5" t="s">
        <v>49</v>
      </c>
      <c r="D37" s="5" t="s">
        <v>28</v>
      </c>
      <c r="E37" s="5">
        <v>40</v>
      </c>
      <c r="F37" s="5" t="s">
        <v>43</v>
      </c>
      <c r="G37" s="5" t="s">
        <v>102</v>
      </c>
      <c r="H37" s="6">
        <v>43266</v>
      </c>
      <c r="I37" s="5">
        <v>35947</v>
      </c>
      <c r="J37" s="5" t="s">
        <v>67</v>
      </c>
      <c r="K37" s="5" t="s">
        <v>135</v>
      </c>
      <c r="L37" s="15" t="s">
        <v>39</v>
      </c>
      <c r="M37" s="14" t="str">
        <f>_xlfn.XLOOKUP(F37,Department!$A$2:$A$6,Department!$B$2:$B$6)</f>
        <v>Marketing</v>
      </c>
      <c r="N37" s="22">
        <f>_xlfn.XLOOKUP(A37,Performance!$A$2:$A$501,Performance!$C$2:$C$501)</f>
        <v>1</v>
      </c>
      <c r="O37" s="19" cm="1">
        <f t="array" ref="O37">_xlfn.IFS(N37=5,I37*15%,N37=4,I37*10%,N37=3,I37*7%,N37&lt;3,I37*5%)</f>
        <v>1797.3500000000001</v>
      </c>
    </row>
    <row r="38" spans="1:15">
      <c r="A38" s="4" t="s">
        <v>136</v>
      </c>
      <c r="B38" s="5" t="s">
        <v>17</v>
      </c>
      <c r="C38" s="5" t="s">
        <v>49</v>
      </c>
      <c r="D38" s="5" t="s">
        <v>19</v>
      </c>
      <c r="E38" s="5">
        <v>49</v>
      </c>
      <c r="F38" s="5" t="s">
        <v>43</v>
      </c>
      <c r="G38" s="5" t="s">
        <v>30</v>
      </c>
      <c r="H38" s="6">
        <v>44340</v>
      </c>
      <c r="I38" s="5">
        <v>72311</v>
      </c>
      <c r="J38" s="5" t="s">
        <v>81</v>
      </c>
      <c r="K38" s="5" t="s">
        <v>137</v>
      </c>
      <c r="L38" s="15" t="s">
        <v>39</v>
      </c>
      <c r="M38" s="14" t="str">
        <f>_xlfn.XLOOKUP(F38,Department!$A$2:$A$6,Department!$B$2:$B$6)</f>
        <v>Marketing</v>
      </c>
      <c r="N38" s="22">
        <f>_xlfn.XLOOKUP(A38,Performance!$A$2:$A$501,Performance!$C$2:$C$501)</f>
        <v>4</v>
      </c>
      <c r="O38" s="19" cm="1">
        <f t="array" ref="O38">_xlfn.IFS(N38=5,I38*15%,N38=4,I38*10%,N38=3,I38*7%,N38&lt;3,I38*5%)</f>
        <v>7231.1</v>
      </c>
    </row>
    <row r="39" spans="1:15">
      <c r="A39" s="4" t="s">
        <v>138</v>
      </c>
      <c r="B39" s="5" t="s">
        <v>126</v>
      </c>
      <c r="C39" s="5" t="s">
        <v>89</v>
      </c>
      <c r="D39" s="5" t="s">
        <v>28</v>
      </c>
      <c r="E39" s="5">
        <v>53</v>
      </c>
      <c r="F39" s="5" t="s">
        <v>54</v>
      </c>
      <c r="G39" s="5" t="s">
        <v>44</v>
      </c>
      <c r="H39" s="6">
        <v>44148</v>
      </c>
      <c r="I39" s="5">
        <v>38763</v>
      </c>
      <c r="J39" s="5" t="s">
        <v>62</v>
      </c>
      <c r="K39" s="5" t="s">
        <v>139</v>
      </c>
      <c r="L39" s="15" t="s">
        <v>24</v>
      </c>
      <c r="M39" s="14" t="str">
        <f>_xlfn.XLOOKUP(F39,Department!$A$2:$A$6,Department!$B$2:$B$6)</f>
        <v>Finance</v>
      </c>
      <c r="N39" s="22">
        <f>_xlfn.XLOOKUP(A39,Performance!$A$2:$A$501,Performance!$C$2:$C$501)</f>
        <v>4</v>
      </c>
      <c r="O39" s="19" cm="1">
        <f t="array" ref="O39">_xlfn.IFS(N39=5,I39*15%,N39=4,I39*10%,N39=3,I39*7%,N39&lt;3,I39*5%)</f>
        <v>3876.3</v>
      </c>
    </row>
    <row r="40" spans="1:15">
      <c r="A40" s="4" t="s">
        <v>140</v>
      </c>
      <c r="B40" s="5" t="s">
        <v>42</v>
      </c>
      <c r="C40" s="5" t="s">
        <v>141</v>
      </c>
      <c r="D40" s="5" t="s">
        <v>19</v>
      </c>
      <c r="E40" s="5">
        <v>54</v>
      </c>
      <c r="F40" s="5" t="s">
        <v>35</v>
      </c>
      <c r="G40" s="5" t="s">
        <v>36</v>
      </c>
      <c r="H40" s="6">
        <v>43271</v>
      </c>
      <c r="I40" s="5">
        <v>101175</v>
      </c>
      <c r="J40" s="5" t="s">
        <v>62</v>
      </c>
      <c r="K40" s="5" t="s">
        <v>142</v>
      </c>
      <c r="L40" s="15" t="s">
        <v>24</v>
      </c>
      <c r="M40" s="14" t="str">
        <f>_xlfn.XLOOKUP(F40,Department!$A$2:$A$6,Department!$B$2:$B$6)</f>
        <v>Sales</v>
      </c>
      <c r="N40" s="22">
        <f>_xlfn.XLOOKUP(A40,Performance!$A$2:$A$501,Performance!$C$2:$C$501)</f>
        <v>3</v>
      </c>
      <c r="O40" s="19" cm="1">
        <f t="array" ref="O40">_xlfn.IFS(N40=5,I40*15%,N40=4,I40*10%,N40=3,I40*7%,N40&lt;3,I40*5%)</f>
        <v>7082.2500000000009</v>
      </c>
    </row>
    <row r="41" spans="1:15">
      <c r="A41" s="4" t="s">
        <v>143</v>
      </c>
      <c r="B41" s="5" t="s">
        <v>126</v>
      </c>
      <c r="C41" s="5" t="s">
        <v>89</v>
      </c>
      <c r="D41" s="5" t="s">
        <v>19</v>
      </c>
      <c r="E41" s="5">
        <v>41</v>
      </c>
      <c r="F41" s="5" t="s">
        <v>29</v>
      </c>
      <c r="G41" s="5" t="s">
        <v>102</v>
      </c>
      <c r="H41" s="6">
        <v>43431</v>
      </c>
      <c r="I41" s="5">
        <v>36386</v>
      </c>
      <c r="J41" s="5" t="s">
        <v>67</v>
      </c>
      <c r="K41" s="5" t="s">
        <v>144</v>
      </c>
      <c r="L41" s="15" t="s">
        <v>24</v>
      </c>
      <c r="M41" s="14" t="str">
        <f>_xlfn.XLOOKUP(F41,Department!$A$2:$A$6,Department!$B$2:$B$6)</f>
        <v>IT</v>
      </c>
      <c r="N41" s="22">
        <f>_xlfn.XLOOKUP(A41,Performance!$A$2:$A$501,Performance!$C$2:$C$501)</f>
        <v>2</v>
      </c>
      <c r="O41" s="19" cm="1">
        <f t="array" ref="O41">_xlfn.IFS(N41=5,I41*15%,N41=4,I41*10%,N41=3,I41*7%,N41&lt;3,I41*5%)</f>
        <v>1819.3000000000002</v>
      </c>
    </row>
    <row r="42" spans="1:15">
      <c r="A42" s="4" t="s">
        <v>145</v>
      </c>
      <c r="B42" s="5" t="s">
        <v>74</v>
      </c>
      <c r="C42" s="5" t="s">
        <v>49</v>
      </c>
      <c r="D42" s="5" t="s">
        <v>19</v>
      </c>
      <c r="E42" s="5">
        <v>56</v>
      </c>
      <c r="F42" s="5" t="s">
        <v>43</v>
      </c>
      <c r="G42" s="5" t="s">
        <v>44</v>
      </c>
      <c r="H42" s="6">
        <v>44526</v>
      </c>
      <c r="I42" s="5">
        <v>76395</v>
      </c>
      <c r="J42" s="5" t="s">
        <v>22</v>
      </c>
      <c r="K42" s="5" t="s">
        <v>146</v>
      </c>
      <c r="L42" s="15" t="s">
        <v>39</v>
      </c>
      <c r="M42" s="14" t="str">
        <f>_xlfn.XLOOKUP(F42,Department!$A$2:$A$6,Department!$B$2:$B$6)</f>
        <v>Marketing</v>
      </c>
      <c r="N42" s="22">
        <f>_xlfn.XLOOKUP(A42,Performance!$A$2:$A$501,Performance!$C$2:$C$501)</f>
        <v>4</v>
      </c>
      <c r="O42" s="19" cm="1">
        <f t="array" ref="O42">_xlfn.IFS(N42=5,I42*15%,N42=4,I42*10%,N42=3,I42*7%,N42&lt;3,I42*5%)</f>
        <v>7639.5</v>
      </c>
    </row>
    <row r="43" spans="1:15">
      <c r="A43" s="4" t="s">
        <v>147</v>
      </c>
      <c r="B43" s="5" t="s">
        <v>48</v>
      </c>
      <c r="C43" s="5" t="s">
        <v>93</v>
      </c>
      <c r="D43" s="5" t="s">
        <v>28</v>
      </c>
      <c r="E43" s="5">
        <v>49</v>
      </c>
      <c r="F43" s="5" t="s">
        <v>35</v>
      </c>
      <c r="G43" s="5" t="s">
        <v>102</v>
      </c>
      <c r="H43" s="6">
        <v>43489</v>
      </c>
      <c r="I43" s="5">
        <v>43701</v>
      </c>
      <c r="J43" s="5" t="s">
        <v>62</v>
      </c>
      <c r="K43" s="5" t="s">
        <v>148</v>
      </c>
      <c r="L43" s="15" t="s">
        <v>24</v>
      </c>
      <c r="M43" s="14" t="str">
        <f>_xlfn.XLOOKUP(F43,Department!$A$2:$A$6,Department!$B$2:$B$6)</f>
        <v>Sales</v>
      </c>
      <c r="N43" s="22">
        <f>_xlfn.XLOOKUP(A43,Performance!$A$2:$A$501,Performance!$C$2:$C$501)</f>
        <v>3</v>
      </c>
      <c r="O43" s="19" cm="1">
        <f t="array" ref="O43">_xlfn.IFS(N43=5,I43*15%,N43=4,I43*10%,N43=3,I43*7%,N43&lt;3,I43*5%)</f>
        <v>3059.07</v>
      </c>
    </row>
    <row r="44" spans="1:15">
      <c r="A44" s="4" t="s">
        <v>149</v>
      </c>
      <c r="B44" s="5" t="s">
        <v>92</v>
      </c>
      <c r="C44" s="5" t="s">
        <v>117</v>
      </c>
      <c r="D44" s="5" t="s">
        <v>28</v>
      </c>
      <c r="E44" s="5">
        <v>32</v>
      </c>
      <c r="F44" s="5" t="s">
        <v>29</v>
      </c>
      <c r="G44" s="5" t="s">
        <v>21</v>
      </c>
      <c r="H44" s="6">
        <v>43116</v>
      </c>
      <c r="I44" s="5">
        <v>85198</v>
      </c>
      <c r="J44" s="5" t="s">
        <v>62</v>
      </c>
      <c r="K44" s="5" t="s">
        <v>150</v>
      </c>
      <c r="L44" s="15" t="s">
        <v>24</v>
      </c>
      <c r="M44" s="14" t="str">
        <f>_xlfn.XLOOKUP(F44,Department!$A$2:$A$6,Department!$B$2:$B$6)</f>
        <v>IT</v>
      </c>
      <c r="N44" s="22">
        <f>_xlfn.XLOOKUP(A44,Performance!$A$2:$A$501,Performance!$C$2:$C$501)</f>
        <v>5</v>
      </c>
      <c r="O44" s="19" cm="1">
        <f t="array" ref="O44">_xlfn.IFS(N44=5,I44*15%,N44=4,I44*10%,N44=3,I44*7%,N44&lt;3,I44*5%)</f>
        <v>12779.699999999999</v>
      </c>
    </row>
    <row r="45" spans="1:15">
      <c r="A45" s="4" t="s">
        <v>151</v>
      </c>
      <c r="B45" s="5" t="s">
        <v>17</v>
      </c>
      <c r="C45" s="5" t="s">
        <v>117</v>
      </c>
      <c r="D45" s="5" t="s">
        <v>19</v>
      </c>
      <c r="E45" s="5">
        <v>26</v>
      </c>
      <c r="F45" s="5" t="s">
        <v>20</v>
      </c>
      <c r="G45" s="5" t="s">
        <v>44</v>
      </c>
      <c r="H45" s="6">
        <v>44932</v>
      </c>
      <c r="I45" s="5">
        <v>39451</v>
      </c>
      <c r="J45" s="5" t="s">
        <v>81</v>
      </c>
      <c r="K45" s="5" t="s">
        <v>152</v>
      </c>
      <c r="L45" s="15" t="s">
        <v>24</v>
      </c>
      <c r="M45" s="14" t="str">
        <f>_xlfn.XLOOKUP(F45,Department!$A$2:$A$6,Department!$B$2:$B$6)</f>
        <v>HR</v>
      </c>
      <c r="N45" s="22">
        <f>_xlfn.XLOOKUP(A45,Performance!$A$2:$A$501,Performance!$C$2:$C$501)</f>
        <v>3</v>
      </c>
      <c r="O45" s="19" cm="1">
        <f t="array" ref="O45">_xlfn.IFS(N45=5,I45*15%,N45=4,I45*10%,N45=3,I45*7%,N45&lt;3,I45*5%)</f>
        <v>2761.57</v>
      </c>
    </row>
    <row r="46" spans="1:15">
      <c r="A46" s="4" t="s">
        <v>153</v>
      </c>
      <c r="B46" s="5" t="s">
        <v>126</v>
      </c>
      <c r="C46" s="5" t="s">
        <v>141</v>
      </c>
      <c r="D46" s="5" t="s">
        <v>19</v>
      </c>
      <c r="E46" s="5">
        <v>26</v>
      </c>
      <c r="F46" s="5" t="s">
        <v>35</v>
      </c>
      <c r="G46" s="5" t="s">
        <v>44</v>
      </c>
      <c r="H46" s="6">
        <v>45499</v>
      </c>
      <c r="I46" s="5">
        <v>45087</v>
      </c>
      <c r="J46" s="5" t="s">
        <v>81</v>
      </c>
      <c r="K46" s="5" t="s">
        <v>154</v>
      </c>
      <c r="L46" s="15" t="s">
        <v>24</v>
      </c>
      <c r="M46" s="14" t="str">
        <f>_xlfn.XLOOKUP(F46,Department!$A$2:$A$6,Department!$B$2:$B$6)</f>
        <v>Sales</v>
      </c>
      <c r="N46" s="22">
        <f>_xlfn.XLOOKUP(A46,Performance!$A$2:$A$501,Performance!$C$2:$C$501)</f>
        <v>1</v>
      </c>
      <c r="O46" s="19" cm="1">
        <f t="array" ref="O46">_xlfn.IFS(N46=5,I46*15%,N46=4,I46*10%,N46=3,I46*7%,N46&lt;3,I46*5%)</f>
        <v>2254.35</v>
      </c>
    </row>
    <row r="47" spans="1:15">
      <c r="A47" s="4" t="s">
        <v>155</v>
      </c>
      <c r="B47" s="5" t="s">
        <v>34</v>
      </c>
      <c r="C47" s="5" t="s">
        <v>93</v>
      </c>
      <c r="D47" s="5" t="s">
        <v>28</v>
      </c>
      <c r="E47" s="5">
        <v>26</v>
      </c>
      <c r="F47" s="5" t="s">
        <v>35</v>
      </c>
      <c r="G47" s="5" t="s">
        <v>21</v>
      </c>
      <c r="H47" s="6">
        <v>45395</v>
      </c>
      <c r="I47" s="5">
        <v>38222</v>
      </c>
      <c r="J47" s="5" t="s">
        <v>67</v>
      </c>
      <c r="K47" s="5" t="s">
        <v>156</v>
      </c>
      <c r="L47" s="15" t="s">
        <v>39</v>
      </c>
      <c r="M47" s="14" t="str">
        <f>_xlfn.XLOOKUP(F47,Department!$A$2:$A$6,Department!$B$2:$B$6)</f>
        <v>Sales</v>
      </c>
      <c r="N47" s="22">
        <f>_xlfn.XLOOKUP(A47,Performance!$A$2:$A$501,Performance!$C$2:$C$501)</f>
        <v>4</v>
      </c>
      <c r="O47" s="19" cm="1">
        <f t="array" ref="O47">_xlfn.IFS(N47=5,I47*15%,N47=4,I47*10%,N47=3,I47*7%,N47&lt;3,I47*5%)</f>
        <v>3822.2000000000003</v>
      </c>
    </row>
    <row r="48" spans="1:15">
      <c r="A48" s="4" t="s">
        <v>157</v>
      </c>
      <c r="B48" s="5" t="s">
        <v>74</v>
      </c>
      <c r="C48" s="5" t="s">
        <v>66</v>
      </c>
      <c r="D48" s="5" t="s">
        <v>19</v>
      </c>
      <c r="E48" s="5">
        <v>57</v>
      </c>
      <c r="F48" s="5" t="s">
        <v>29</v>
      </c>
      <c r="G48" s="5" t="s">
        <v>30</v>
      </c>
      <c r="H48" s="6">
        <v>43708</v>
      </c>
      <c r="I48" s="5">
        <v>96188</v>
      </c>
      <c r="J48" s="5" t="s">
        <v>62</v>
      </c>
      <c r="K48" s="5" t="s">
        <v>158</v>
      </c>
      <c r="L48" s="15" t="s">
        <v>24</v>
      </c>
      <c r="M48" s="14" t="str">
        <f>_xlfn.XLOOKUP(F48,Department!$A$2:$A$6,Department!$B$2:$B$6)</f>
        <v>IT</v>
      </c>
      <c r="N48" s="22">
        <f>_xlfn.XLOOKUP(A48,Performance!$A$2:$A$501,Performance!$C$2:$C$501)</f>
        <v>5</v>
      </c>
      <c r="O48" s="19" cm="1">
        <f t="array" ref="O48">_xlfn.IFS(N48=5,I48*15%,N48=4,I48*10%,N48=3,I48*7%,N48&lt;3,I48*5%)</f>
        <v>14428.199999999999</v>
      </c>
    </row>
    <row r="49" spans="1:15">
      <c r="A49" s="4" t="s">
        <v>159</v>
      </c>
      <c r="B49" s="5" t="s">
        <v>53</v>
      </c>
      <c r="C49" s="5" t="s">
        <v>84</v>
      </c>
      <c r="D49" s="5" t="s">
        <v>28</v>
      </c>
      <c r="E49" s="5">
        <v>32</v>
      </c>
      <c r="F49" s="5" t="s">
        <v>54</v>
      </c>
      <c r="G49" s="5" t="s">
        <v>21</v>
      </c>
      <c r="H49" s="6">
        <v>44546</v>
      </c>
      <c r="I49" s="5">
        <v>106013</v>
      </c>
      <c r="J49" s="5" t="s">
        <v>81</v>
      </c>
      <c r="K49" s="5" t="s">
        <v>160</v>
      </c>
      <c r="L49" s="15" t="s">
        <v>24</v>
      </c>
      <c r="M49" s="14" t="str">
        <f>_xlfn.XLOOKUP(F49,Department!$A$2:$A$6,Department!$B$2:$B$6)</f>
        <v>Finance</v>
      </c>
      <c r="N49" s="22">
        <f>_xlfn.XLOOKUP(A49,Performance!$A$2:$A$501,Performance!$C$2:$C$501)</f>
        <v>5</v>
      </c>
      <c r="O49" s="19" cm="1">
        <f t="array" ref="O49">_xlfn.IFS(N49=5,I49*15%,N49=4,I49*10%,N49=3,I49*7%,N49&lt;3,I49*5%)</f>
        <v>15901.949999999999</v>
      </c>
    </row>
    <row r="50" spans="1:15">
      <c r="A50" s="4" t="s">
        <v>161</v>
      </c>
      <c r="B50" s="5" t="s">
        <v>58</v>
      </c>
      <c r="C50" s="5" t="s">
        <v>93</v>
      </c>
      <c r="D50" s="5" t="s">
        <v>28</v>
      </c>
      <c r="E50" s="5">
        <v>52</v>
      </c>
      <c r="F50" s="5" t="s">
        <v>35</v>
      </c>
      <c r="G50" s="5" t="s">
        <v>30</v>
      </c>
      <c r="H50" s="6">
        <v>44212</v>
      </c>
      <c r="I50" s="5">
        <v>82014</v>
      </c>
      <c r="J50" s="5" t="s">
        <v>22</v>
      </c>
      <c r="K50" s="5" t="s">
        <v>162</v>
      </c>
      <c r="L50" s="15" t="s">
        <v>24</v>
      </c>
      <c r="M50" s="14" t="str">
        <f>_xlfn.XLOOKUP(F50,Department!$A$2:$A$6,Department!$B$2:$B$6)</f>
        <v>Sales</v>
      </c>
      <c r="N50" s="22">
        <f>_xlfn.XLOOKUP(A50,Performance!$A$2:$A$501,Performance!$C$2:$C$501)</f>
        <v>2</v>
      </c>
      <c r="O50" s="19" cm="1">
        <f t="array" ref="O50">_xlfn.IFS(N50=5,I50*15%,N50=4,I50*10%,N50=3,I50*7%,N50&lt;3,I50*5%)</f>
        <v>4100.7</v>
      </c>
    </row>
    <row r="51" spans="1:15">
      <c r="A51" s="4" t="s">
        <v>163</v>
      </c>
      <c r="B51" s="5" t="s">
        <v>42</v>
      </c>
      <c r="C51" s="5" t="s">
        <v>93</v>
      </c>
      <c r="D51" s="5" t="s">
        <v>28</v>
      </c>
      <c r="E51" s="5">
        <v>46</v>
      </c>
      <c r="F51" s="5" t="s">
        <v>35</v>
      </c>
      <c r="G51" s="5" t="s">
        <v>44</v>
      </c>
      <c r="H51" s="6">
        <v>45101</v>
      </c>
      <c r="I51" s="5">
        <v>84323</v>
      </c>
      <c r="J51" s="5" t="s">
        <v>37</v>
      </c>
      <c r="K51" s="5" t="s">
        <v>164</v>
      </c>
      <c r="L51" s="15" t="s">
        <v>24</v>
      </c>
      <c r="M51" s="14" t="str">
        <f>_xlfn.XLOOKUP(F51,Department!$A$2:$A$6,Department!$B$2:$B$6)</f>
        <v>Sales</v>
      </c>
      <c r="N51" s="22">
        <f>_xlfn.XLOOKUP(A51,Performance!$A$2:$A$501,Performance!$C$2:$C$501)</f>
        <v>1</v>
      </c>
      <c r="O51" s="19" cm="1">
        <f t="array" ref="O51">_xlfn.IFS(N51=5,I51*15%,N51=4,I51*10%,N51=3,I51*7%,N51&lt;3,I51*5%)</f>
        <v>4216.1500000000005</v>
      </c>
    </row>
    <row r="52" spans="1:15">
      <c r="A52" s="4" t="s">
        <v>165</v>
      </c>
      <c r="B52" s="5" t="s">
        <v>61</v>
      </c>
      <c r="C52" s="5" t="s">
        <v>66</v>
      </c>
      <c r="D52" s="5" t="s">
        <v>19</v>
      </c>
      <c r="E52" s="5">
        <v>42</v>
      </c>
      <c r="F52" s="5" t="s">
        <v>20</v>
      </c>
      <c r="G52" s="5" t="s">
        <v>21</v>
      </c>
      <c r="H52" s="6">
        <v>43514</v>
      </c>
      <c r="I52" s="5">
        <v>93289</v>
      </c>
      <c r="J52" s="5" t="s">
        <v>67</v>
      </c>
      <c r="K52" s="5" t="s">
        <v>166</v>
      </c>
      <c r="L52" s="15" t="s">
        <v>39</v>
      </c>
      <c r="M52" s="14" t="str">
        <f>_xlfn.XLOOKUP(F52,Department!$A$2:$A$6,Department!$B$2:$B$6)</f>
        <v>HR</v>
      </c>
      <c r="N52" s="22">
        <f>_xlfn.XLOOKUP(A52,Performance!$A$2:$A$501,Performance!$C$2:$C$501)</f>
        <v>5</v>
      </c>
      <c r="O52" s="19" cm="1">
        <f t="array" ref="O52">_xlfn.IFS(N52=5,I52*15%,N52=4,I52*10%,N52=3,I52*7%,N52&lt;3,I52*5%)</f>
        <v>13993.35</v>
      </c>
    </row>
    <row r="53" spans="1:15">
      <c r="A53" s="4" t="s">
        <v>167</v>
      </c>
      <c r="B53" s="5" t="s">
        <v>42</v>
      </c>
      <c r="C53" s="5" t="s">
        <v>117</v>
      </c>
      <c r="D53" s="5" t="s">
        <v>19</v>
      </c>
      <c r="E53" s="5">
        <v>46</v>
      </c>
      <c r="F53" s="5" t="s">
        <v>43</v>
      </c>
      <c r="G53" s="5" t="s">
        <v>44</v>
      </c>
      <c r="H53" s="6">
        <v>43228</v>
      </c>
      <c r="I53" s="5">
        <v>43926</v>
      </c>
      <c r="J53" s="5" t="s">
        <v>81</v>
      </c>
      <c r="K53" s="5" t="s">
        <v>168</v>
      </c>
      <c r="L53" s="15" t="s">
        <v>39</v>
      </c>
      <c r="M53" s="14" t="str">
        <f>_xlfn.XLOOKUP(F53,Department!$A$2:$A$6,Department!$B$2:$B$6)</f>
        <v>Marketing</v>
      </c>
      <c r="N53" s="22">
        <f>_xlfn.XLOOKUP(A53,Performance!$A$2:$A$501,Performance!$C$2:$C$501)</f>
        <v>4</v>
      </c>
      <c r="O53" s="19" cm="1">
        <f t="array" ref="O53">_xlfn.IFS(N53=5,I53*15%,N53=4,I53*10%,N53=3,I53*7%,N53&lt;3,I53*5%)</f>
        <v>4392.6000000000004</v>
      </c>
    </row>
    <row r="54" spans="1:15">
      <c r="A54" s="4" t="s">
        <v>169</v>
      </c>
      <c r="B54" s="5" t="s">
        <v>34</v>
      </c>
      <c r="C54" s="5" t="s">
        <v>27</v>
      </c>
      <c r="D54" s="5" t="s">
        <v>28</v>
      </c>
      <c r="E54" s="5">
        <v>57</v>
      </c>
      <c r="F54" s="5" t="s">
        <v>20</v>
      </c>
      <c r="G54" s="5" t="s">
        <v>36</v>
      </c>
      <c r="H54" s="6">
        <v>43385</v>
      </c>
      <c r="I54" s="5">
        <v>102761</v>
      </c>
      <c r="J54" s="5" t="s">
        <v>67</v>
      </c>
      <c r="K54" s="5" t="s">
        <v>170</v>
      </c>
      <c r="L54" s="15" t="s">
        <v>39</v>
      </c>
      <c r="M54" s="14" t="str">
        <f>_xlfn.XLOOKUP(F54,Department!$A$2:$A$6,Department!$B$2:$B$6)</f>
        <v>HR</v>
      </c>
      <c r="N54" s="22">
        <f>_xlfn.XLOOKUP(A54,Performance!$A$2:$A$501,Performance!$C$2:$C$501)</f>
        <v>4</v>
      </c>
      <c r="O54" s="19" cm="1">
        <f t="array" ref="O54">_xlfn.IFS(N54=5,I54*15%,N54=4,I54*10%,N54=3,I54*7%,N54&lt;3,I54*5%)</f>
        <v>10276.1</v>
      </c>
    </row>
    <row r="55" spans="1:15">
      <c r="A55" s="4" t="s">
        <v>171</v>
      </c>
      <c r="B55" s="5" t="s">
        <v>92</v>
      </c>
      <c r="C55" s="5" t="s">
        <v>93</v>
      </c>
      <c r="D55" s="5" t="s">
        <v>28</v>
      </c>
      <c r="E55" s="5">
        <v>58</v>
      </c>
      <c r="F55" s="5" t="s">
        <v>54</v>
      </c>
      <c r="G55" s="5" t="s">
        <v>102</v>
      </c>
      <c r="H55" s="6">
        <v>44189</v>
      </c>
      <c r="I55" s="5">
        <v>109960</v>
      </c>
      <c r="J55" s="5" t="s">
        <v>67</v>
      </c>
      <c r="K55" s="5" t="s">
        <v>172</v>
      </c>
      <c r="L55" s="15" t="s">
        <v>39</v>
      </c>
      <c r="M55" s="14" t="str">
        <f>_xlfn.XLOOKUP(F55,Department!$A$2:$A$6,Department!$B$2:$B$6)</f>
        <v>Finance</v>
      </c>
      <c r="N55" s="22">
        <f>_xlfn.XLOOKUP(A55,Performance!$A$2:$A$501,Performance!$C$2:$C$501)</f>
        <v>2</v>
      </c>
      <c r="O55" s="19" cm="1">
        <f t="array" ref="O55">_xlfn.IFS(N55=5,I55*15%,N55=4,I55*10%,N55=3,I55*7%,N55&lt;3,I55*5%)</f>
        <v>5498</v>
      </c>
    </row>
    <row r="56" spans="1:15">
      <c r="A56" s="4" t="s">
        <v>173</v>
      </c>
      <c r="B56" s="5" t="s">
        <v>74</v>
      </c>
      <c r="C56" s="5" t="s">
        <v>141</v>
      </c>
      <c r="D56" s="5" t="s">
        <v>28</v>
      </c>
      <c r="E56" s="5">
        <v>42</v>
      </c>
      <c r="F56" s="5" t="s">
        <v>54</v>
      </c>
      <c r="G56" s="5" t="s">
        <v>30</v>
      </c>
      <c r="H56" s="6">
        <v>44217</v>
      </c>
      <c r="I56" s="5">
        <v>83308</v>
      </c>
      <c r="J56" s="5" t="s">
        <v>62</v>
      </c>
      <c r="K56" s="5" t="s">
        <v>174</v>
      </c>
      <c r="L56" s="15" t="s">
        <v>39</v>
      </c>
      <c r="M56" s="14" t="str">
        <f>_xlfn.XLOOKUP(F56,Department!$A$2:$A$6,Department!$B$2:$B$6)</f>
        <v>Finance</v>
      </c>
      <c r="N56" s="22">
        <f>_xlfn.XLOOKUP(A56,Performance!$A$2:$A$501,Performance!$C$2:$C$501)</f>
        <v>1</v>
      </c>
      <c r="O56" s="19" cm="1">
        <f t="array" ref="O56">_xlfn.IFS(N56=5,I56*15%,N56=4,I56*10%,N56=3,I56*7%,N56&lt;3,I56*5%)</f>
        <v>4165.4000000000005</v>
      </c>
    </row>
    <row r="57" spans="1:15">
      <c r="A57" s="4" t="s">
        <v>175</v>
      </c>
      <c r="B57" s="5" t="s">
        <v>74</v>
      </c>
      <c r="C57" s="5" t="s">
        <v>49</v>
      </c>
      <c r="D57" s="5" t="s">
        <v>28</v>
      </c>
      <c r="E57" s="5">
        <v>26</v>
      </c>
      <c r="F57" s="5" t="s">
        <v>54</v>
      </c>
      <c r="G57" s="5" t="s">
        <v>102</v>
      </c>
      <c r="H57" s="6">
        <v>44155</v>
      </c>
      <c r="I57" s="5">
        <v>44078</v>
      </c>
      <c r="J57" s="5" t="s">
        <v>67</v>
      </c>
      <c r="K57" s="5" t="s">
        <v>176</v>
      </c>
      <c r="L57" s="15" t="s">
        <v>39</v>
      </c>
      <c r="M57" s="14" t="str">
        <f>_xlfn.XLOOKUP(F57,Department!$A$2:$A$6,Department!$B$2:$B$6)</f>
        <v>Finance</v>
      </c>
      <c r="N57" s="22">
        <f>_xlfn.XLOOKUP(A57,Performance!$A$2:$A$501,Performance!$C$2:$C$501)</f>
        <v>3</v>
      </c>
      <c r="O57" s="19" cm="1">
        <f t="array" ref="O57">_xlfn.IFS(N57=5,I57*15%,N57=4,I57*10%,N57=3,I57*7%,N57&lt;3,I57*5%)</f>
        <v>3085.4600000000005</v>
      </c>
    </row>
    <row r="58" spans="1:15">
      <c r="A58" s="4" t="s">
        <v>177</v>
      </c>
      <c r="B58" s="5" t="s">
        <v>34</v>
      </c>
      <c r="C58" s="5" t="s">
        <v>66</v>
      </c>
      <c r="D58" s="5" t="s">
        <v>28</v>
      </c>
      <c r="E58" s="5">
        <v>32</v>
      </c>
      <c r="F58" s="5" t="s">
        <v>20</v>
      </c>
      <c r="G58" s="5" t="s">
        <v>30</v>
      </c>
      <c r="H58" s="6">
        <v>44118</v>
      </c>
      <c r="I58" s="5">
        <v>60444</v>
      </c>
      <c r="J58" s="5" t="s">
        <v>67</v>
      </c>
      <c r="K58" s="5" t="s">
        <v>178</v>
      </c>
      <c r="L58" s="15" t="s">
        <v>39</v>
      </c>
      <c r="M58" s="14" t="str">
        <f>_xlfn.XLOOKUP(F58,Department!$A$2:$A$6,Department!$B$2:$B$6)</f>
        <v>HR</v>
      </c>
      <c r="N58" s="22">
        <f>_xlfn.XLOOKUP(A58,Performance!$A$2:$A$501,Performance!$C$2:$C$501)</f>
        <v>4</v>
      </c>
      <c r="O58" s="19" cm="1">
        <f t="array" ref="O58">_xlfn.IFS(N58=5,I58*15%,N58=4,I58*10%,N58=3,I58*7%,N58&lt;3,I58*5%)</f>
        <v>6044.4000000000005</v>
      </c>
    </row>
    <row r="59" spans="1:15">
      <c r="A59" s="4" t="s">
        <v>179</v>
      </c>
      <c r="B59" s="5" t="s">
        <v>61</v>
      </c>
      <c r="C59" s="5" t="s">
        <v>80</v>
      </c>
      <c r="D59" s="5" t="s">
        <v>28</v>
      </c>
      <c r="E59" s="5">
        <v>26</v>
      </c>
      <c r="F59" s="5" t="s">
        <v>35</v>
      </c>
      <c r="G59" s="5" t="s">
        <v>30</v>
      </c>
      <c r="H59" s="6">
        <v>45475</v>
      </c>
      <c r="I59" s="5">
        <v>37951</v>
      </c>
      <c r="J59" s="5" t="s">
        <v>37</v>
      </c>
      <c r="K59" s="5" t="s">
        <v>180</v>
      </c>
      <c r="L59" s="15" t="s">
        <v>39</v>
      </c>
      <c r="M59" s="14" t="str">
        <f>_xlfn.XLOOKUP(F59,Department!$A$2:$A$6,Department!$B$2:$B$6)</f>
        <v>Sales</v>
      </c>
      <c r="N59" s="22">
        <f>_xlfn.XLOOKUP(A59,Performance!$A$2:$A$501,Performance!$C$2:$C$501)</f>
        <v>2</v>
      </c>
      <c r="O59" s="19" cm="1">
        <f t="array" ref="O59">_xlfn.IFS(N59=5,I59*15%,N59=4,I59*10%,N59=3,I59*7%,N59&lt;3,I59*5%)</f>
        <v>1897.5500000000002</v>
      </c>
    </row>
    <row r="60" spans="1:15">
      <c r="A60" s="4" t="s">
        <v>181</v>
      </c>
      <c r="B60" s="5" t="s">
        <v>74</v>
      </c>
      <c r="C60" s="5" t="s">
        <v>117</v>
      </c>
      <c r="D60" s="5" t="s">
        <v>28</v>
      </c>
      <c r="E60" s="5">
        <v>36</v>
      </c>
      <c r="F60" s="5" t="s">
        <v>54</v>
      </c>
      <c r="G60" s="5" t="s">
        <v>30</v>
      </c>
      <c r="H60" s="6">
        <v>45502</v>
      </c>
      <c r="I60" s="5">
        <v>88790</v>
      </c>
      <c r="J60" s="5" t="s">
        <v>81</v>
      </c>
      <c r="K60" s="5" t="s">
        <v>182</v>
      </c>
      <c r="L60" s="15" t="s">
        <v>39</v>
      </c>
      <c r="M60" s="14" t="str">
        <f>_xlfn.XLOOKUP(F60,Department!$A$2:$A$6,Department!$B$2:$B$6)</f>
        <v>Finance</v>
      </c>
      <c r="N60" s="22">
        <f>_xlfn.XLOOKUP(A60,Performance!$A$2:$A$501,Performance!$C$2:$C$501)</f>
        <v>3</v>
      </c>
      <c r="O60" s="19" cm="1">
        <f t="array" ref="O60">_xlfn.IFS(N60=5,I60*15%,N60=4,I60*10%,N60=3,I60*7%,N60&lt;3,I60*5%)</f>
        <v>6215.3</v>
      </c>
    </row>
    <row r="61" spans="1:15">
      <c r="A61" s="4" t="s">
        <v>183</v>
      </c>
      <c r="B61" s="5" t="s">
        <v>42</v>
      </c>
      <c r="C61" s="5" t="s">
        <v>66</v>
      </c>
      <c r="D61" s="5" t="s">
        <v>28</v>
      </c>
      <c r="E61" s="5">
        <v>50</v>
      </c>
      <c r="F61" s="5" t="s">
        <v>54</v>
      </c>
      <c r="G61" s="5" t="s">
        <v>36</v>
      </c>
      <c r="H61" s="6">
        <v>44493</v>
      </c>
      <c r="I61" s="5">
        <v>119530</v>
      </c>
      <c r="J61" s="5" t="s">
        <v>22</v>
      </c>
      <c r="K61" s="5" t="s">
        <v>184</v>
      </c>
      <c r="L61" s="15" t="s">
        <v>39</v>
      </c>
      <c r="M61" s="14" t="str">
        <f>_xlfn.XLOOKUP(F61,Department!$A$2:$A$6,Department!$B$2:$B$6)</f>
        <v>Finance</v>
      </c>
      <c r="N61" s="22">
        <f>_xlfn.XLOOKUP(A61,Performance!$A$2:$A$501,Performance!$C$2:$C$501)</f>
        <v>3</v>
      </c>
      <c r="O61" s="19" cm="1">
        <f t="array" ref="O61">_xlfn.IFS(N61=5,I61*15%,N61=4,I61*10%,N61=3,I61*7%,N61&lt;3,I61*5%)</f>
        <v>8367.1</v>
      </c>
    </row>
    <row r="62" spans="1:15">
      <c r="A62" s="4" t="s">
        <v>185</v>
      </c>
      <c r="B62" s="5" t="s">
        <v>126</v>
      </c>
      <c r="C62" s="5" t="s">
        <v>80</v>
      </c>
      <c r="D62" s="5" t="s">
        <v>19</v>
      </c>
      <c r="E62" s="5">
        <v>30</v>
      </c>
      <c r="F62" s="5" t="s">
        <v>20</v>
      </c>
      <c r="G62" s="5" t="s">
        <v>102</v>
      </c>
      <c r="H62" s="6">
        <v>43763</v>
      </c>
      <c r="I62" s="5">
        <v>72048</v>
      </c>
      <c r="J62" s="5" t="s">
        <v>67</v>
      </c>
      <c r="K62" s="5" t="s">
        <v>186</v>
      </c>
      <c r="L62" s="15" t="s">
        <v>39</v>
      </c>
      <c r="M62" s="14" t="str">
        <f>_xlfn.XLOOKUP(F62,Department!$A$2:$A$6,Department!$B$2:$B$6)</f>
        <v>HR</v>
      </c>
      <c r="N62" s="22">
        <f>_xlfn.XLOOKUP(A62,Performance!$A$2:$A$501,Performance!$C$2:$C$501)</f>
        <v>4</v>
      </c>
      <c r="O62" s="19" cm="1">
        <f t="array" ref="O62">_xlfn.IFS(N62=5,I62*15%,N62=4,I62*10%,N62=3,I62*7%,N62&lt;3,I62*5%)</f>
        <v>7204.8</v>
      </c>
    </row>
    <row r="63" spans="1:15">
      <c r="A63" s="4" t="s">
        <v>187</v>
      </c>
      <c r="B63" s="5" t="s">
        <v>58</v>
      </c>
      <c r="C63" s="5" t="s">
        <v>89</v>
      </c>
      <c r="D63" s="5" t="s">
        <v>28</v>
      </c>
      <c r="E63" s="5">
        <v>33</v>
      </c>
      <c r="F63" s="5" t="s">
        <v>35</v>
      </c>
      <c r="G63" s="5" t="s">
        <v>36</v>
      </c>
      <c r="H63" s="6">
        <v>45317</v>
      </c>
      <c r="I63" s="5">
        <v>76700</v>
      </c>
      <c r="J63" s="5" t="s">
        <v>62</v>
      </c>
      <c r="K63" s="5" t="s">
        <v>188</v>
      </c>
      <c r="L63" s="15" t="s">
        <v>39</v>
      </c>
      <c r="M63" s="14" t="str">
        <f>_xlfn.XLOOKUP(F63,Department!$A$2:$A$6,Department!$B$2:$B$6)</f>
        <v>Sales</v>
      </c>
      <c r="N63" s="22">
        <f>_xlfn.XLOOKUP(A63,Performance!$A$2:$A$501,Performance!$C$2:$C$501)</f>
        <v>5</v>
      </c>
      <c r="O63" s="19" cm="1">
        <f t="array" ref="O63">_xlfn.IFS(N63=5,I63*15%,N63=4,I63*10%,N63=3,I63*7%,N63&lt;3,I63*5%)</f>
        <v>11505</v>
      </c>
    </row>
    <row r="64" spans="1:15">
      <c r="A64" s="4" t="s">
        <v>189</v>
      </c>
      <c r="B64" s="5" t="s">
        <v>74</v>
      </c>
      <c r="C64" s="5" t="s">
        <v>117</v>
      </c>
      <c r="D64" s="5" t="s">
        <v>28</v>
      </c>
      <c r="E64" s="5">
        <v>22</v>
      </c>
      <c r="F64" s="5" t="s">
        <v>20</v>
      </c>
      <c r="G64" s="5" t="s">
        <v>44</v>
      </c>
      <c r="H64" s="6">
        <v>44980</v>
      </c>
      <c r="I64" s="5">
        <v>86315</v>
      </c>
      <c r="J64" s="5" t="s">
        <v>62</v>
      </c>
      <c r="K64" s="5" t="s">
        <v>190</v>
      </c>
      <c r="L64" s="15" t="s">
        <v>39</v>
      </c>
      <c r="M64" s="14" t="str">
        <f>_xlfn.XLOOKUP(F64,Department!$A$2:$A$6,Department!$B$2:$B$6)</f>
        <v>HR</v>
      </c>
      <c r="N64" s="22">
        <f>_xlfn.XLOOKUP(A64,Performance!$A$2:$A$501,Performance!$C$2:$C$501)</f>
        <v>1</v>
      </c>
      <c r="O64" s="19" cm="1">
        <f t="array" ref="O64">_xlfn.IFS(N64=5,I64*15%,N64=4,I64*10%,N64=3,I64*7%,N64&lt;3,I64*5%)</f>
        <v>4315.75</v>
      </c>
    </row>
    <row r="65" spans="1:15">
      <c r="A65" s="4" t="s">
        <v>191</v>
      </c>
      <c r="B65" s="5" t="s">
        <v>42</v>
      </c>
      <c r="C65" s="5" t="s">
        <v>84</v>
      </c>
      <c r="D65" s="5" t="s">
        <v>19</v>
      </c>
      <c r="E65" s="5">
        <v>49</v>
      </c>
      <c r="F65" s="5" t="s">
        <v>54</v>
      </c>
      <c r="G65" s="5" t="s">
        <v>36</v>
      </c>
      <c r="H65" s="6">
        <v>43973</v>
      </c>
      <c r="I65" s="5">
        <v>85454</v>
      </c>
      <c r="J65" s="5" t="s">
        <v>37</v>
      </c>
      <c r="K65" s="5" t="s">
        <v>192</v>
      </c>
      <c r="L65" s="15" t="s">
        <v>24</v>
      </c>
      <c r="M65" s="14" t="str">
        <f>_xlfn.XLOOKUP(F65,Department!$A$2:$A$6,Department!$B$2:$B$6)</f>
        <v>Finance</v>
      </c>
      <c r="N65" s="22">
        <f>_xlfn.XLOOKUP(A65,Performance!$A$2:$A$501,Performance!$C$2:$C$501)</f>
        <v>3</v>
      </c>
      <c r="O65" s="19" cm="1">
        <f t="array" ref="O65">_xlfn.IFS(N65=5,I65*15%,N65=4,I65*10%,N65=3,I65*7%,N65&lt;3,I65*5%)</f>
        <v>5981.7800000000007</v>
      </c>
    </row>
    <row r="66" spans="1:15">
      <c r="A66" s="4" t="s">
        <v>193</v>
      </c>
      <c r="B66" s="5" t="s">
        <v>34</v>
      </c>
      <c r="C66" s="5" t="s">
        <v>89</v>
      </c>
      <c r="D66" s="5" t="s">
        <v>28</v>
      </c>
      <c r="E66" s="5">
        <v>31</v>
      </c>
      <c r="F66" s="5" t="s">
        <v>20</v>
      </c>
      <c r="G66" s="5" t="s">
        <v>36</v>
      </c>
      <c r="H66" s="6">
        <v>43697</v>
      </c>
      <c r="I66" s="5">
        <v>83281</v>
      </c>
      <c r="J66" s="5" t="s">
        <v>62</v>
      </c>
      <c r="K66" s="5" t="s">
        <v>194</v>
      </c>
      <c r="L66" s="15" t="s">
        <v>39</v>
      </c>
      <c r="M66" s="14" t="str">
        <f>_xlfn.XLOOKUP(F66,Department!$A$2:$A$6,Department!$B$2:$B$6)</f>
        <v>HR</v>
      </c>
      <c r="N66" s="22">
        <f>_xlfn.XLOOKUP(A66,Performance!$A$2:$A$501,Performance!$C$2:$C$501)</f>
        <v>3</v>
      </c>
      <c r="O66" s="19" cm="1">
        <f t="array" ref="O66">_xlfn.IFS(N66=5,I66*15%,N66=4,I66*10%,N66=3,I66*7%,N66&lt;3,I66*5%)</f>
        <v>5829.670000000001</v>
      </c>
    </row>
    <row r="67" spans="1:15">
      <c r="A67" s="4" t="s">
        <v>195</v>
      </c>
      <c r="B67" s="5" t="s">
        <v>61</v>
      </c>
      <c r="C67" s="5" t="s">
        <v>141</v>
      </c>
      <c r="D67" s="5" t="s">
        <v>19</v>
      </c>
      <c r="E67" s="5">
        <v>31</v>
      </c>
      <c r="F67" s="5" t="s">
        <v>20</v>
      </c>
      <c r="G67" s="5" t="s">
        <v>44</v>
      </c>
      <c r="H67" s="6">
        <v>44367</v>
      </c>
      <c r="I67" s="5">
        <v>44531</v>
      </c>
      <c r="J67" s="5" t="s">
        <v>37</v>
      </c>
      <c r="K67" s="5" t="s">
        <v>196</v>
      </c>
      <c r="L67" s="15" t="s">
        <v>24</v>
      </c>
      <c r="M67" s="14" t="str">
        <f>_xlfn.XLOOKUP(F67,Department!$A$2:$A$6,Department!$B$2:$B$6)</f>
        <v>HR</v>
      </c>
      <c r="N67" s="22">
        <f>_xlfn.XLOOKUP(A67,Performance!$A$2:$A$501,Performance!$C$2:$C$501)</f>
        <v>5</v>
      </c>
      <c r="O67" s="19" cm="1">
        <f t="array" ref="O67">_xlfn.IFS(N67=5,I67*15%,N67=4,I67*10%,N67=3,I67*7%,N67&lt;3,I67*5%)</f>
        <v>6679.65</v>
      </c>
    </row>
    <row r="68" spans="1:15">
      <c r="A68" s="4" t="s">
        <v>197</v>
      </c>
      <c r="B68" s="5" t="s">
        <v>42</v>
      </c>
      <c r="C68" s="5" t="s">
        <v>117</v>
      </c>
      <c r="D68" s="5" t="s">
        <v>28</v>
      </c>
      <c r="E68" s="5">
        <v>36</v>
      </c>
      <c r="F68" s="5" t="s">
        <v>35</v>
      </c>
      <c r="G68" s="5" t="s">
        <v>21</v>
      </c>
      <c r="H68" s="6">
        <v>43839</v>
      </c>
      <c r="I68" s="5">
        <v>44990</v>
      </c>
      <c r="J68" s="5" t="s">
        <v>81</v>
      </c>
      <c r="K68" s="5" t="s">
        <v>198</v>
      </c>
      <c r="L68" s="15" t="s">
        <v>24</v>
      </c>
      <c r="M68" s="14" t="str">
        <f>_xlfn.XLOOKUP(F68,Department!$A$2:$A$6,Department!$B$2:$B$6)</f>
        <v>Sales</v>
      </c>
      <c r="N68" s="22">
        <f>_xlfn.XLOOKUP(A68,Performance!$A$2:$A$501,Performance!$C$2:$C$501)</f>
        <v>3</v>
      </c>
      <c r="O68" s="19" cm="1">
        <f t="array" ref="O68">_xlfn.IFS(N68=5,I68*15%,N68=4,I68*10%,N68=3,I68*7%,N68&lt;3,I68*5%)</f>
        <v>3149.3</v>
      </c>
    </row>
    <row r="69" spans="1:15">
      <c r="A69" s="4" t="s">
        <v>199</v>
      </c>
      <c r="B69" s="5" t="s">
        <v>48</v>
      </c>
      <c r="C69" s="5" t="s">
        <v>27</v>
      </c>
      <c r="D69" s="5" t="s">
        <v>19</v>
      </c>
      <c r="E69" s="5">
        <v>34</v>
      </c>
      <c r="F69" s="5" t="s">
        <v>20</v>
      </c>
      <c r="G69" s="5" t="s">
        <v>36</v>
      </c>
      <c r="H69" s="6">
        <v>45134</v>
      </c>
      <c r="I69" s="5">
        <v>39110</v>
      </c>
      <c r="J69" s="5" t="s">
        <v>37</v>
      </c>
      <c r="K69" s="5" t="s">
        <v>200</v>
      </c>
      <c r="L69" s="15" t="s">
        <v>39</v>
      </c>
      <c r="M69" s="14" t="str">
        <f>_xlfn.XLOOKUP(F69,Department!$A$2:$A$6,Department!$B$2:$B$6)</f>
        <v>HR</v>
      </c>
      <c r="N69" s="22">
        <f>_xlfn.XLOOKUP(A69,Performance!$A$2:$A$501,Performance!$C$2:$C$501)</f>
        <v>2</v>
      </c>
      <c r="O69" s="19" cm="1">
        <f t="array" ref="O69">_xlfn.IFS(N69=5,I69*15%,N69=4,I69*10%,N69=3,I69*7%,N69&lt;3,I69*5%)</f>
        <v>1955.5</v>
      </c>
    </row>
    <row r="70" spans="1:15">
      <c r="A70" s="4" t="s">
        <v>201</v>
      </c>
      <c r="B70" s="5" t="s">
        <v>17</v>
      </c>
      <c r="C70" s="5" t="s">
        <v>49</v>
      </c>
      <c r="D70" s="5" t="s">
        <v>28</v>
      </c>
      <c r="E70" s="5">
        <v>35</v>
      </c>
      <c r="F70" s="5" t="s">
        <v>54</v>
      </c>
      <c r="G70" s="5" t="s">
        <v>44</v>
      </c>
      <c r="H70" s="6">
        <v>45449</v>
      </c>
      <c r="I70" s="5">
        <v>60760</v>
      </c>
      <c r="J70" s="5" t="s">
        <v>81</v>
      </c>
      <c r="K70" s="5" t="s">
        <v>202</v>
      </c>
      <c r="L70" s="15" t="s">
        <v>39</v>
      </c>
      <c r="M70" s="14" t="str">
        <f>_xlfn.XLOOKUP(F70,Department!$A$2:$A$6,Department!$B$2:$B$6)</f>
        <v>Finance</v>
      </c>
      <c r="N70" s="22">
        <f>_xlfn.XLOOKUP(A70,Performance!$A$2:$A$501,Performance!$C$2:$C$501)</f>
        <v>4</v>
      </c>
      <c r="O70" s="19" cm="1">
        <f t="array" ref="O70">_xlfn.IFS(N70=5,I70*15%,N70=4,I70*10%,N70=3,I70*7%,N70&lt;3,I70*5%)</f>
        <v>6076</v>
      </c>
    </row>
    <row r="71" spans="1:15">
      <c r="A71" s="4" t="s">
        <v>203</v>
      </c>
      <c r="B71" s="5" t="s">
        <v>42</v>
      </c>
      <c r="C71" s="5" t="s">
        <v>89</v>
      </c>
      <c r="D71" s="5" t="s">
        <v>19</v>
      </c>
      <c r="E71" s="5">
        <v>27</v>
      </c>
      <c r="F71" s="5" t="s">
        <v>35</v>
      </c>
      <c r="G71" s="5" t="s">
        <v>30</v>
      </c>
      <c r="H71" s="6">
        <v>43930</v>
      </c>
      <c r="I71" s="5">
        <v>118796</v>
      </c>
      <c r="J71" s="5" t="s">
        <v>62</v>
      </c>
      <c r="K71" s="5" t="s">
        <v>204</v>
      </c>
      <c r="L71" s="15" t="s">
        <v>39</v>
      </c>
      <c r="M71" s="14" t="str">
        <f>_xlfn.XLOOKUP(F71,Department!$A$2:$A$6,Department!$B$2:$B$6)</f>
        <v>Sales</v>
      </c>
      <c r="N71" s="22">
        <f>_xlfn.XLOOKUP(A71,Performance!$A$2:$A$501,Performance!$C$2:$C$501)</f>
        <v>4</v>
      </c>
      <c r="O71" s="19" cm="1">
        <f t="array" ref="O71">_xlfn.IFS(N71=5,I71*15%,N71=4,I71*10%,N71=3,I71*7%,N71&lt;3,I71*5%)</f>
        <v>11879.6</v>
      </c>
    </row>
    <row r="72" spans="1:15">
      <c r="A72" s="4" t="s">
        <v>205</v>
      </c>
      <c r="B72" s="5" t="s">
        <v>74</v>
      </c>
      <c r="C72" s="5" t="s">
        <v>89</v>
      </c>
      <c r="D72" s="5" t="s">
        <v>19</v>
      </c>
      <c r="E72" s="5">
        <v>49</v>
      </c>
      <c r="F72" s="5" t="s">
        <v>35</v>
      </c>
      <c r="G72" s="5" t="s">
        <v>21</v>
      </c>
      <c r="H72" s="6">
        <v>43950</v>
      </c>
      <c r="I72" s="5">
        <v>88225</v>
      </c>
      <c r="J72" s="5" t="s">
        <v>37</v>
      </c>
      <c r="K72" s="5" t="s">
        <v>206</v>
      </c>
      <c r="L72" s="15" t="s">
        <v>24</v>
      </c>
      <c r="M72" s="14" t="str">
        <f>_xlfn.XLOOKUP(F72,Department!$A$2:$A$6,Department!$B$2:$B$6)</f>
        <v>Sales</v>
      </c>
      <c r="N72" s="22">
        <f>_xlfn.XLOOKUP(A72,Performance!$A$2:$A$501,Performance!$C$2:$C$501)</f>
        <v>2</v>
      </c>
      <c r="O72" s="19" cm="1">
        <f t="array" ref="O72">_xlfn.IFS(N72=5,I72*15%,N72=4,I72*10%,N72=3,I72*7%,N72&lt;3,I72*5%)</f>
        <v>4411.25</v>
      </c>
    </row>
    <row r="73" spans="1:15">
      <c r="A73" s="4" t="s">
        <v>207</v>
      </c>
      <c r="B73" s="5" t="s">
        <v>53</v>
      </c>
      <c r="C73" s="5" t="s">
        <v>89</v>
      </c>
      <c r="D73" s="5" t="s">
        <v>19</v>
      </c>
      <c r="E73" s="5">
        <v>22</v>
      </c>
      <c r="F73" s="5" t="s">
        <v>35</v>
      </c>
      <c r="G73" s="5" t="s">
        <v>102</v>
      </c>
      <c r="H73" s="6">
        <v>44974</v>
      </c>
      <c r="I73" s="5">
        <v>64891</v>
      </c>
      <c r="J73" s="5" t="s">
        <v>67</v>
      </c>
      <c r="K73" s="5" t="s">
        <v>208</v>
      </c>
      <c r="L73" s="15" t="s">
        <v>24</v>
      </c>
      <c r="M73" s="14" t="str">
        <f>_xlfn.XLOOKUP(F73,Department!$A$2:$A$6,Department!$B$2:$B$6)</f>
        <v>Sales</v>
      </c>
      <c r="N73" s="22">
        <f>_xlfn.XLOOKUP(A73,Performance!$A$2:$A$501,Performance!$C$2:$C$501)</f>
        <v>4</v>
      </c>
      <c r="O73" s="19" cm="1">
        <f t="array" ref="O73">_xlfn.IFS(N73=5,I73*15%,N73=4,I73*10%,N73=3,I73*7%,N73&lt;3,I73*5%)</f>
        <v>6489.1</v>
      </c>
    </row>
    <row r="74" spans="1:15">
      <c r="A74" s="4" t="s">
        <v>209</v>
      </c>
      <c r="B74" s="5" t="s">
        <v>48</v>
      </c>
      <c r="C74" s="5" t="s">
        <v>49</v>
      </c>
      <c r="D74" s="5" t="s">
        <v>28</v>
      </c>
      <c r="E74" s="5">
        <v>48</v>
      </c>
      <c r="F74" s="5" t="s">
        <v>54</v>
      </c>
      <c r="G74" s="5" t="s">
        <v>36</v>
      </c>
      <c r="H74" s="6">
        <v>44191</v>
      </c>
      <c r="I74" s="5">
        <v>72035</v>
      </c>
      <c r="J74" s="5" t="s">
        <v>22</v>
      </c>
      <c r="K74" s="5" t="s">
        <v>210</v>
      </c>
      <c r="L74" s="15" t="s">
        <v>24</v>
      </c>
      <c r="M74" s="14" t="str">
        <f>_xlfn.XLOOKUP(F74,Department!$A$2:$A$6,Department!$B$2:$B$6)</f>
        <v>Finance</v>
      </c>
      <c r="N74" s="22">
        <f>_xlfn.XLOOKUP(A74,Performance!$A$2:$A$501,Performance!$C$2:$C$501)</f>
        <v>3</v>
      </c>
      <c r="O74" s="19" cm="1">
        <f t="array" ref="O74">_xlfn.IFS(N74=5,I74*15%,N74=4,I74*10%,N74=3,I74*7%,N74&lt;3,I74*5%)</f>
        <v>5042.4500000000007</v>
      </c>
    </row>
    <row r="75" spans="1:15">
      <c r="A75" s="4" t="s">
        <v>211</v>
      </c>
      <c r="B75" s="5" t="s">
        <v>17</v>
      </c>
      <c r="C75" s="5" t="s">
        <v>117</v>
      </c>
      <c r="D75" s="5" t="s">
        <v>28</v>
      </c>
      <c r="E75" s="5">
        <v>30</v>
      </c>
      <c r="F75" s="5" t="s">
        <v>20</v>
      </c>
      <c r="G75" s="5" t="s">
        <v>21</v>
      </c>
      <c r="H75" s="6">
        <v>45156</v>
      </c>
      <c r="I75" s="5">
        <v>50545</v>
      </c>
      <c r="J75" s="5" t="s">
        <v>81</v>
      </c>
      <c r="K75" s="5" t="s">
        <v>212</v>
      </c>
      <c r="L75" s="15" t="s">
        <v>24</v>
      </c>
      <c r="M75" s="14" t="str">
        <f>_xlfn.XLOOKUP(F75,Department!$A$2:$A$6,Department!$B$2:$B$6)</f>
        <v>HR</v>
      </c>
      <c r="N75" s="22">
        <f>_xlfn.XLOOKUP(A75,Performance!$A$2:$A$501,Performance!$C$2:$C$501)</f>
        <v>3</v>
      </c>
      <c r="O75" s="19" cm="1">
        <f t="array" ref="O75">_xlfn.IFS(N75=5,I75*15%,N75=4,I75*10%,N75=3,I75*7%,N75&lt;3,I75*5%)</f>
        <v>3538.1500000000005</v>
      </c>
    </row>
    <row r="76" spans="1:15">
      <c r="A76" s="4" t="s">
        <v>213</v>
      </c>
      <c r="B76" s="5" t="s">
        <v>126</v>
      </c>
      <c r="C76" s="5" t="s">
        <v>27</v>
      </c>
      <c r="D76" s="5" t="s">
        <v>28</v>
      </c>
      <c r="E76" s="5">
        <v>36</v>
      </c>
      <c r="F76" s="5" t="s">
        <v>20</v>
      </c>
      <c r="G76" s="5" t="s">
        <v>36</v>
      </c>
      <c r="H76" s="6">
        <v>45375</v>
      </c>
      <c r="I76" s="5">
        <v>79385</v>
      </c>
      <c r="J76" s="5" t="s">
        <v>37</v>
      </c>
      <c r="K76" s="5" t="s">
        <v>214</v>
      </c>
      <c r="L76" s="15" t="s">
        <v>24</v>
      </c>
      <c r="M76" s="14" t="str">
        <f>_xlfn.XLOOKUP(F76,Department!$A$2:$A$6,Department!$B$2:$B$6)</f>
        <v>HR</v>
      </c>
      <c r="N76" s="22">
        <f>_xlfn.XLOOKUP(A76,Performance!$A$2:$A$501,Performance!$C$2:$C$501)</f>
        <v>5</v>
      </c>
      <c r="O76" s="19" cm="1">
        <f t="array" ref="O76">_xlfn.IFS(N76=5,I76*15%,N76=4,I76*10%,N76=3,I76*7%,N76&lt;3,I76*5%)</f>
        <v>11907.75</v>
      </c>
    </row>
    <row r="77" spans="1:15">
      <c r="A77" s="4" t="s">
        <v>215</v>
      </c>
      <c r="B77" s="5" t="s">
        <v>58</v>
      </c>
      <c r="C77" s="5" t="s">
        <v>18</v>
      </c>
      <c r="D77" s="5" t="s">
        <v>19</v>
      </c>
      <c r="E77" s="5">
        <v>52</v>
      </c>
      <c r="F77" s="5" t="s">
        <v>54</v>
      </c>
      <c r="G77" s="5" t="s">
        <v>36</v>
      </c>
      <c r="H77" s="6">
        <v>43167</v>
      </c>
      <c r="I77" s="5">
        <v>48744</v>
      </c>
      <c r="J77" s="5" t="s">
        <v>67</v>
      </c>
      <c r="K77" s="5" t="s">
        <v>216</v>
      </c>
      <c r="L77" s="15" t="s">
        <v>39</v>
      </c>
      <c r="M77" s="14" t="str">
        <f>_xlfn.XLOOKUP(F77,Department!$A$2:$A$6,Department!$B$2:$B$6)</f>
        <v>Finance</v>
      </c>
      <c r="N77" s="22">
        <f>_xlfn.XLOOKUP(A77,Performance!$A$2:$A$501,Performance!$C$2:$C$501)</f>
        <v>3</v>
      </c>
      <c r="O77" s="19" cm="1">
        <f t="array" ref="O77">_xlfn.IFS(N77=5,I77*15%,N77=4,I77*10%,N77=3,I77*7%,N77&lt;3,I77*5%)</f>
        <v>3412.0800000000004</v>
      </c>
    </row>
    <row r="78" spans="1:15">
      <c r="A78" s="4" t="s">
        <v>217</v>
      </c>
      <c r="B78" s="5" t="s">
        <v>126</v>
      </c>
      <c r="C78" s="5" t="s">
        <v>93</v>
      </c>
      <c r="D78" s="5" t="s">
        <v>28</v>
      </c>
      <c r="E78" s="5">
        <v>53</v>
      </c>
      <c r="F78" s="5" t="s">
        <v>29</v>
      </c>
      <c r="G78" s="5" t="s">
        <v>102</v>
      </c>
      <c r="H78" s="6">
        <v>44727</v>
      </c>
      <c r="I78" s="5">
        <v>48865</v>
      </c>
      <c r="J78" s="5" t="s">
        <v>62</v>
      </c>
      <c r="K78" s="5" t="s">
        <v>218</v>
      </c>
      <c r="L78" s="15" t="s">
        <v>24</v>
      </c>
      <c r="M78" s="14" t="str">
        <f>_xlfn.XLOOKUP(F78,Department!$A$2:$A$6,Department!$B$2:$B$6)</f>
        <v>IT</v>
      </c>
      <c r="N78" s="22">
        <f>_xlfn.XLOOKUP(A78,Performance!$A$2:$A$501,Performance!$C$2:$C$501)</f>
        <v>1</v>
      </c>
      <c r="O78" s="19" cm="1">
        <f t="array" ref="O78">_xlfn.IFS(N78=5,I78*15%,N78=4,I78*10%,N78=3,I78*7%,N78&lt;3,I78*5%)</f>
        <v>2443.25</v>
      </c>
    </row>
    <row r="79" spans="1:15">
      <c r="A79" s="4" t="s">
        <v>219</v>
      </c>
      <c r="B79" s="5" t="s">
        <v>53</v>
      </c>
      <c r="C79" s="5" t="s">
        <v>66</v>
      </c>
      <c r="D79" s="5" t="s">
        <v>19</v>
      </c>
      <c r="E79" s="5">
        <v>53</v>
      </c>
      <c r="F79" s="5" t="s">
        <v>54</v>
      </c>
      <c r="G79" s="5" t="s">
        <v>21</v>
      </c>
      <c r="H79" s="6">
        <v>43649</v>
      </c>
      <c r="I79" s="5">
        <v>73437</v>
      </c>
      <c r="J79" s="5" t="s">
        <v>67</v>
      </c>
      <c r="K79" s="5" t="s">
        <v>220</v>
      </c>
      <c r="L79" s="15" t="s">
        <v>39</v>
      </c>
      <c r="M79" s="14" t="str">
        <f>_xlfn.XLOOKUP(F79,Department!$A$2:$A$6,Department!$B$2:$B$6)</f>
        <v>Finance</v>
      </c>
      <c r="N79" s="22">
        <f>_xlfn.XLOOKUP(A79,Performance!$A$2:$A$501,Performance!$C$2:$C$501)</f>
        <v>4</v>
      </c>
      <c r="O79" s="19" cm="1">
        <f t="array" ref="O79">_xlfn.IFS(N79=5,I79*15%,N79=4,I79*10%,N79=3,I79*7%,N79&lt;3,I79*5%)</f>
        <v>7343.7000000000007</v>
      </c>
    </row>
    <row r="80" spans="1:15">
      <c r="A80" s="4" t="s">
        <v>221</v>
      </c>
      <c r="B80" s="5" t="s">
        <v>58</v>
      </c>
      <c r="C80" s="5" t="s">
        <v>141</v>
      </c>
      <c r="D80" s="5" t="s">
        <v>19</v>
      </c>
      <c r="E80" s="5">
        <v>25</v>
      </c>
      <c r="F80" s="5" t="s">
        <v>43</v>
      </c>
      <c r="G80" s="5" t="s">
        <v>21</v>
      </c>
      <c r="H80" s="6">
        <v>45369</v>
      </c>
      <c r="I80" s="5">
        <v>75232</v>
      </c>
      <c r="J80" s="5" t="s">
        <v>81</v>
      </c>
      <c r="K80" s="5" t="s">
        <v>222</v>
      </c>
      <c r="L80" s="15" t="s">
        <v>24</v>
      </c>
      <c r="M80" s="14" t="str">
        <f>_xlfn.XLOOKUP(F80,Department!$A$2:$A$6,Department!$B$2:$B$6)</f>
        <v>Marketing</v>
      </c>
      <c r="N80" s="22">
        <f>_xlfn.XLOOKUP(A80,Performance!$A$2:$A$501,Performance!$C$2:$C$501)</f>
        <v>1</v>
      </c>
      <c r="O80" s="19" cm="1">
        <f t="array" ref="O80">_xlfn.IFS(N80=5,I80*15%,N80=4,I80*10%,N80=3,I80*7%,N80&lt;3,I80*5%)</f>
        <v>3761.6000000000004</v>
      </c>
    </row>
    <row r="81" spans="1:15">
      <c r="A81" s="4" t="s">
        <v>223</v>
      </c>
      <c r="B81" s="5" t="s">
        <v>74</v>
      </c>
      <c r="C81" s="5" t="s">
        <v>18</v>
      </c>
      <c r="D81" s="5" t="s">
        <v>19</v>
      </c>
      <c r="E81" s="5">
        <v>48</v>
      </c>
      <c r="F81" s="5" t="s">
        <v>35</v>
      </c>
      <c r="G81" s="5" t="s">
        <v>21</v>
      </c>
      <c r="H81" s="6">
        <v>44427</v>
      </c>
      <c r="I81" s="5">
        <v>53034</v>
      </c>
      <c r="J81" s="5" t="s">
        <v>67</v>
      </c>
      <c r="K81" s="5" t="s">
        <v>224</v>
      </c>
      <c r="L81" s="15" t="s">
        <v>24</v>
      </c>
      <c r="M81" s="14" t="str">
        <f>_xlfn.XLOOKUP(F81,Department!$A$2:$A$6,Department!$B$2:$B$6)</f>
        <v>Sales</v>
      </c>
      <c r="N81" s="22">
        <f>_xlfn.XLOOKUP(A81,Performance!$A$2:$A$501,Performance!$C$2:$C$501)</f>
        <v>2</v>
      </c>
      <c r="O81" s="19" cm="1">
        <f t="array" ref="O81">_xlfn.IFS(N81=5,I81*15%,N81=4,I81*10%,N81=3,I81*7%,N81&lt;3,I81*5%)</f>
        <v>2651.7000000000003</v>
      </c>
    </row>
    <row r="82" spans="1:15">
      <c r="A82" s="4" t="s">
        <v>225</v>
      </c>
      <c r="B82" s="5" t="s">
        <v>74</v>
      </c>
      <c r="C82" s="5" t="s">
        <v>27</v>
      </c>
      <c r="D82" s="5" t="s">
        <v>28</v>
      </c>
      <c r="E82" s="5">
        <v>45</v>
      </c>
      <c r="F82" s="5" t="s">
        <v>20</v>
      </c>
      <c r="G82" s="5" t="s">
        <v>21</v>
      </c>
      <c r="H82" s="6">
        <v>45434</v>
      </c>
      <c r="I82" s="5">
        <v>110168</v>
      </c>
      <c r="J82" s="5" t="s">
        <v>62</v>
      </c>
      <c r="K82" s="5" t="s">
        <v>226</v>
      </c>
      <c r="L82" s="15" t="s">
        <v>39</v>
      </c>
      <c r="M82" s="14" t="str">
        <f>_xlfn.XLOOKUP(F82,Department!$A$2:$A$6,Department!$B$2:$B$6)</f>
        <v>HR</v>
      </c>
      <c r="N82" s="22">
        <f>_xlfn.XLOOKUP(A82,Performance!$A$2:$A$501,Performance!$C$2:$C$501)</f>
        <v>4</v>
      </c>
      <c r="O82" s="19" cm="1">
        <f t="array" ref="O82">_xlfn.IFS(N82=5,I82*15%,N82=4,I82*10%,N82=3,I82*7%,N82&lt;3,I82*5%)</f>
        <v>11016.800000000001</v>
      </c>
    </row>
    <row r="83" spans="1:15">
      <c r="A83" s="4" t="s">
        <v>227</v>
      </c>
      <c r="B83" s="5" t="s">
        <v>42</v>
      </c>
      <c r="C83" s="5" t="s">
        <v>80</v>
      </c>
      <c r="D83" s="5" t="s">
        <v>19</v>
      </c>
      <c r="E83" s="5">
        <v>51</v>
      </c>
      <c r="F83" s="5" t="s">
        <v>29</v>
      </c>
      <c r="G83" s="5" t="s">
        <v>36</v>
      </c>
      <c r="H83" s="6">
        <v>43350</v>
      </c>
      <c r="I83" s="5">
        <v>107488</v>
      </c>
      <c r="J83" s="5" t="s">
        <v>37</v>
      </c>
      <c r="K83" s="5" t="s">
        <v>228</v>
      </c>
      <c r="L83" s="15" t="s">
        <v>39</v>
      </c>
      <c r="M83" s="14" t="str">
        <f>_xlfn.XLOOKUP(F83,Department!$A$2:$A$6,Department!$B$2:$B$6)</f>
        <v>IT</v>
      </c>
      <c r="N83" s="22">
        <f>_xlfn.XLOOKUP(A83,Performance!$A$2:$A$501,Performance!$C$2:$C$501)</f>
        <v>1</v>
      </c>
      <c r="O83" s="19" cm="1">
        <f t="array" ref="O83">_xlfn.IFS(N83=5,I83*15%,N83=4,I83*10%,N83=3,I83*7%,N83&lt;3,I83*5%)</f>
        <v>5374.4000000000005</v>
      </c>
    </row>
    <row r="84" spans="1:15">
      <c r="A84" s="4" t="s">
        <v>229</v>
      </c>
      <c r="B84" s="5" t="s">
        <v>48</v>
      </c>
      <c r="C84" s="5" t="s">
        <v>49</v>
      </c>
      <c r="D84" s="5" t="s">
        <v>19</v>
      </c>
      <c r="E84" s="5">
        <v>50</v>
      </c>
      <c r="F84" s="5" t="s">
        <v>35</v>
      </c>
      <c r="G84" s="5" t="s">
        <v>21</v>
      </c>
      <c r="H84" s="6">
        <v>44694</v>
      </c>
      <c r="I84" s="5">
        <v>53754</v>
      </c>
      <c r="J84" s="5" t="s">
        <v>37</v>
      </c>
      <c r="K84" s="5" t="s">
        <v>230</v>
      </c>
      <c r="L84" s="15" t="s">
        <v>39</v>
      </c>
      <c r="M84" s="14" t="str">
        <f>_xlfn.XLOOKUP(F84,Department!$A$2:$A$6,Department!$B$2:$B$6)</f>
        <v>Sales</v>
      </c>
      <c r="N84" s="22">
        <f>_xlfn.XLOOKUP(A84,Performance!$A$2:$A$501,Performance!$C$2:$C$501)</f>
        <v>3</v>
      </c>
      <c r="O84" s="19" cm="1">
        <f t="array" ref="O84">_xlfn.IFS(N84=5,I84*15%,N84=4,I84*10%,N84=3,I84*7%,N84&lt;3,I84*5%)</f>
        <v>3762.78</v>
      </c>
    </row>
    <row r="85" spans="1:15">
      <c r="A85" s="4" t="s">
        <v>231</v>
      </c>
      <c r="B85" s="5" t="s">
        <v>92</v>
      </c>
      <c r="C85" s="5" t="s">
        <v>117</v>
      </c>
      <c r="D85" s="5" t="s">
        <v>28</v>
      </c>
      <c r="E85" s="5">
        <v>47</v>
      </c>
      <c r="F85" s="5" t="s">
        <v>20</v>
      </c>
      <c r="G85" s="5" t="s">
        <v>36</v>
      </c>
      <c r="H85" s="6">
        <v>44598</v>
      </c>
      <c r="I85" s="5">
        <v>99891</v>
      </c>
      <c r="J85" s="5" t="s">
        <v>37</v>
      </c>
      <c r="K85" s="5" t="s">
        <v>232</v>
      </c>
      <c r="L85" s="15" t="s">
        <v>39</v>
      </c>
      <c r="M85" s="14" t="str">
        <f>_xlfn.XLOOKUP(F85,Department!$A$2:$A$6,Department!$B$2:$B$6)</f>
        <v>HR</v>
      </c>
      <c r="N85" s="22">
        <f>_xlfn.XLOOKUP(A85,Performance!$A$2:$A$501,Performance!$C$2:$C$501)</f>
        <v>2</v>
      </c>
      <c r="O85" s="19" cm="1">
        <f t="array" ref="O85">_xlfn.IFS(N85=5,I85*15%,N85=4,I85*10%,N85=3,I85*7%,N85&lt;3,I85*5%)</f>
        <v>4994.55</v>
      </c>
    </row>
    <row r="86" spans="1:15">
      <c r="A86" s="4" t="s">
        <v>233</v>
      </c>
      <c r="B86" s="5" t="s">
        <v>58</v>
      </c>
      <c r="C86" s="5" t="s">
        <v>89</v>
      </c>
      <c r="D86" s="5" t="s">
        <v>28</v>
      </c>
      <c r="E86" s="5">
        <v>37</v>
      </c>
      <c r="F86" s="5" t="s">
        <v>35</v>
      </c>
      <c r="G86" s="5" t="s">
        <v>30</v>
      </c>
      <c r="H86" s="6">
        <v>45488</v>
      </c>
      <c r="I86" s="5">
        <v>109363</v>
      </c>
      <c r="J86" s="5" t="s">
        <v>62</v>
      </c>
      <c r="K86" s="5" t="s">
        <v>234</v>
      </c>
      <c r="L86" s="15" t="s">
        <v>39</v>
      </c>
      <c r="M86" s="14" t="str">
        <f>_xlfn.XLOOKUP(F86,Department!$A$2:$A$6,Department!$B$2:$B$6)</f>
        <v>Sales</v>
      </c>
      <c r="N86" s="22">
        <f>_xlfn.XLOOKUP(A86,Performance!$A$2:$A$501,Performance!$C$2:$C$501)</f>
        <v>4</v>
      </c>
      <c r="O86" s="19" cm="1">
        <f t="array" ref="O86">_xlfn.IFS(N86=5,I86*15%,N86=4,I86*10%,N86=3,I86*7%,N86&lt;3,I86*5%)</f>
        <v>10936.300000000001</v>
      </c>
    </row>
    <row r="87" spans="1:15">
      <c r="A87" s="4" t="s">
        <v>235</v>
      </c>
      <c r="B87" s="5" t="s">
        <v>61</v>
      </c>
      <c r="C87" s="5" t="s">
        <v>80</v>
      </c>
      <c r="D87" s="5" t="s">
        <v>28</v>
      </c>
      <c r="E87" s="5">
        <v>26</v>
      </c>
      <c r="F87" s="5" t="s">
        <v>43</v>
      </c>
      <c r="G87" s="5" t="s">
        <v>44</v>
      </c>
      <c r="H87" s="6">
        <v>43784</v>
      </c>
      <c r="I87" s="5">
        <v>57248</v>
      </c>
      <c r="J87" s="5" t="s">
        <v>22</v>
      </c>
      <c r="K87" s="5" t="s">
        <v>236</v>
      </c>
      <c r="L87" s="15" t="s">
        <v>24</v>
      </c>
      <c r="M87" s="14" t="str">
        <f>_xlfn.XLOOKUP(F87,Department!$A$2:$A$6,Department!$B$2:$B$6)</f>
        <v>Marketing</v>
      </c>
      <c r="N87" s="22">
        <f>_xlfn.XLOOKUP(A87,Performance!$A$2:$A$501,Performance!$C$2:$C$501)</f>
        <v>3</v>
      </c>
      <c r="O87" s="19" cm="1">
        <f t="array" ref="O87">_xlfn.IFS(N87=5,I87*15%,N87=4,I87*10%,N87=3,I87*7%,N87&lt;3,I87*5%)</f>
        <v>4007.3600000000006</v>
      </c>
    </row>
    <row r="88" spans="1:15">
      <c r="A88" s="4" t="s">
        <v>237</v>
      </c>
      <c r="B88" s="5" t="s">
        <v>48</v>
      </c>
      <c r="C88" s="5" t="s">
        <v>93</v>
      </c>
      <c r="D88" s="5" t="s">
        <v>19</v>
      </c>
      <c r="E88" s="5">
        <v>28</v>
      </c>
      <c r="F88" s="5" t="s">
        <v>54</v>
      </c>
      <c r="G88" s="5" t="s">
        <v>102</v>
      </c>
      <c r="H88" s="6">
        <v>44733</v>
      </c>
      <c r="I88" s="5">
        <v>89625</v>
      </c>
      <c r="J88" s="5" t="s">
        <v>62</v>
      </c>
      <c r="K88" s="5" t="s">
        <v>238</v>
      </c>
      <c r="L88" s="15" t="s">
        <v>39</v>
      </c>
      <c r="M88" s="14" t="str">
        <f>_xlfn.XLOOKUP(F88,Department!$A$2:$A$6,Department!$B$2:$B$6)</f>
        <v>Finance</v>
      </c>
      <c r="N88" s="22">
        <f>_xlfn.XLOOKUP(A88,Performance!$A$2:$A$501,Performance!$C$2:$C$501)</f>
        <v>5</v>
      </c>
      <c r="O88" s="19" cm="1">
        <f t="array" ref="O88">_xlfn.IFS(N88=5,I88*15%,N88=4,I88*10%,N88=3,I88*7%,N88&lt;3,I88*5%)</f>
        <v>13443.75</v>
      </c>
    </row>
    <row r="89" spans="1:15">
      <c r="A89" s="4" t="s">
        <v>239</v>
      </c>
      <c r="B89" s="5" t="s">
        <v>53</v>
      </c>
      <c r="C89" s="5" t="s">
        <v>49</v>
      </c>
      <c r="D89" s="5" t="s">
        <v>19</v>
      </c>
      <c r="E89" s="5">
        <v>44</v>
      </c>
      <c r="F89" s="5" t="s">
        <v>43</v>
      </c>
      <c r="G89" s="5" t="s">
        <v>21</v>
      </c>
      <c r="H89" s="6">
        <v>43906</v>
      </c>
      <c r="I89" s="5">
        <v>104211</v>
      </c>
      <c r="J89" s="5" t="s">
        <v>67</v>
      </c>
      <c r="K89" s="5" t="s">
        <v>240</v>
      </c>
      <c r="L89" s="15" t="s">
        <v>39</v>
      </c>
      <c r="M89" s="14" t="str">
        <f>_xlfn.XLOOKUP(F89,Department!$A$2:$A$6,Department!$B$2:$B$6)</f>
        <v>Marketing</v>
      </c>
      <c r="N89" s="22">
        <f>_xlfn.XLOOKUP(A89,Performance!$A$2:$A$501,Performance!$C$2:$C$501)</f>
        <v>5</v>
      </c>
      <c r="O89" s="19" cm="1">
        <f t="array" ref="O89">_xlfn.IFS(N89=5,I89*15%,N89=4,I89*10%,N89=3,I89*7%,N89&lt;3,I89*5%)</f>
        <v>15631.65</v>
      </c>
    </row>
    <row r="90" spans="1:15">
      <c r="A90" s="4" t="s">
        <v>241</v>
      </c>
      <c r="B90" s="5" t="s">
        <v>58</v>
      </c>
      <c r="C90" s="5" t="s">
        <v>89</v>
      </c>
      <c r="D90" s="5" t="s">
        <v>19</v>
      </c>
      <c r="E90" s="5">
        <v>36</v>
      </c>
      <c r="F90" s="5" t="s">
        <v>29</v>
      </c>
      <c r="G90" s="5" t="s">
        <v>36</v>
      </c>
      <c r="H90" s="6">
        <v>43975</v>
      </c>
      <c r="I90" s="5">
        <v>82819</v>
      </c>
      <c r="J90" s="5" t="s">
        <v>37</v>
      </c>
      <c r="K90" s="5" t="s">
        <v>242</v>
      </c>
      <c r="L90" s="15" t="s">
        <v>39</v>
      </c>
      <c r="M90" s="14" t="str">
        <f>_xlfn.XLOOKUP(F90,Department!$A$2:$A$6,Department!$B$2:$B$6)</f>
        <v>IT</v>
      </c>
      <c r="N90" s="22">
        <f>_xlfn.XLOOKUP(A90,Performance!$A$2:$A$501,Performance!$C$2:$C$501)</f>
        <v>1</v>
      </c>
      <c r="O90" s="19" cm="1">
        <f t="array" ref="O90">_xlfn.IFS(N90=5,I90*15%,N90=4,I90*10%,N90=3,I90*7%,N90&lt;3,I90*5%)</f>
        <v>4140.95</v>
      </c>
    </row>
    <row r="91" spans="1:15">
      <c r="A91" s="4" t="s">
        <v>243</v>
      </c>
      <c r="B91" s="5" t="s">
        <v>34</v>
      </c>
      <c r="C91" s="5" t="s">
        <v>89</v>
      </c>
      <c r="D91" s="5" t="s">
        <v>19</v>
      </c>
      <c r="E91" s="5">
        <v>54</v>
      </c>
      <c r="F91" s="5" t="s">
        <v>29</v>
      </c>
      <c r="G91" s="5" t="s">
        <v>36</v>
      </c>
      <c r="H91" s="6">
        <v>45540</v>
      </c>
      <c r="I91" s="5">
        <v>105392</v>
      </c>
      <c r="J91" s="5" t="s">
        <v>81</v>
      </c>
      <c r="K91" s="5" t="s">
        <v>244</v>
      </c>
      <c r="L91" s="15" t="s">
        <v>24</v>
      </c>
      <c r="M91" s="14" t="str">
        <f>_xlfn.XLOOKUP(F91,Department!$A$2:$A$6,Department!$B$2:$B$6)</f>
        <v>IT</v>
      </c>
      <c r="N91" s="22">
        <f>_xlfn.XLOOKUP(A91,Performance!$A$2:$A$501,Performance!$C$2:$C$501)</f>
        <v>3</v>
      </c>
      <c r="O91" s="19" cm="1">
        <f t="array" ref="O91">_xlfn.IFS(N91=5,I91*15%,N91=4,I91*10%,N91=3,I91*7%,N91&lt;3,I91*5%)</f>
        <v>7377.4400000000005</v>
      </c>
    </row>
    <row r="92" spans="1:15">
      <c r="A92" s="4" t="s">
        <v>245</v>
      </c>
      <c r="B92" s="5" t="s">
        <v>61</v>
      </c>
      <c r="C92" s="5" t="s">
        <v>27</v>
      </c>
      <c r="D92" s="5" t="s">
        <v>28</v>
      </c>
      <c r="E92" s="5">
        <v>49</v>
      </c>
      <c r="F92" s="5" t="s">
        <v>54</v>
      </c>
      <c r="G92" s="5" t="s">
        <v>21</v>
      </c>
      <c r="H92" s="6">
        <v>44417</v>
      </c>
      <c r="I92" s="5">
        <v>52568</v>
      </c>
      <c r="J92" s="5" t="s">
        <v>37</v>
      </c>
      <c r="K92" s="5" t="s">
        <v>246</v>
      </c>
      <c r="L92" s="15" t="s">
        <v>24</v>
      </c>
      <c r="M92" s="14" t="str">
        <f>_xlfn.XLOOKUP(F92,Department!$A$2:$A$6,Department!$B$2:$B$6)</f>
        <v>Finance</v>
      </c>
      <c r="N92" s="22">
        <f>_xlfn.XLOOKUP(A92,Performance!$A$2:$A$501,Performance!$C$2:$C$501)</f>
        <v>1</v>
      </c>
      <c r="O92" s="19" cm="1">
        <f t="array" ref="O92">_xlfn.IFS(N92=5,I92*15%,N92=4,I92*10%,N92=3,I92*7%,N92&lt;3,I92*5%)</f>
        <v>2628.4</v>
      </c>
    </row>
    <row r="93" spans="1:15">
      <c r="A93" s="4" t="s">
        <v>247</v>
      </c>
      <c r="B93" s="5" t="s">
        <v>74</v>
      </c>
      <c r="C93" s="5" t="s">
        <v>89</v>
      </c>
      <c r="D93" s="5" t="s">
        <v>19</v>
      </c>
      <c r="E93" s="5">
        <v>35</v>
      </c>
      <c r="F93" s="5" t="s">
        <v>29</v>
      </c>
      <c r="G93" s="5" t="s">
        <v>21</v>
      </c>
      <c r="H93" s="6">
        <v>44968</v>
      </c>
      <c r="I93" s="5">
        <v>119403</v>
      </c>
      <c r="J93" s="5" t="s">
        <v>62</v>
      </c>
      <c r="K93" s="5" t="s">
        <v>248</v>
      </c>
      <c r="L93" s="15" t="s">
        <v>39</v>
      </c>
      <c r="M93" s="14" t="str">
        <f>_xlfn.XLOOKUP(F93,Department!$A$2:$A$6,Department!$B$2:$B$6)</f>
        <v>IT</v>
      </c>
      <c r="N93" s="22">
        <f>_xlfn.XLOOKUP(A93,Performance!$A$2:$A$501,Performance!$C$2:$C$501)</f>
        <v>3</v>
      </c>
      <c r="O93" s="19" cm="1">
        <f t="array" ref="O93">_xlfn.IFS(N93=5,I93*15%,N93=4,I93*10%,N93=3,I93*7%,N93&lt;3,I93*5%)</f>
        <v>8358.2100000000009</v>
      </c>
    </row>
    <row r="94" spans="1:15">
      <c r="A94" s="4" t="s">
        <v>249</v>
      </c>
      <c r="B94" s="5" t="s">
        <v>53</v>
      </c>
      <c r="C94" s="5" t="s">
        <v>80</v>
      </c>
      <c r="D94" s="5" t="s">
        <v>19</v>
      </c>
      <c r="E94" s="5">
        <v>44</v>
      </c>
      <c r="F94" s="5" t="s">
        <v>54</v>
      </c>
      <c r="G94" s="5" t="s">
        <v>36</v>
      </c>
      <c r="H94" s="6">
        <v>44059</v>
      </c>
      <c r="I94" s="5">
        <v>54883</v>
      </c>
      <c r="J94" s="5" t="s">
        <v>37</v>
      </c>
      <c r="K94" s="5" t="s">
        <v>250</v>
      </c>
      <c r="L94" s="15" t="s">
        <v>39</v>
      </c>
      <c r="M94" s="14" t="str">
        <f>_xlfn.XLOOKUP(F94,Department!$A$2:$A$6,Department!$B$2:$B$6)</f>
        <v>Finance</v>
      </c>
      <c r="N94" s="22">
        <f>_xlfn.XLOOKUP(A94,Performance!$A$2:$A$501,Performance!$C$2:$C$501)</f>
        <v>2</v>
      </c>
      <c r="O94" s="19" cm="1">
        <f t="array" ref="O94">_xlfn.IFS(N94=5,I94*15%,N94=4,I94*10%,N94=3,I94*7%,N94&lt;3,I94*5%)</f>
        <v>2744.15</v>
      </c>
    </row>
    <row r="95" spans="1:15">
      <c r="A95" s="4" t="s">
        <v>251</v>
      </c>
      <c r="B95" s="5" t="s">
        <v>53</v>
      </c>
      <c r="C95" s="5" t="s">
        <v>80</v>
      </c>
      <c r="D95" s="5" t="s">
        <v>19</v>
      </c>
      <c r="E95" s="5">
        <v>44</v>
      </c>
      <c r="F95" s="5" t="s">
        <v>20</v>
      </c>
      <c r="G95" s="5" t="s">
        <v>36</v>
      </c>
      <c r="H95" s="6">
        <v>45188</v>
      </c>
      <c r="I95" s="5">
        <v>83855</v>
      </c>
      <c r="J95" s="5" t="s">
        <v>37</v>
      </c>
      <c r="K95" s="5" t="s">
        <v>252</v>
      </c>
      <c r="L95" s="15" t="s">
        <v>39</v>
      </c>
      <c r="M95" s="14" t="str">
        <f>_xlfn.XLOOKUP(F95,Department!$A$2:$A$6,Department!$B$2:$B$6)</f>
        <v>HR</v>
      </c>
      <c r="N95" s="22">
        <f>_xlfn.XLOOKUP(A95,Performance!$A$2:$A$501,Performance!$C$2:$C$501)</f>
        <v>1</v>
      </c>
      <c r="O95" s="19" cm="1">
        <f t="array" ref="O95">_xlfn.IFS(N95=5,I95*15%,N95=4,I95*10%,N95=3,I95*7%,N95&lt;3,I95*5%)</f>
        <v>4192.75</v>
      </c>
    </row>
    <row r="96" spans="1:15">
      <c r="A96" s="4" t="s">
        <v>253</v>
      </c>
      <c r="B96" s="5" t="s">
        <v>92</v>
      </c>
      <c r="C96" s="5" t="s">
        <v>66</v>
      </c>
      <c r="D96" s="5" t="s">
        <v>28</v>
      </c>
      <c r="E96" s="5">
        <v>53</v>
      </c>
      <c r="F96" s="5" t="s">
        <v>35</v>
      </c>
      <c r="G96" s="5" t="s">
        <v>44</v>
      </c>
      <c r="H96" s="6">
        <v>44710</v>
      </c>
      <c r="I96" s="5">
        <v>43725</v>
      </c>
      <c r="J96" s="5" t="s">
        <v>67</v>
      </c>
      <c r="K96" s="5" t="s">
        <v>254</v>
      </c>
      <c r="L96" s="15" t="s">
        <v>24</v>
      </c>
      <c r="M96" s="14" t="str">
        <f>_xlfn.XLOOKUP(F96,Department!$A$2:$A$6,Department!$B$2:$B$6)</f>
        <v>Sales</v>
      </c>
      <c r="N96" s="22">
        <f>_xlfn.XLOOKUP(A96,Performance!$A$2:$A$501,Performance!$C$2:$C$501)</f>
        <v>2</v>
      </c>
      <c r="O96" s="19" cm="1">
        <f t="array" ref="O96">_xlfn.IFS(N96=5,I96*15%,N96=4,I96*10%,N96=3,I96*7%,N96&lt;3,I96*5%)</f>
        <v>2186.25</v>
      </c>
    </row>
    <row r="97" spans="1:15">
      <c r="A97" s="4" t="s">
        <v>255</v>
      </c>
      <c r="B97" s="5" t="s">
        <v>58</v>
      </c>
      <c r="C97" s="5" t="s">
        <v>49</v>
      </c>
      <c r="D97" s="5" t="s">
        <v>19</v>
      </c>
      <c r="E97" s="5">
        <v>24</v>
      </c>
      <c r="F97" s="5" t="s">
        <v>35</v>
      </c>
      <c r="G97" s="5" t="s">
        <v>44</v>
      </c>
      <c r="H97" s="6">
        <v>44466</v>
      </c>
      <c r="I97" s="5">
        <v>104506</v>
      </c>
      <c r="J97" s="5" t="s">
        <v>67</v>
      </c>
      <c r="K97" s="5" t="s">
        <v>256</v>
      </c>
      <c r="L97" s="15" t="s">
        <v>24</v>
      </c>
      <c r="M97" s="14" t="str">
        <f>_xlfn.XLOOKUP(F97,Department!$A$2:$A$6,Department!$B$2:$B$6)</f>
        <v>Sales</v>
      </c>
      <c r="N97" s="22">
        <f>_xlfn.XLOOKUP(A97,Performance!$A$2:$A$501,Performance!$C$2:$C$501)</f>
        <v>4</v>
      </c>
      <c r="O97" s="19" cm="1">
        <f t="array" ref="O97">_xlfn.IFS(N97=5,I97*15%,N97=4,I97*10%,N97=3,I97*7%,N97&lt;3,I97*5%)</f>
        <v>10450.6</v>
      </c>
    </row>
    <row r="98" spans="1:15">
      <c r="A98" s="4" t="s">
        <v>257</v>
      </c>
      <c r="B98" s="5" t="s">
        <v>42</v>
      </c>
      <c r="C98" s="5" t="s">
        <v>89</v>
      </c>
      <c r="D98" s="5" t="s">
        <v>19</v>
      </c>
      <c r="E98" s="5">
        <v>45</v>
      </c>
      <c r="F98" s="5" t="s">
        <v>29</v>
      </c>
      <c r="G98" s="5" t="s">
        <v>44</v>
      </c>
      <c r="H98" s="6">
        <v>44516</v>
      </c>
      <c r="I98" s="5">
        <v>36873</v>
      </c>
      <c r="J98" s="5" t="s">
        <v>67</v>
      </c>
      <c r="K98" s="5" t="s">
        <v>258</v>
      </c>
      <c r="L98" s="15" t="s">
        <v>39</v>
      </c>
      <c r="M98" s="14" t="str">
        <f>_xlfn.XLOOKUP(F98,Department!$A$2:$A$6,Department!$B$2:$B$6)</f>
        <v>IT</v>
      </c>
      <c r="N98" s="22">
        <f>_xlfn.XLOOKUP(A98,Performance!$A$2:$A$501,Performance!$C$2:$C$501)</f>
        <v>2</v>
      </c>
      <c r="O98" s="19" cm="1">
        <f t="array" ref="O98">_xlfn.IFS(N98=5,I98*15%,N98=4,I98*10%,N98=3,I98*7%,N98&lt;3,I98*5%)</f>
        <v>1843.65</v>
      </c>
    </row>
    <row r="99" spans="1:15">
      <c r="A99" s="4" t="s">
        <v>259</v>
      </c>
      <c r="B99" s="5" t="s">
        <v>17</v>
      </c>
      <c r="C99" s="5" t="s">
        <v>89</v>
      </c>
      <c r="D99" s="5" t="s">
        <v>28</v>
      </c>
      <c r="E99" s="5">
        <v>25</v>
      </c>
      <c r="F99" s="5" t="s">
        <v>43</v>
      </c>
      <c r="G99" s="5" t="s">
        <v>44</v>
      </c>
      <c r="H99" s="6">
        <v>44364</v>
      </c>
      <c r="I99" s="5">
        <v>50051</v>
      </c>
      <c r="J99" s="5" t="s">
        <v>22</v>
      </c>
      <c r="K99" s="5" t="s">
        <v>260</v>
      </c>
      <c r="L99" s="15" t="s">
        <v>24</v>
      </c>
      <c r="M99" s="14" t="str">
        <f>_xlfn.XLOOKUP(F99,Department!$A$2:$A$6,Department!$B$2:$B$6)</f>
        <v>Marketing</v>
      </c>
      <c r="N99" s="22">
        <f>_xlfn.XLOOKUP(A99,Performance!$A$2:$A$501,Performance!$C$2:$C$501)</f>
        <v>2</v>
      </c>
      <c r="O99" s="19" cm="1">
        <f t="array" ref="O99">_xlfn.IFS(N99=5,I99*15%,N99=4,I99*10%,N99=3,I99*7%,N99&lt;3,I99*5%)</f>
        <v>2502.5500000000002</v>
      </c>
    </row>
    <row r="100" spans="1:15">
      <c r="A100" s="4" t="s">
        <v>261</v>
      </c>
      <c r="B100" s="5" t="s">
        <v>42</v>
      </c>
      <c r="C100" s="5" t="s">
        <v>80</v>
      </c>
      <c r="D100" s="5" t="s">
        <v>28</v>
      </c>
      <c r="E100" s="5">
        <v>42</v>
      </c>
      <c r="F100" s="5" t="s">
        <v>35</v>
      </c>
      <c r="G100" s="5" t="s">
        <v>44</v>
      </c>
      <c r="H100" s="6">
        <v>44671</v>
      </c>
      <c r="I100" s="5">
        <v>42571</v>
      </c>
      <c r="J100" s="5" t="s">
        <v>37</v>
      </c>
      <c r="K100" s="5" t="s">
        <v>262</v>
      </c>
      <c r="L100" s="15" t="s">
        <v>39</v>
      </c>
      <c r="M100" s="14" t="str">
        <f>_xlfn.XLOOKUP(F100,Department!$A$2:$A$6,Department!$B$2:$B$6)</f>
        <v>Sales</v>
      </c>
      <c r="N100" s="22">
        <f>_xlfn.XLOOKUP(A100,Performance!$A$2:$A$501,Performance!$C$2:$C$501)</f>
        <v>4</v>
      </c>
      <c r="O100" s="19" cm="1">
        <f t="array" ref="O100">_xlfn.IFS(N100=5,I100*15%,N100=4,I100*10%,N100=3,I100*7%,N100&lt;3,I100*5%)</f>
        <v>4257.1000000000004</v>
      </c>
    </row>
    <row r="101" spans="1:15">
      <c r="A101" s="4" t="s">
        <v>263</v>
      </c>
      <c r="B101" s="5" t="s">
        <v>42</v>
      </c>
      <c r="C101" s="5" t="s">
        <v>27</v>
      </c>
      <c r="D101" s="5" t="s">
        <v>28</v>
      </c>
      <c r="E101" s="5">
        <v>60</v>
      </c>
      <c r="F101" s="5" t="s">
        <v>54</v>
      </c>
      <c r="G101" s="5" t="s">
        <v>21</v>
      </c>
      <c r="H101" s="6">
        <v>43601</v>
      </c>
      <c r="I101" s="5">
        <v>60616</v>
      </c>
      <c r="J101" s="5" t="s">
        <v>81</v>
      </c>
      <c r="K101" s="5" t="s">
        <v>264</v>
      </c>
      <c r="L101" s="15" t="s">
        <v>39</v>
      </c>
      <c r="M101" s="14" t="str">
        <f>_xlfn.XLOOKUP(F101,Department!$A$2:$A$6,Department!$B$2:$B$6)</f>
        <v>Finance</v>
      </c>
      <c r="N101" s="22">
        <f>_xlfn.XLOOKUP(A101,Performance!$A$2:$A$501,Performance!$C$2:$C$501)</f>
        <v>1</v>
      </c>
      <c r="O101" s="19" cm="1">
        <f t="array" ref="O101">_xlfn.IFS(N101=5,I101*15%,N101=4,I101*10%,N101=3,I101*7%,N101&lt;3,I101*5%)</f>
        <v>3030.8</v>
      </c>
    </row>
    <row r="102" spans="1:15">
      <c r="A102" s="4" t="s">
        <v>265</v>
      </c>
      <c r="B102" s="5" t="s">
        <v>48</v>
      </c>
      <c r="C102" s="5" t="s">
        <v>93</v>
      </c>
      <c r="D102" s="5" t="s">
        <v>28</v>
      </c>
      <c r="E102" s="5">
        <v>57</v>
      </c>
      <c r="F102" s="5" t="s">
        <v>29</v>
      </c>
      <c r="G102" s="5" t="s">
        <v>36</v>
      </c>
      <c r="H102" s="6">
        <v>44302</v>
      </c>
      <c r="I102" s="5">
        <v>75929</v>
      </c>
      <c r="J102" s="5" t="s">
        <v>22</v>
      </c>
      <c r="K102" s="5" t="s">
        <v>266</v>
      </c>
      <c r="L102" s="15" t="s">
        <v>39</v>
      </c>
      <c r="M102" s="14" t="str">
        <f>_xlfn.XLOOKUP(F102,Department!$A$2:$A$6,Department!$B$2:$B$6)</f>
        <v>IT</v>
      </c>
      <c r="N102" s="22">
        <f>_xlfn.XLOOKUP(A102,Performance!$A$2:$A$501,Performance!$C$2:$C$501)</f>
        <v>5</v>
      </c>
      <c r="O102" s="19" cm="1">
        <f t="array" ref="O102">_xlfn.IFS(N102=5,I102*15%,N102=4,I102*10%,N102=3,I102*7%,N102&lt;3,I102*5%)</f>
        <v>11389.35</v>
      </c>
    </row>
    <row r="103" spans="1:15">
      <c r="A103" s="4" t="s">
        <v>267</v>
      </c>
      <c r="B103" s="5" t="s">
        <v>74</v>
      </c>
      <c r="C103" s="5" t="s">
        <v>84</v>
      </c>
      <c r="D103" s="5" t="s">
        <v>28</v>
      </c>
      <c r="E103" s="5">
        <v>43</v>
      </c>
      <c r="F103" s="5" t="s">
        <v>54</v>
      </c>
      <c r="G103" s="5" t="s">
        <v>102</v>
      </c>
      <c r="H103" s="6">
        <v>44934</v>
      </c>
      <c r="I103" s="5">
        <v>106165</v>
      </c>
      <c r="J103" s="5" t="s">
        <v>81</v>
      </c>
      <c r="K103" s="5" t="s">
        <v>268</v>
      </c>
      <c r="L103" s="15" t="s">
        <v>39</v>
      </c>
      <c r="M103" s="14" t="str">
        <f>_xlfn.XLOOKUP(F103,Department!$A$2:$A$6,Department!$B$2:$B$6)</f>
        <v>Finance</v>
      </c>
      <c r="N103" s="22">
        <f>_xlfn.XLOOKUP(A103,Performance!$A$2:$A$501,Performance!$C$2:$C$501)</f>
        <v>5</v>
      </c>
      <c r="O103" s="19" cm="1">
        <f t="array" ref="O103">_xlfn.IFS(N103=5,I103*15%,N103=4,I103*10%,N103=3,I103*7%,N103&lt;3,I103*5%)</f>
        <v>15924.75</v>
      </c>
    </row>
    <row r="104" spans="1:15">
      <c r="A104" s="4" t="s">
        <v>269</v>
      </c>
      <c r="B104" s="5" t="s">
        <v>53</v>
      </c>
      <c r="C104" s="5" t="s">
        <v>27</v>
      </c>
      <c r="D104" s="5" t="s">
        <v>28</v>
      </c>
      <c r="E104" s="5">
        <v>23</v>
      </c>
      <c r="F104" s="5" t="s">
        <v>54</v>
      </c>
      <c r="G104" s="5" t="s">
        <v>30</v>
      </c>
      <c r="H104" s="6">
        <v>45359</v>
      </c>
      <c r="I104" s="5">
        <v>44946</v>
      </c>
      <c r="J104" s="5" t="s">
        <v>62</v>
      </c>
      <c r="K104" s="5" t="s">
        <v>270</v>
      </c>
      <c r="L104" s="15" t="s">
        <v>39</v>
      </c>
      <c r="M104" s="14" t="str">
        <f>_xlfn.XLOOKUP(F104,Department!$A$2:$A$6,Department!$B$2:$B$6)</f>
        <v>Finance</v>
      </c>
      <c r="N104" s="22">
        <f>_xlfn.XLOOKUP(A104,Performance!$A$2:$A$501,Performance!$C$2:$C$501)</f>
        <v>5</v>
      </c>
      <c r="O104" s="19" cm="1">
        <f t="array" ref="O104">_xlfn.IFS(N104=5,I104*15%,N104=4,I104*10%,N104=3,I104*7%,N104&lt;3,I104*5%)</f>
        <v>6741.9</v>
      </c>
    </row>
    <row r="105" spans="1:15">
      <c r="A105" s="4" t="s">
        <v>271</v>
      </c>
      <c r="B105" s="5" t="s">
        <v>34</v>
      </c>
      <c r="C105" s="5" t="s">
        <v>89</v>
      </c>
      <c r="D105" s="5" t="s">
        <v>19</v>
      </c>
      <c r="E105" s="5">
        <v>32</v>
      </c>
      <c r="F105" s="5" t="s">
        <v>20</v>
      </c>
      <c r="G105" s="5" t="s">
        <v>30</v>
      </c>
      <c r="H105" s="6">
        <v>45511</v>
      </c>
      <c r="I105" s="5">
        <v>64572</v>
      </c>
      <c r="J105" s="5" t="s">
        <v>81</v>
      </c>
      <c r="K105" s="5" t="s">
        <v>272</v>
      </c>
      <c r="L105" s="15" t="s">
        <v>24</v>
      </c>
      <c r="M105" s="14" t="str">
        <f>_xlfn.XLOOKUP(F105,Department!$A$2:$A$6,Department!$B$2:$B$6)</f>
        <v>HR</v>
      </c>
      <c r="N105" s="22">
        <f>_xlfn.XLOOKUP(A105,Performance!$A$2:$A$501,Performance!$C$2:$C$501)</f>
        <v>3</v>
      </c>
      <c r="O105" s="19" cm="1">
        <f t="array" ref="O105">_xlfn.IFS(N105=5,I105*15%,N105=4,I105*10%,N105=3,I105*7%,N105&lt;3,I105*5%)</f>
        <v>4520.0400000000009</v>
      </c>
    </row>
    <row r="106" spans="1:15">
      <c r="A106" s="4" t="s">
        <v>273</v>
      </c>
      <c r="B106" s="5" t="s">
        <v>92</v>
      </c>
      <c r="C106" s="5" t="s">
        <v>18</v>
      </c>
      <c r="D106" s="5" t="s">
        <v>28</v>
      </c>
      <c r="E106" s="5">
        <v>56</v>
      </c>
      <c r="F106" s="5" t="s">
        <v>20</v>
      </c>
      <c r="G106" s="5" t="s">
        <v>44</v>
      </c>
      <c r="H106" s="6">
        <v>43895</v>
      </c>
      <c r="I106" s="5">
        <v>74825</v>
      </c>
      <c r="J106" s="5" t="s">
        <v>81</v>
      </c>
      <c r="K106" s="5" t="s">
        <v>274</v>
      </c>
      <c r="L106" s="15" t="s">
        <v>24</v>
      </c>
      <c r="M106" s="14" t="str">
        <f>_xlfn.XLOOKUP(F106,Department!$A$2:$A$6,Department!$B$2:$B$6)</f>
        <v>HR</v>
      </c>
      <c r="N106" s="22">
        <f>_xlfn.XLOOKUP(A106,Performance!$A$2:$A$501,Performance!$C$2:$C$501)</f>
        <v>3</v>
      </c>
      <c r="O106" s="19" cm="1">
        <f t="array" ref="O106">_xlfn.IFS(N106=5,I106*15%,N106=4,I106*10%,N106=3,I106*7%,N106&lt;3,I106*5%)</f>
        <v>5237.7500000000009</v>
      </c>
    </row>
    <row r="107" spans="1:15">
      <c r="A107" s="4" t="s">
        <v>275</v>
      </c>
      <c r="B107" s="5" t="s">
        <v>126</v>
      </c>
      <c r="C107" s="5" t="s">
        <v>49</v>
      </c>
      <c r="D107" s="5" t="s">
        <v>28</v>
      </c>
      <c r="E107" s="5">
        <v>27</v>
      </c>
      <c r="F107" s="5" t="s">
        <v>54</v>
      </c>
      <c r="G107" s="5" t="s">
        <v>21</v>
      </c>
      <c r="H107" s="6">
        <v>44978</v>
      </c>
      <c r="I107" s="5">
        <v>52495</v>
      </c>
      <c r="J107" s="5" t="s">
        <v>67</v>
      </c>
      <c r="K107" s="5" t="s">
        <v>276</v>
      </c>
      <c r="L107" s="15" t="s">
        <v>24</v>
      </c>
      <c r="M107" s="14" t="str">
        <f>_xlfn.XLOOKUP(F107,Department!$A$2:$A$6,Department!$B$2:$B$6)</f>
        <v>Finance</v>
      </c>
      <c r="N107" s="22">
        <f>_xlfn.XLOOKUP(A107,Performance!$A$2:$A$501,Performance!$C$2:$C$501)</f>
        <v>5</v>
      </c>
      <c r="O107" s="19" cm="1">
        <f t="array" ref="O107">_xlfn.IFS(N107=5,I107*15%,N107=4,I107*10%,N107=3,I107*7%,N107&lt;3,I107*5%)</f>
        <v>7874.25</v>
      </c>
    </row>
    <row r="108" spans="1:15">
      <c r="A108" s="4" t="s">
        <v>277</v>
      </c>
      <c r="B108" s="5" t="s">
        <v>126</v>
      </c>
      <c r="C108" s="5" t="s">
        <v>66</v>
      </c>
      <c r="D108" s="5" t="s">
        <v>28</v>
      </c>
      <c r="E108" s="5">
        <v>27</v>
      </c>
      <c r="F108" s="5" t="s">
        <v>35</v>
      </c>
      <c r="G108" s="5" t="s">
        <v>21</v>
      </c>
      <c r="H108" s="6">
        <v>43582</v>
      </c>
      <c r="I108" s="5">
        <v>90958</v>
      </c>
      <c r="J108" s="5" t="s">
        <v>22</v>
      </c>
      <c r="K108" s="5" t="s">
        <v>278</v>
      </c>
      <c r="L108" s="15" t="s">
        <v>39</v>
      </c>
      <c r="M108" s="14" t="str">
        <f>_xlfn.XLOOKUP(F108,Department!$A$2:$A$6,Department!$B$2:$B$6)</f>
        <v>Sales</v>
      </c>
      <c r="N108" s="22">
        <f>_xlfn.XLOOKUP(A108,Performance!$A$2:$A$501,Performance!$C$2:$C$501)</f>
        <v>1</v>
      </c>
      <c r="O108" s="19" cm="1">
        <f t="array" ref="O108">_xlfn.IFS(N108=5,I108*15%,N108=4,I108*10%,N108=3,I108*7%,N108&lt;3,I108*5%)</f>
        <v>4547.9000000000005</v>
      </c>
    </row>
    <row r="109" spans="1:15">
      <c r="A109" s="4" t="s">
        <v>279</v>
      </c>
      <c r="B109" s="5" t="s">
        <v>126</v>
      </c>
      <c r="C109" s="5" t="s">
        <v>84</v>
      </c>
      <c r="D109" s="5" t="s">
        <v>19</v>
      </c>
      <c r="E109" s="5">
        <v>58</v>
      </c>
      <c r="F109" s="5" t="s">
        <v>43</v>
      </c>
      <c r="G109" s="5" t="s">
        <v>44</v>
      </c>
      <c r="H109" s="6">
        <v>43327</v>
      </c>
      <c r="I109" s="5">
        <v>51096</v>
      </c>
      <c r="J109" s="5" t="s">
        <v>22</v>
      </c>
      <c r="K109" s="5" t="s">
        <v>280</v>
      </c>
      <c r="L109" s="15" t="s">
        <v>39</v>
      </c>
      <c r="M109" s="14" t="str">
        <f>_xlfn.XLOOKUP(F109,Department!$A$2:$A$6,Department!$B$2:$B$6)</f>
        <v>Marketing</v>
      </c>
      <c r="N109" s="22">
        <f>_xlfn.XLOOKUP(A109,Performance!$A$2:$A$501,Performance!$C$2:$C$501)</f>
        <v>1</v>
      </c>
      <c r="O109" s="19" cm="1">
        <f t="array" ref="O109">_xlfn.IFS(N109=5,I109*15%,N109=4,I109*10%,N109=3,I109*7%,N109&lt;3,I109*5%)</f>
        <v>2554.8000000000002</v>
      </c>
    </row>
    <row r="110" spans="1:15">
      <c r="A110" s="4" t="s">
        <v>281</v>
      </c>
      <c r="B110" s="5" t="s">
        <v>61</v>
      </c>
      <c r="C110" s="5" t="s">
        <v>93</v>
      </c>
      <c r="D110" s="5" t="s">
        <v>19</v>
      </c>
      <c r="E110" s="5">
        <v>58</v>
      </c>
      <c r="F110" s="5" t="s">
        <v>54</v>
      </c>
      <c r="G110" s="5" t="s">
        <v>102</v>
      </c>
      <c r="H110" s="6">
        <v>43518</v>
      </c>
      <c r="I110" s="5">
        <v>90458</v>
      </c>
      <c r="J110" s="5" t="s">
        <v>22</v>
      </c>
      <c r="K110" s="5" t="s">
        <v>282</v>
      </c>
      <c r="L110" s="15" t="s">
        <v>24</v>
      </c>
      <c r="M110" s="14" t="str">
        <f>_xlfn.XLOOKUP(F110,Department!$A$2:$A$6,Department!$B$2:$B$6)</f>
        <v>Finance</v>
      </c>
      <c r="N110" s="22">
        <f>_xlfn.XLOOKUP(A110,Performance!$A$2:$A$501,Performance!$C$2:$C$501)</f>
        <v>3</v>
      </c>
      <c r="O110" s="19" cm="1">
        <f t="array" ref="O110">_xlfn.IFS(N110=5,I110*15%,N110=4,I110*10%,N110=3,I110*7%,N110&lt;3,I110*5%)</f>
        <v>6332.06</v>
      </c>
    </row>
    <row r="111" spans="1:15">
      <c r="A111" s="4" t="s">
        <v>283</v>
      </c>
      <c r="B111" s="5" t="s">
        <v>126</v>
      </c>
      <c r="C111" s="5" t="s">
        <v>117</v>
      </c>
      <c r="D111" s="5" t="s">
        <v>28</v>
      </c>
      <c r="E111" s="5">
        <v>39</v>
      </c>
      <c r="F111" s="5" t="s">
        <v>35</v>
      </c>
      <c r="G111" s="5" t="s">
        <v>21</v>
      </c>
      <c r="H111" s="6">
        <v>43537</v>
      </c>
      <c r="I111" s="5">
        <v>67338</v>
      </c>
      <c r="J111" s="5" t="s">
        <v>37</v>
      </c>
      <c r="K111" s="5" t="s">
        <v>284</v>
      </c>
      <c r="L111" s="15" t="s">
        <v>39</v>
      </c>
      <c r="M111" s="14" t="str">
        <f>_xlfn.XLOOKUP(F111,Department!$A$2:$A$6,Department!$B$2:$B$6)</f>
        <v>Sales</v>
      </c>
      <c r="N111" s="22">
        <f>_xlfn.XLOOKUP(A111,Performance!$A$2:$A$501,Performance!$C$2:$C$501)</f>
        <v>4</v>
      </c>
      <c r="O111" s="19" cm="1">
        <f t="array" ref="O111">_xlfn.IFS(N111=5,I111*15%,N111=4,I111*10%,N111=3,I111*7%,N111&lt;3,I111*5%)</f>
        <v>6733.8</v>
      </c>
    </row>
    <row r="112" spans="1:15">
      <c r="A112" s="4" t="s">
        <v>285</v>
      </c>
      <c r="B112" s="5" t="s">
        <v>17</v>
      </c>
      <c r="C112" s="5" t="s">
        <v>18</v>
      </c>
      <c r="D112" s="5" t="s">
        <v>19</v>
      </c>
      <c r="E112" s="5">
        <v>40</v>
      </c>
      <c r="F112" s="5" t="s">
        <v>29</v>
      </c>
      <c r="G112" s="5" t="s">
        <v>44</v>
      </c>
      <c r="H112" s="6">
        <v>44470</v>
      </c>
      <c r="I112" s="5">
        <v>106100</v>
      </c>
      <c r="J112" s="5" t="s">
        <v>37</v>
      </c>
      <c r="K112" s="5" t="s">
        <v>286</v>
      </c>
      <c r="L112" s="15" t="s">
        <v>39</v>
      </c>
      <c r="M112" s="14" t="str">
        <f>_xlfn.XLOOKUP(F112,Department!$A$2:$A$6,Department!$B$2:$B$6)</f>
        <v>IT</v>
      </c>
      <c r="N112" s="22">
        <f>_xlfn.XLOOKUP(A112,Performance!$A$2:$A$501,Performance!$C$2:$C$501)</f>
        <v>5</v>
      </c>
      <c r="O112" s="19" cm="1">
        <f t="array" ref="O112">_xlfn.IFS(N112=5,I112*15%,N112=4,I112*10%,N112=3,I112*7%,N112&lt;3,I112*5%)</f>
        <v>15915</v>
      </c>
    </row>
    <row r="113" spans="1:15">
      <c r="A113" s="4" t="s">
        <v>287</v>
      </c>
      <c r="B113" s="5" t="s">
        <v>17</v>
      </c>
      <c r="C113" s="5" t="s">
        <v>80</v>
      </c>
      <c r="D113" s="5" t="s">
        <v>28</v>
      </c>
      <c r="E113" s="5">
        <v>45</v>
      </c>
      <c r="F113" s="5" t="s">
        <v>20</v>
      </c>
      <c r="G113" s="5" t="s">
        <v>21</v>
      </c>
      <c r="H113" s="6">
        <v>44497</v>
      </c>
      <c r="I113" s="5">
        <v>62840</v>
      </c>
      <c r="J113" s="5" t="s">
        <v>62</v>
      </c>
      <c r="K113" s="5" t="s">
        <v>288</v>
      </c>
      <c r="L113" s="15" t="s">
        <v>39</v>
      </c>
      <c r="M113" s="14" t="str">
        <f>_xlfn.XLOOKUP(F113,Department!$A$2:$A$6,Department!$B$2:$B$6)</f>
        <v>HR</v>
      </c>
      <c r="N113" s="22">
        <f>_xlfn.XLOOKUP(A113,Performance!$A$2:$A$501,Performance!$C$2:$C$501)</f>
        <v>2</v>
      </c>
      <c r="O113" s="19" cm="1">
        <f t="array" ref="O113">_xlfn.IFS(N113=5,I113*15%,N113=4,I113*10%,N113=3,I113*7%,N113&lt;3,I113*5%)</f>
        <v>3142</v>
      </c>
    </row>
    <row r="114" spans="1:15">
      <c r="A114" s="4" t="s">
        <v>289</v>
      </c>
      <c r="B114" s="5" t="s">
        <v>74</v>
      </c>
      <c r="C114" s="5" t="s">
        <v>117</v>
      </c>
      <c r="D114" s="5" t="s">
        <v>28</v>
      </c>
      <c r="E114" s="5">
        <v>48</v>
      </c>
      <c r="F114" s="5" t="s">
        <v>20</v>
      </c>
      <c r="G114" s="5" t="s">
        <v>36</v>
      </c>
      <c r="H114" s="6">
        <v>43274</v>
      </c>
      <c r="I114" s="5">
        <v>69569</v>
      </c>
      <c r="J114" s="5" t="s">
        <v>37</v>
      </c>
      <c r="K114" s="5" t="s">
        <v>290</v>
      </c>
      <c r="L114" s="15" t="s">
        <v>39</v>
      </c>
      <c r="M114" s="14" t="str">
        <f>_xlfn.XLOOKUP(F114,Department!$A$2:$A$6,Department!$B$2:$B$6)</f>
        <v>HR</v>
      </c>
      <c r="N114" s="22">
        <f>_xlfn.XLOOKUP(A114,Performance!$A$2:$A$501,Performance!$C$2:$C$501)</f>
        <v>5</v>
      </c>
      <c r="O114" s="19" cm="1">
        <f t="array" ref="O114">_xlfn.IFS(N114=5,I114*15%,N114=4,I114*10%,N114=3,I114*7%,N114&lt;3,I114*5%)</f>
        <v>10435.35</v>
      </c>
    </row>
    <row r="115" spans="1:15">
      <c r="A115" s="4" t="s">
        <v>291</v>
      </c>
      <c r="B115" s="5" t="s">
        <v>42</v>
      </c>
      <c r="C115" s="5" t="s">
        <v>93</v>
      </c>
      <c r="D115" s="5" t="s">
        <v>19</v>
      </c>
      <c r="E115" s="5">
        <v>23</v>
      </c>
      <c r="F115" s="5" t="s">
        <v>35</v>
      </c>
      <c r="G115" s="5" t="s">
        <v>21</v>
      </c>
      <c r="H115" s="6">
        <v>45482</v>
      </c>
      <c r="I115" s="5">
        <v>109099</v>
      </c>
      <c r="J115" s="5" t="s">
        <v>81</v>
      </c>
      <c r="K115" s="5" t="s">
        <v>292</v>
      </c>
      <c r="L115" s="15" t="s">
        <v>24</v>
      </c>
      <c r="M115" s="14" t="str">
        <f>_xlfn.XLOOKUP(F115,Department!$A$2:$A$6,Department!$B$2:$B$6)</f>
        <v>Sales</v>
      </c>
      <c r="N115" s="22">
        <f>_xlfn.XLOOKUP(A115,Performance!$A$2:$A$501,Performance!$C$2:$C$501)</f>
        <v>3</v>
      </c>
      <c r="O115" s="19" cm="1">
        <f t="array" ref="O115">_xlfn.IFS(N115=5,I115*15%,N115=4,I115*10%,N115=3,I115*7%,N115&lt;3,I115*5%)</f>
        <v>7636.93</v>
      </c>
    </row>
    <row r="116" spans="1:15">
      <c r="A116" s="4" t="s">
        <v>293</v>
      </c>
      <c r="B116" s="5" t="s">
        <v>58</v>
      </c>
      <c r="C116" s="5" t="s">
        <v>27</v>
      </c>
      <c r="D116" s="5" t="s">
        <v>19</v>
      </c>
      <c r="E116" s="5">
        <v>30</v>
      </c>
      <c r="F116" s="5" t="s">
        <v>29</v>
      </c>
      <c r="G116" s="5" t="s">
        <v>44</v>
      </c>
      <c r="H116" s="6">
        <v>44588</v>
      </c>
      <c r="I116" s="5">
        <v>74368</v>
      </c>
      <c r="J116" s="5" t="s">
        <v>62</v>
      </c>
      <c r="K116" s="5" t="s">
        <v>294</v>
      </c>
      <c r="L116" s="15" t="s">
        <v>39</v>
      </c>
      <c r="M116" s="14" t="str">
        <f>_xlfn.XLOOKUP(F116,Department!$A$2:$A$6,Department!$B$2:$B$6)</f>
        <v>IT</v>
      </c>
      <c r="N116" s="22">
        <f>_xlfn.XLOOKUP(A116,Performance!$A$2:$A$501,Performance!$C$2:$C$501)</f>
        <v>1</v>
      </c>
      <c r="O116" s="19" cm="1">
        <f t="array" ref="O116">_xlfn.IFS(N116=5,I116*15%,N116=4,I116*10%,N116=3,I116*7%,N116&lt;3,I116*5%)</f>
        <v>3718.4</v>
      </c>
    </row>
    <row r="117" spans="1:15">
      <c r="A117" s="4" t="s">
        <v>295</v>
      </c>
      <c r="B117" s="5" t="s">
        <v>34</v>
      </c>
      <c r="C117" s="5" t="s">
        <v>117</v>
      </c>
      <c r="D117" s="5" t="s">
        <v>28</v>
      </c>
      <c r="E117" s="5">
        <v>58</v>
      </c>
      <c r="F117" s="5" t="s">
        <v>43</v>
      </c>
      <c r="G117" s="5" t="s">
        <v>36</v>
      </c>
      <c r="H117" s="6">
        <v>44259</v>
      </c>
      <c r="I117" s="5">
        <v>111621</v>
      </c>
      <c r="J117" s="5" t="s">
        <v>62</v>
      </c>
      <c r="K117" s="5" t="s">
        <v>296</v>
      </c>
      <c r="L117" s="15" t="s">
        <v>24</v>
      </c>
      <c r="M117" s="14" t="str">
        <f>_xlfn.XLOOKUP(F117,Department!$A$2:$A$6,Department!$B$2:$B$6)</f>
        <v>Marketing</v>
      </c>
      <c r="N117" s="22">
        <f>_xlfn.XLOOKUP(A117,Performance!$A$2:$A$501,Performance!$C$2:$C$501)</f>
        <v>5</v>
      </c>
      <c r="O117" s="19" cm="1">
        <f t="array" ref="O117">_xlfn.IFS(N117=5,I117*15%,N117=4,I117*10%,N117=3,I117*7%,N117&lt;3,I117*5%)</f>
        <v>16743.149999999998</v>
      </c>
    </row>
    <row r="118" spans="1:15">
      <c r="A118" s="4" t="s">
        <v>297</v>
      </c>
      <c r="B118" s="5" t="s">
        <v>126</v>
      </c>
      <c r="C118" s="5" t="s">
        <v>84</v>
      </c>
      <c r="D118" s="5" t="s">
        <v>19</v>
      </c>
      <c r="E118" s="5">
        <v>32</v>
      </c>
      <c r="F118" s="5" t="s">
        <v>54</v>
      </c>
      <c r="G118" s="5" t="s">
        <v>36</v>
      </c>
      <c r="H118" s="6">
        <v>44516</v>
      </c>
      <c r="I118" s="5">
        <v>82446</v>
      </c>
      <c r="J118" s="5" t="s">
        <v>67</v>
      </c>
      <c r="K118" s="5" t="s">
        <v>298</v>
      </c>
      <c r="L118" s="15" t="s">
        <v>24</v>
      </c>
      <c r="M118" s="14" t="str">
        <f>_xlfn.XLOOKUP(F118,Department!$A$2:$A$6,Department!$B$2:$B$6)</f>
        <v>Finance</v>
      </c>
      <c r="N118" s="22">
        <f>_xlfn.XLOOKUP(A118,Performance!$A$2:$A$501,Performance!$C$2:$C$501)</f>
        <v>1</v>
      </c>
      <c r="O118" s="19" cm="1">
        <f t="array" ref="O118">_xlfn.IFS(N118=5,I118*15%,N118=4,I118*10%,N118=3,I118*7%,N118&lt;3,I118*5%)</f>
        <v>4122.3</v>
      </c>
    </row>
    <row r="119" spans="1:15">
      <c r="A119" s="4" t="s">
        <v>299</v>
      </c>
      <c r="B119" s="5" t="s">
        <v>126</v>
      </c>
      <c r="C119" s="5" t="s">
        <v>80</v>
      </c>
      <c r="D119" s="5" t="s">
        <v>28</v>
      </c>
      <c r="E119" s="5">
        <v>24</v>
      </c>
      <c r="F119" s="5" t="s">
        <v>35</v>
      </c>
      <c r="G119" s="5" t="s">
        <v>21</v>
      </c>
      <c r="H119" s="6">
        <v>44746</v>
      </c>
      <c r="I119" s="5">
        <v>99200</v>
      </c>
      <c r="J119" s="5" t="s">
        <v>22</v>
      </c>
      <c r="K119" s="5" t="s">
        <v>300</v>
      </c>
      <c r="L119" s="15" t="s">
        <v>39</v>
      </c>
      <c r="M119" s="14" t="str">
        <f>_xlfn.XLOOKUP(F119,Department!$A$2:$A$6,Department!$B$2:$B$6)</f>
        <v>Sales</v>
      </c>
      <c r="N119" s="22">
        <f>_xlfn.XLOOKUP(A119,Performance!$A$2:$A$501,Performance!$C$2:$C$501)</f>
        <v>5</v>
      </c>
      <c r="O119" s="19" cm="1">
        <f t="array" ref="O119">_xlfn.IFS(N119=5,I119*15%,N119=4,I119*10%,N119=3,I119*7%,N119&lt;3,I119*5%)</f>
        <v>14880</v>
      </c>
    </row>
    <row r="120" spans="1:15">
      <c r="A120" s="4" t="s">
        <v>301</v>
      </c>
      <c r="B120" s="5" t="s">
        <v>48</v>
      </c>
      <c r="C120" s="5" t="s">
        <v>93</v>
      </c>
      <c r="D120" s="5" t="s">
        <v>28</v>
      </c>
      <c r="E120" s="5">
        <v>36</v>
      </c>
      <c r="F120" s="5" t="s">
        <v>54</v>
      </c>
      <c r="G120" s="5" t="s">
        <v>30</v>
      </c>
      <c r="H120" s="6">
        <v>44628</v>
      </c>
      <c r="I120" s="5">
        <v>56294</v>
      </c>
      <c r="J120" s="5" t="s">
        <v>62</v>
      </c>
      <c r="K120" s="5" t="s">
        <v>302</v>
      </c>
      <c r="L120" s="15" t="s">
        <v>39</v>
      </c>
      <c r="M120" s="14" t="str">
        <f>_xlfn.XLOOKUP(F120,Department!$A$2:$A$6,Department!$B$2:$B$6)</f>
        <v>Finance</v>
      </c>
      <c r="N120" s="22">
        <f>_xlfn.XLOOKUP(A120,Performance!$A$2:$A$501,Performance!$C$2:$C$501)</f>
        <v>2</v>
      </c>
      <c r="O120" s="19" cm="1">
        <f t="array" ref="O120">_xlfn.IFS(N120=5,I120*15%,N120=4,I120*10%,N120=3,I120*7%,N120&lt;3,I120*5%)</f>
        <v>2814.7000000000003</v>
      </c>
    </row>
    <row r="121" spans="1:15">
      <c r="A121" s="4" t="s">
        <v>303</v>
      </c>
      <c r="B121" s="5" t="s">
        <v>48</v>
      </c>
      <c r="C121" s="5" t="s">
        <v>141</v>
      </c>
      <c r="D121" s="5" t="s">
        <v>19</v>
      </c>
      <c r="E121" s="5">
        <v>32</v>
      </c>
      <c r="F121" s="5" t="s">
        <v>54</v>
      </c>
      <c r="G121" s="5" t="s">
        <v>44</v>
      </c>
      <c r="H121" s="6">
        <v>44638</v>
      </c>
      <c r="I121" s="5">
        <v>112759</v>
      </c>
      <c r="J121" s="5" t="s">
        <v>81</v>
      </c>
      <c r="K121" s="5" t="s">
        <v>304</v>
      </c>
      <c r="L121" s="15" t="s">
        <v>39</v>
      </c>
      <c r="M121" s="14" t="str">
        <f>_xlfn.XLOOKUP(F121,Department!$A$2:$A$6,Department!$B$2:$B$6)</f>
        <v>Finance</v>
      </c>
      <c r="N121" s="22">
        <f>_xlfn.XLOOKUP(A121,Performance!$A$2:$A$501,Performance!$C$2:$C$501)</f>
        <v>2</v>
      </c>
      <c r="O121" s="19" cm="1">
        <f t="array" ref="O121">_xlfn.IFS(N121=5,I121*15%,N121=4,I121*10%,N121=3,I121*7%,N121&lt;3,I121*5%)</f>
        <v>5637.9500000000007</v>
      </c>
    </row>
    <row r="122" spans="1:15">
      <c r="A122" s="4" t="s">
        <v>305</v>
      </c>
      <c r="B122" s="5" t="s">
        <v>92</v>
      </c>
      <c r="C122" s="5" t="s">
        <v>49</v>
      </c>
      <c r="D122" s="5" t="s">
        <v>19</v>
      </c>
      <c r="E122" s="5">
        <v>47</v>
      </c>
      <c r="F122" s="5" t="s">
        <v>29</v>
      </c>
      <c r="G122" s="5" t="s">
        <v>44</v>
      </c>
      <c r="H122" s="6">
        <v>44498</v>
      </c>
      <c r="I122" s="5">
        <v>70479</v>
      </c>
      <c r="J122" s="5" t="s">
        <v>37</v>
      </c>
      <c r="K122" s="5" t="s">
        <v>306</v>
      </c>
      <c r="L122" s="15" t="s">
        <v>24</v>
      </c>
      <c r="M122" s="14" t="str">
        <f>_xlfn.XLOOKUP(F122,Department!$A$2:$A$6,Department!$B$2:$B$6)</f>
        <v>IT</v>
      </c>
      <c r="N122" s="22">
        <f>_xlfn.XLOOKUP(A122,Performance!$A$2:$A$501,Performance!$C$2:$C$501)</f>
        <v>1</v>
      </c>
      <c r="O122" s="19" cm="1">
        <f t="array" ref="O122">_xlfn.IFS(N122=5,I122*15%,N122=4,I122*10%,N122=3,I122*7%,N122&lt;3,I122*5%)</f>
        <v>3523.9500000000003</v>
      </c>
    </row>
    <row r="123" spans="1:15">
      <c r="A123" s="4" t="s">
        <v>307</v>
      </c>
      <c r="B123" s="5" t="s">
        <v>48</v>
      </c>
      <c r="C123" s="5" t="s">
        <v>66</v>
      </c>
      <c r="D123" s="5" t="s">
        <v>19</v>
      </c>
      <c r="E123" s="5">
        <v>42</v>
      </c>
      <c r="F123" s="5" t="s">
        <v>20</v>
      </c>
      <c r="G123" s="5" t="s">
        <v>30</v>
      </c>
      <c r="H123" s="6">
        <v>45414</v>
      </c>
      <c r="I123" s="5">
        <v>52630</v>
      </c>
      <c r="J123" s="5" t="s">
        <v>62</v>
      </c>
      <c r="K123" s="5" t="s">
        <v>308</v>
      </c>
      <c r="L123" s="15" t="s">
        <v>24</v>
      </c>
      <c r="M123" s="14" t="str">
        <f>_xlfn.XLOOKUP(F123,Department!$A$2:$A$6,Department!$B$2:$B$6)</f>
        <v>HR</v>
      </c>
      <c r="N123" s="22">
        <f>_xlfn.XLOOKUP(A123,Performance!$A$2:$A$501,Performance!$C$2:$C$501)</f>
        <v>5</v>
      </c>
      <c r="O123" s="19" cm="1">
        <f t="array" ref="O123">_xlfn.IFS(N123=5,I123*15%,N123=4,I123*10%,N123=3,I123*7%,N123&lt;3,I123*5%)</f>
        <v>7894.5</v>
      </c>
    </row>
    <row r="124" spans="1:15">
      <c r="A124" s="4" t="s">
        <v>309</v>
      </c>
      <c r="B124" s="5" t="s">
        <v>48</v>
      </c>
      <c r="C124" s="5" t="s">
        <v>117</v>
      </c>
      <c r="D124" s="5" t="s">
        <v>28</v>
      </c>
      <c r="E124" s="5">
        <v>27</v>
      </c>
      <c r="F124" s="5" t="s">
        <v>35</v>
      </c>
      <c r="G124" s="5" t="s">
        <v>36</v>
      </c>
      <c r="H124" s="6">
        <v>43125</v>
      </c>
      <c r="I124" s="5">
        <v>78119</v>
      </c>
      <c r="J124" s="5" t="s">
        <v>62</v>
      </c>
      <c r="K124" s="5" t="s">
        <v>310</v>
      </c>
      <c r="L124" s="15" t="s">
        <v>24</v>
      </c>
      <c r="M124" s="14" t="str">
        <f>_xlfn.XLOOKUP(F124,Department!$A$2:$A$6,Department!$B$2:$B$6)</f>
        <v>Sales</v>
      </c>
      <c r="N124" s="22">
        <f>_xlfn.XLOOKUP(A124,Performance!$A$2:$A$501,Performance!$C$2:$C$501)</f>
        <v>4</v>
      </c>
      <c r="O124" s="19" cm="1">
        <f t="array" ref="O124">_xlfn.IFS(N124=5,I124*15%,N124=4,I124*10%,N124=3,I124*7%,N124&lt;3,I124*5%)</f>
        <v>7811.9000000000005</v>
      </c>
    </row>
    <row r="125" spans="1:15">
      <c r="A125" s="4" t="s">
        <v>311</v>
      </c>
      <c r="B125" s="5" t="s">
        <v>48</v>
      </c>
      <c r="C125" s="5" t="s">
        <v>80</v>
      </c>
      <c r="D125" s="5" t="s">
        <v>19</v>
      </c>
      <c r="E125" s="5">
        <v>41</v>
      </c>
      <c r="F125" s="5" t="s">
        <v>29</v>
      </c>
      <c r="G125" s="5" t="s">
        <v>36</v>
      </c>
      <c r="H125" s="6">
        <v>43820</v>
      </c>
      <c r="I125" s="5">
        <v>77100</v>
      </c>
      <c r="J125" s="5" t="s">
        <v>22</v>
      </c>
      <c r="K125" s="5" t="s">
        <v>312</v>
      </c>
      <c r="L125" s="15" t="s">
        <v>24</v>
      </c>
      <c r="M125" s="14" t="str">
        <f>_xlfn.XLOOKUP(F125,Department!$A$2:$A$6,Department!$B$2:$B$6)</f>
        <v>IT</v>
      </c>
      <c r="N125" s="22">
        <f>_xlfn.XLOOKUP(A125,Performance!$A$2:$A$501,Performance!$C$2:$C$501)</f>
        <v>4</v>
      </c>
      <c r="O125" s="19" cm="1">
        <f t="array" ref="O125">_xlfn.IFS(N125=5,I125*15%,N125=4,I125*10%,N125=3,I125*7%,N125&lt;3,I125*5%)</f>
        <v>7710</v>
      </c>
    </row>
    <row r="126" spans="1:15">
      <c r="A126" s="4" t="s">
        <v>313</v>
      </c>
      <c r="B126" s="5" t="s">
        <v>42</v>
      </c>
      <c r="C126" s="5" t="s">
        <v>66</v>
      </c>
      <c r="D126" s="5" t="s">
        <v>19</v>
      </c>
      <c r="E126" s="5">
        <v>58</v>
      </c>
      <c r="F126" s="5" t="s">
        <v>35</v>
      </c>
      <c r="G126" s="5" t="s">
        <v>44</v>
      </c>
      <c r="H126" s="6">
        <v>43765</v>
      </c>
      <c r="I126" s="5">
        <v>48296</v>
      </c>
      <c r="J126" s="5" t="s">
        <v>67</v>
      </c>
      <c r="K126" s="5" t="s">
        <v>314</v>
      </c>
      <c r="L126" s="15" t="s">
        <v>39</v>
      </c>
      <c r="M126" s="14" t="str">
        <f>_xlfn.XLOOKUP(F126,Department!$A$2:$A$6,Department!$B$2:$B$6)</f>
        <v>Sales</v>
      </c>
      <c r="N126" s="22">
        <f>_xlfn.XLOOKUP(A126,Performance!$A$2:$A$501,Performance!$C$2:$C$501)</f>
        <v>4</v>
      </c>
      <c r="O126" s="19" cm="1">
        <f t="array" ref="O126">_xlfn.IFS(N126=5,I126*15%,N126=4,I126*10%,N126=3,I126*7%,N126&lt;3,I126*5%)</f>
        <v>4829.6000000000004</v>
      </c>
    </row>
    <row r="127" spans="1:15">
      <c r="A127" s="4" t="s">
        <v>315</v>
      </c>
      <c r="B127" s="5" t="s">
        <v>58</v>
      </c>
      <c r="C127" s="5" t="s">
        <v>141</v>
      </c>
      <c r="D127" s="5" t="s">
        <v>28</v>
      </c>
      <c r="E127" s="5">
        <v>46</v>
      </c>
      <c r="F127" s="5" t="s">
        <v>54</v>
      </c>
      <c r="G127" s="5" t="s">
        <v>30</v>
      </c>
      <c r="H127" s="6">
        <v>43301</v>
      </c>
      <c r="I127" s="5">
        <v>69026</v>
      </c>
      <c r="J127" s="5" t="s">
        <v>37</v>
      </c>
      <c r="K127" s="5" t="s">
        <v>316</v>
      </c>
      <c r="L127" s="15" t="s">
        <v>24</v>
      </c>
      <c r="M127" s="14" t="str">
        <f>_xlfn.XLOOKUP(F127,Department!$A$2:$A$6,Department!$B$2:$B$6)</f>
        <v>Finance</v>
      </c>
      <c r="N127" s="22">
        <f>_xlfn.XLOOKUP(A127,Performance!$A$2:$A$501,Performance!$C$2:$C$501)</f>
        <v>2</v>
      </c>
      <c r="O127" s="19" cm="1">
        <f t="array" ref="O127">_xlfn.IFS(N127=5,I127*15%,N127=4,I127*10%,N127=3,I127*7%,N127&lt;3,I127*5%)</f>
        <v>3451.3</v>
      </c>
    </row>
    <row r="128" spans="1:15">
      <c r="A128" s="4" t="s">
        <v>317</v>
      </c>
      <c r="B128" s="5" t="s">
        <v>61</v>
      </c>
      <c r="C128" s="5" t="s">
        <v>27</v>
      </c>
      <c r="D128" s="5" t="s">
        <v>19</v>
      </c>
      <c r="E128" s="5">
        <v>29</v>
      </c>
      <c r="F128" s="5" t="s">
        <v>29</v>
      </c>
      <c r="G128" s="5" t="s">
        <v>30</v>
      </c>
      <c r="H128" s="6">
        <v>45478</v>
      </c>
      <c r="I128" s="5">
        <v>97080</v>
      </c>
      <c r="J128" s="5" t="s">
        <v>81</v>
      </c>
      <c r="K128" s="5" t="s">
        <v>318</v>
      </c>
      <c r="L128" s="15" t="s">
        <v>24</v>
      </c>
      <c r="M128" s="14" t="str">
        <f>_xlfn.XLOOKUP(F128,Department!$A$2:$A$6,Department!$B$2:$B$6)</f>
        <v>IT</v>
      </c>
      <c r="N128" s="22">
        <f>_xlfn.XLOOKUP(A128,Performance!$A$2:$A$501,Performance!$C$2:$C$501)</f>
        <v>5</v>
      </c>
      <c r="O128" s="19" cm="1">
        <f t="array" ref="O128">_xlfn.IFS(N128=5,I128*15%,N128=4,I128*10%,N128=3,I128*7%,N128&lt;3,I128*5%)</f>
        <v>14562</v>
      </c>
    </row>
    <row r="129" spans="1:15">
      <c r="A129" s="4" t="s">
        <v>319</v>
      </c>
      <c r="B129" s="5" t="s">
        <v>74</v>
      </c>
      <c r="C129" s="5" t="s">
        <v>117</v>
      </c>
      <c r="D129" s="5" t="s">
        <v>28</v>
      </c>
      <c r="E129" s="5">
        <v>26</v>
      </c>
      <c r="F129" s="5" t="s">
        <v>29</v>
      </c>
      <c r="G129" s="5" t="s">
        <v>36</v>
      </c>
      <c r="H129" s="6">
        <v>45413</v>
      </c>
      <c r="I129" s="5">
        <v>71436</v>
      </c>
      <c r="J129" s="5" t="s">
        <v>37</v>
      </c>
      <c r="K129" s="5" t="s">
        <v>320</v>
      </c>
      <c r="L129" s="15" t="s">
        <v>39</v>
      </c>
      <c r="M129" s="14" t="str">
        <f>_xlfn.XLOOKUP(F129,Department!$A$2:$A$6,Department!$B$2:$B$6)</f>
        <v>IT</v>
      </c>
      <c r="N129" s="22">
        <f>_xlfn.XLOOKUP(A129,Performance!$A$2:$A$501,Performance!$C$2:$C$501)</f>
        <v>1</v>
      </c>
      <c r="O129" s="19" cm="1">
        <f t="array" ref="O129">_xlfn.IFS(N129=5,I129*15%,N129=4,I129*10%,N129=3,I129*7%,N129&lt;3,I129*5%)</f>
        <v>3571.8</v>
      </c>
    </row>
    <row r="130" spans="1:15">
      <c r="A130" s="4" t="s">
        <v>321</v>
      </c>
      <c r="B130" s="5" t="s">
        <v>92</v>
      </c>
      <c r="C130" s="5" t="s">
        <v>66</v>
      </c>
      <c r="D130" s="5" t="s">
        <v>28</v>
      </c>
      <c r="E130" s="5">
        <v>44</v>
      </c>
      <c r="F130" s="5" t="s">
        <v>20</v>
      </c>
      <c r="G130" s="5" t="s">
        <v>36</v>
      </c>
      <c r="H130" s="6">
        <v>44897</v>
      </c>
      <c r="I130" s="5">
        <v>87790</v>
      </c>
      <c r="J130" s="5" t="s">
        <v>81</v>
      </c>
      <c r="K130" s="5" t="s">
        <v>322</v>
      </c>
      <c r="L130" s="15" t="s">
        <v>24</v>
      </c>
      <c r="M130" s="14" t="str">
        <f>_xlfn.XLOOKUP(F130,Department!$A$2:$A$6,Department!$B$2:$B$6)</f>
        <v>HR</v>
      </c>
      <c r="N130" s="22">
        <f>_xlfn.XLOOKUP(A130,Performance!$A$2:$A$501,Performance!$C$2:$C$501)</f>
        <v>5</v>
      </c>
      <c r="O130" s="19" cm="1">
        <f t="array" ref="O130">_xlfn.IFS(N130=5,I130*15%,N130=4,I130*10%,N130=3,I130*7%,N130&lt;3,I130*5%)</f>
        <v>13168.5</v>
      </c>
    </row>
    <row r="131" spans="1:15">
      <c r="A131" s="4" t="s">
        <v>323</v>
      </c>
      <c r="B131" s="5" t="s">
        <v>58</v>
      </c>
      <c r="C131" s="5" t="s">
        <v>66</v>
      </c>
      <c r="D131" s="5" t="s">
        <v>28</v>
      </c>
      <c r="E131" s="5">
        <v>59</v>
      </c>
      <c r="F131" s="5" t="s">
        <v>20</v>
      </c>
      <c r="G131" s="5" t="s">
        <v>102</v>
      </c>
      <c r="H131" s="6">
        <v>44284</v>
      </c>
      <c r="I131" s="5">
        <v>119530</v>
      </c>
      <c r="J131" s="5" t="s">
        <v>81</v>
      </c>
      <c r="K131" s="5" t="s">
        <v>324</v>
      </c>
      <c r="L131" s="15" t="s">
        <v>24</v>
      </c>
      <c r="M131" s="14" t="str">
        <f>_xlfn.XLOOKUP(F131,Department!$A$2:$A$6,Department!$B$2:$B$6)</f>
        <v>HR</v>
      </c>
      <c r="N131" s="22">
        <f>_xlfn.XLOOKUP(A131,Performance!$A$2:$A$501,Performance!$C$2:$C$501)</f>
        <v>1</v>
      </c>
      <c r="O131" s="19" cm="1">
        <f t="array" ref="O131">_xlfn.IFS(N131=5,I131*15%,N131=4,I131*10%,N131=3,I131*7%,N131&lt;3,I131*5%)</f>
        <v>5976.5</v>
      </c>
    </row>
    <row r="132" spans="1:15">
      <c r="A132" s="4" t="s">
        <v>325</v>
      </c>
      <c r="B132" s="5" t="s">
        <v>126</v>
      </c>
      <c r="C132" s="5" t="s">
        <v>18</v>
      </c>
      <c r="D132" s="5" t="s">
        <v>28</v>
      </c>
      <c r="E132" s="5">
        <v>37</v>
      </c>
      <c r="F132" s="5" t="s">
        <v>35</v>
      </c>
      <c r="G132" s="5" t="s">
        <v>102</v>
      </c>
      <c r="H132" s="6">
        <v>43615</v>
      </c>
      <c r="I132" s="5">
        <v>100623</v>
      </c>
      <c r="J132" s="5" t="s">
        <v>37</v>
      </c>
      <c r="K132" s="5" t="s">
        <v>326</v>
      </c>
      <c r="L132" s="15" t="s">
        <v>24</v>
      </c>
      <c r="M132" s="14" t="str">
        <f>_xlfn.XLOOKUP(F132,Department!$A$2:$A$6,Department!$B$2:$B$6)</f>
        <v>Sales</v>
      </c>
      <c r="N132" s="22">
        <f>_xlfn.XLOOKUP(A132,Performance!$A$2:$A$501,Performance!$C$2:$C$501)</f>
        <v>5</v>
      </c>
      <c r="O132" s="19" cm="1">
        <f t="array" ref="O132">_xlfn.IFS(N132=5,I132*15%,N132=4,I132*10%,N132=3,I132*7%,N132&lt;3,I132*5%)</f>
        <v>15093.449999999999</v>
      </c>
    </row>
    <row r="133" spans="1:15">
      <c r="A133" s="4" t="s">
        <v>327</v>
      </c>
      <c r="B133" s="5" t="s">
        <v>48</v>
      </c>
      <c r="C133" s="5" t="s">
        <v>49</v>
      </c>
      <c r="D133" s="5" t="s">
        <v>28</v>
      </c>
      <c r="E133" s="5">
        <v>60</v>
      </c>
      <c r="F133" s="5" t="s">
        <v>35</v>
      </c>
      <c r="G133" s="5" t="s">
        <v>102</v>
      </c>
      <c r="H133" s="6">
        <v>44688</v>
      </c>
      <c r="I133" s="5">
        <v>40317</v>
      </c>
      <c r="J133" s="5" t="s">
        <v>81</v>
      </c>
      <c r="K133" s="5" t="s">
        <v>328</v>
      </c>
      <c r="L133" s="15" t="s">
        <v>24</v>
      </c>
      <c r="M133" s="14" t="str">
        <f>_xlfn.XLOOKUP(F133,Department!$A$2:$A$6,Department!$B$2:$B$6)</f>
        <v>Sales</v>
      </c>
      <c r="N133" s="22">
        <f>_xlfn.XLOOKUP(A133,Performance!$A$2:$A$501,Performance!$C$2:$C$501)</f>
        <v>5</v>
      </c>
      <c r="O133" s="19" cm="1">
        <f t="array" ref="O133">_xlfn.IFS(N133=5,I133*15%,N133=4,I133*10%,N133=3,I133*7%,N133&lt;3,I133*5%)</f>
        <v>6047.55</v>
      </c>
    </row>
    <row r="134" spans="1:15">
      <c r="A134" s="4" t="s">
        <v>329</v>
      </c>
      <c r="B134" s="5" t="s">
        <v>74</v>
      </c>
      <c r="C134" s="5" t="s">
        <v>141</v>
      </c>
      <c r="D134" s="5" t="s">
        <v>28</v>
      </c>
      <c r="E134" s="5">
        <v>51</v>
      </c>
      <c r="F134" s="5" t="s">
        <v>29</v>
      </c>
      <c r="G134" s="5" t="s">
        <v>102</v>
      </c>
      <c r="H134" s="6">
        <v>44760</v>
      </c>
      <c r="I134" s="5">
        <v>87915</v>
      </c>
      <c r="J134" s="5" t="s">
        <v>62</v>
      </c>
      <c r="K134" s="5" t="s">
        <v>330</v>
      </c>
      <c r="L134" s="15" t="s">
        <v>24</v>
      </c>
      <c r="M134" s="14" t="str">
        <f>_xlfn.XLOOKUP(F134,Department!$A$2:$A$6,Department!$B$2:$B$6)</f>
        <v>IT</v>
      </c>
      <c r="N134" s="22">
        <f>_xlfn.XLOOKUP(A134,Performance!$A$2:$A$501,Performance!$C$2:$C$501)</f>
        <v>4</v>
      </c>
      <c r="O134" s="19" cm="1">
        <f t="array" ref="O134">_xlfn.IFS(N134=5,I134*15%,N134=4,I134*10%,N134=3,I134*7%,N134&lt;3,I134*5%)</f>
        <v>8791.5</v>
      </c>
    </row>
    <row r="135" spans="1:15">
      <c r="A135" s="4" t="s">
        <v>331</v>
      </c>
      <c r="B135" s="5" t="s">
        <v>126</v>
      </c>
      <c r="C135" s="5" t="s">
        <v>18</v>
      </c>
      <c r="D135" s="5" t="s">
        <v>19</v>
      </c>
      <c r="E135" s="5">
        <v>49</v>
      </c>
      <c r="F135" s="5" t="s">
        <v>35</v>
      </c>
      <c r="G135" s="5" t="s">
        <v>102</v>
      </c>
      <c r="H135" s="6">
        <v>45215</v>
      </c>
      <c r="I135" s="5">
        <v>102279</v>
      </c>
      <c r="J135" s="5" t="s">
        <v>62</v>
      </c>
      <c r="K135" s="5" t="s">
        <v>332</v>
      </c>
      <c r="L135" s="15" t="s">
        <v>39</v>
      </c>
      <c r="M135" s="14" t="str">
        <f>_xlfn.XLOOKUP(F135,Department!$A$2:$A$6,Department!$B$2:$B$6)</f>
        <v>Sales</v>
      </c>
      <c r="N135" s="22">
        <f>_xlfn.XLOOKUP(A135,Performance!$A$2:$A$501,Performance!$C$2:$C$501)</f>
        <v>2</v>
      </c>
      <c r="O135" s="19" cm="1">
        <f t="array" ref="O135">_xlfn.IFS(N135=5,I135*15%,N135=4,I135*10%,N135=3,I135*7%,N135&lt;3,I135*5%)</f>
        <v>5113.9500000000007</v>
      </c>
    </row>
    <row r="136" spans="1:15">
      <c r="A136" s="4" t="s">
        <v>333</v>
      </c>
      <c r="B136" s="5" t="s">
        <v>74</v>
      </c>
      <c r="C136" s="5" t="s">
        <v>93</v>
      </c>
      <c r="D136" s="5" t="s">
        <v>28</v>
      </c>
      <c r="E136" s="5">
        <v>36</v>
      </c>
      <c r="F136" s="5" t="s">
        <v>35</v>
      </c>
      <c r="G136" s="5" t="s">
        <v>44</v>
      </c>
      <c r="H136" s="6">
        <v>45223</v>
      </c>
      <c r="I136" s="5">
        <v>72887</v>
      </c>
      <c r="J136" s="5" t="s">
        <v>37</v>
      </c>
      <c r="K136" s="5" t="s">
        <v>334</v>
      </c>
      <c r="L136" s="15" t="s">
        <v>39</v>
      </c>
      <c r="M136" s="14" t="str">
        <f>_xlfn.XLOOKUP(F136,Department!$A$2:$A$6,Department!$B$2:$B$6)</f>
        <v>Sales</v>
      </c>
      <c r="N136" s="22">
        <f>_xlfn.XLOOKUP(A136,Performance!$A$2:$A$501,Performance!$C$2:$C$501)</f>
        <v>1</v>
      </c>
      <c r="O136" s="19" cm="1">
        <f t="array" ref="O136">_xlfn.IFS(N136=5,I136*15%,N136=4,I136*10%,N136=3,I136*7%,N136&lt;3,I136*5%)</f>
        <v>3644.3500000000004</v>
      </c>
    </row>
    <row r="137" spans="1:15">
      <c r="A137" s="4" t="s">
        <v>335</v>
      </c>
      <c r="B137" s="5" t="s">
        <v>42</v>
      </c>
      <c r="C137" s="5" t="s">
        <v>18</v>
      </c>
      <c r="D137" s="5" t="s">
        <v>19</v>
      </c>
      <c r="E137" s="5">
        <v>43</v>
      </c>
      <c r="F137" s="5" t="s">
        <v>20</v>
      </c>
      <c r="G137" s="5" t="s">
        <v>30</v>
      </c>
      <c r="H137" s="6">
        <v>43709</v>
      </c>
      <c r="I137" s="5">
        <v>92793</v>
      </c>
      <c r="J137" s="5" t="s">
        <v>62</v>
      </c>
      <c r="K137" s="5" t="s">
        <v>336</v>
      </c>
      <c r="L137" s="15" t="s">
        <v>24</v>
      </c>
      <c r="M137" s="14" t="str">
        <f>_xlfn.XLOOKUP(F137,Department!$A$2:$A$6,Department!$B$2:$B$6)</f>
        <v>HR</v>
      </c>
      <c r="N137" s="22">
        <f>_xlfn.XLOOKUP(A137,Performance!$A$2:$A$501,Performance!$C$2:$C$501)</f>
        <v>2</v>
      </c>
      <c r="O137" s="19" cm="1">
        <f t="array" ref="O137">_xlfn.IFS(N137=5,I137*15%,N137=4,I137*10%,N137=3,I137*7%,N137&lt;3,I137*5%)</f>
        <v>4639.6500000000005</v>
      </c>
    </row>
    <row r="138" spans="1:15">
      <c r="A138" s="4" t="s">
        <v>337</v>
      </c>
      <c r="B138" s="5" t="s">
        <v>92</v>
      </c>
      <c r="C138" s="5" t="s">
        <v>80</v>
      </c>
      <c r="D138" s="5" t="s">
        <v>28</v>
      </c>
      <c r="E138" s="5">
        <v>48</v>
      </c>
      <c r="F138" s="5" t="s">
        <v>43</v>
      </c>
      <c r="G138" s="5" t="s">
        <v>30</v>
      </c>
      <c r="H138" s="6">
        <v>45376</v>
      </c>
      <c r="I138" s="5">
        <v>114316</v>
      </c>
      <c r="J138" s="5" t="s">
        <v>67</v>
      </c>
      <c r="K138" s="5" t="s">
        <v>338</v>
      </c>
      <c r="L138" s="15" t="s">
        <v>24</v>
      </c>
      <c r="M138" s="14" t="str">
        <f>_xlfn.XLOOKUP(F138,Department!$A$2:$A$6,Department!$B$2:$B$6)</f>
        <v>Marketing</v>
      </c>
      <c r="N138" s="22">
        <f>_xlfn.XLOOKUP(A138,Performance!$A$2:$A$501,Performance!$C$2:$C$501)</f>
        <v>3</v>
      </c>
      <c r="O138" s="19" cm="1">
        <f t="array" ref="O138">_xlfn.IFS(N138=5,I138*15%,N138=4,I138*10%,N138=3,I138*7%,N138&lt;3,I138*5%)</f>
        <v>8002.1200000000008</v>
      </c>
    </row>
    <row r="139" spans="1:15">
      <c r="A139" s="4" t="s">
        <v>339</v>
      </c>
      <c r="B139" s="5" t="s">
        <v>42</v>
      </c>
      <c r="C139" s="5" t="s">
        <v>49</v>
      </c>
      <c r="D139" s="5" t="s">
        <v>28</v>
      </c>
      <c r="E139" s="5">
        <v>59</v>
      </c>
      <c r="F139" s="5" t="s">
        <v>43</v>
      </c>
      <c r="G139" s="5" t="s">
        <v>21</v>
      </c>
      <c r="H139" s="6">
        <v>44230</v>
      </c>
      <c r="I139" s="5">
        <v>60835</v>
      </c>
      <c r="J139" s="5" t="s">
        <v>62</v>
      </c>
      <c r="K139" s="5" t="s">
        <v>340</v>
      </c>
      <c r="L139" s="15" t="s">
        <v>24</v>
      </c>
      <c r="M139" s="14" t="str">
        <f>_xlfn.XLOOKUP(F139,Department!$A$2:$A$6,Department!$B$2:$B$6)</f>
        <v>Marketing</v>
      </c>
      <c r="N139" s="22">
        <f>_xlfn.XLOOKUP(A139,Performance!$A$2:$A$501,Performance!$C$2:$C$501)</f>
        <v>1</v>
      </c>
      <c r="O139" s="19" cm="1">
        <f t="array" ref="O139">_xlfn.IFS(N139=5,I139*15%,N139=4,I139*10%,N139=3,I139*7%,N139&lt;3,I139*5%)</f>
        <v>3041.75</v>
      </c>
    </row>
    <row r="140" spans="1:15">
      <c r="A140" s="4" t="s">
        <v>341</v>
      </c>
      <c r="B140" s="5" t="s">
        <v>53</v>
      </c>
      <c r="C140" s="5" t="s">
        <v>141</v>
      </c>
      <c r="D140" s="5" t="s">
        <v>28</v>
      </c>
      <c r="E140" s="5">
        <v>31</v>
      </c>
      <c r="F140" s="5" t="s">
        <v>35</v>
      </c>
      <c r="G140" s="5" t="s">
        <v>30</v>
      </c>
      <c r="H140" s="6">
        <v>44152</v>
      </c>
      <c r="I140" s="5">
        <v>105179</v>
      </c>
      <c r="J140" s="5" t="s">
        <v>22</v>
      </c>
      <c r="K140" s="5" t="s">
        <v>342</v>
      </c>
      <c r="L140" s="15" t="s">
        <v>24</v>
      </c>
      <c r="M140" s="14" t="str">
        <f>_xlfn.XLOOKUP(F140,Department!$A$2:$A$6,Department!$B$2:$B$6)</f>
        <v>Sales</v>
      </c>
      <c r="N140" s="22">
        <f>_xlfn.XLOOKUP(A140,Performance!$A$2:$A$501,Performance!$C$2:$C$501)</f>
        <v>5</v>
      </c>
      <c r="O140" s="19" cm="1">
        <f t="array" ref="O140">_xlfn.IFS(N140=5,I140*15%,N140=4,I140*10%,N140=3,I140*7%,N140&lt;3,I140*5%)</f>
        <v>15776.849999999999</v>
      </c>
    </row>
    <row r="141" spans="1:15">
      <c r="A141" s="4" t="s">
        <v>343</v>
      </c>
      <c r="B141" s="5" t="s">
        <v>92</v>
      </c>
      <c r="C141" s="5" t="s">
        <v>141</v>
      </c>
      <c r="D141" s="5" t="s">
        <v>19</v>
      </c>
      <c r="E141" s="5">
        <v>48</v>
      </c>
      <c r="F141" s="5" t="s">
        <v>35</v>
      </c>
      <c r="G141" s="5" t="s">
        <v>44</v>
      </c>
      <c r="H141" s="6">
        <v>43322</v>
      </c>
      <c r="I141" s="5">
        <v>109704</v>
      </c>
      <c r="J141" s="5" t="s">
        <v>81</v>
      </c>
      <c r="K141" s="5" t="s">
        <v>344</v>
      </c>
      <c r="L141" s="15" t="s">
        <v>39</v>
      </c>
      <c r="M141" s="14" t="str">
        <f>_xlfn.XLOOKUP(F141,Department!$A$2:$A$6,Department!$B$2:$B$6)</f>
        <v>Sales</v>
      </c>
      <c r="N141" s="22">
        <f>_xlfn.XLOOKUP(A141,Performance!$A$2:$A$501,Performance!$C$2:$C$501)</f>
        <v>2</v>
      </c>
      <c r="O141" s="19" cm="1">
        <f t="array" ref="O141">_xlfn.IFS(N141=5,I141*15%,N141=4,I141*10%,N141=3,I141*7%,N141&lt;3,I141*5%)</f>
        <v>5485.2000000000007</v>
      </c>
    </row>
    <row r="142" spans="1:15">
      <c r="A142" s="4" t="s">
        <v>345</v>
      </c>
      <c r="B142" s="5" t="s">
        <v>58</v>
      </c>
      <c r="C142" s="5" t="s">
        <v>117</v>
      </c>
      <c r="D142" s="5" t="s">
        <v>19</v>
      </c>
      <c r="E142" s="5">
        <v>32</v>
      </c>
      <c r="F142" s="5" t="s">
        <v>43</v>
      </c>
      <c r="G142" s="5" t="s">
        <v>36</v>
      </c>
      <c r="H142" s="6">
        <v>44057</v>
      </c>
      <c r="I142" s="5">
        <v>68125</v>
      </c>
      <c r="J142" s="5" t="s">
        <v>37</v>
      </c>
      <c r="K142" s="5" t="s">
        <v>346</v>
      </c>
      <c r="L142" s="15" t="s">
        <v>24</v>
      </c>
      <c r="M142" s="14" t="str">
        <f>_xlfn.XLOOKUP(F142,Department!$A$2:$A$6,Department!$B$2:$B$6)</f>
        <v>Marketing</v>
      </c>
      <c r="N142" s="22">
        <f>_xlfn.XLOOKUP(A142,Performance!$A$2:$A$501,Performance!$C$2:$C$501)</f>
        <v>3</v>
      </c>
      <c r="O142" s="19" cm="1">
        <f t="array" ref="O142">_xlfn.IFS(N142=5,I142*15%,N142=4,I142*10%,N142=3,I142*7%,N142&lt;3,I142*5%)</f>
        <v>4768.75</v>
      </c>
    </row>
    <row r="143" spans="1:15">
      <c r="A143" s="4" t="s">
        <v>347</v>
      </c>
      <c r="B143" s="5" t="s">
        <v>42</v>
      </c>
      <c r="C143" s="5" t="s">
        <v>80</v>
      </c>
      <c r="D143" s="5" t="s">
        <v>19</v>
      </c>
      <c r="E143" s="5">
        <v>47</v>
      </c>
      <c r="F143" s="5" t="s">
        <v>35</v>
      </c>
      <c r="G143" s="5" t="s">
        <v>21</v>
      </c>
      <c r="H143" s="6">
        <v>43547</v>
      </c>
      <c r="I143" s="5">
        <v>96812</v>
      </c>
      <c r="J143" s="5" t="s">
        <v>81</v>
      </c>
      <c r="K143" s="5" t="s">
        <v>348</v>
      </c>
      <c r="L143" s="15" t="s">
        <v>24</v>
      </c>
      <c r="M143" s="14" t="str">
        <f>_xlfn.XLOOKUP(F143,Department!$A$2:$A$6,Department!$B$2:$B$6)</f>
        <v>Sales</v>
      </c>
      <c r="N143" s="22">
        <f>_xlfn.XLOOKUP(A143,Performance!$A$2:$A$501,Performance!$C$2:$C$501)</f>
        <v>1</v>
      </c>
      <c r="O143" s="19" cm="1">
        <f t="array" ref="O143">_xlfn.IFS(N143=5,I143*15%,N143=4,I143*10%,N143=3,I143*7%,N143&lt;3,I143*5%)</f>
        <v>4840.6000000000004</v>
      </c>
    </row>
    <row r="144" spans="1:15">
      <c r="A144" s="4" t="s">
        <v>349</v>
      </c>
      <c r="B144" s="5" t="s">
        <v>61</v>
      </c>
      <c r="C144" s="5" t="s">
        <v>141</v>
      </c>
      <c r="D144" s="5" t="s">
        <v>19</v>
      </c>
      <c r="E144" s="5">
        <v>47</v>
      </c>
      <c r="F144" s="5" t="s">
        <v>54</v>
      </c>
      <c r="G144" s="5" t="s">
        <v>30</v>
      </c>
      <c r="H144" s="6">
        <v>44316</v>
      </c>
      <c r="I144" s="5">
        <v>116650</v>
      </c>
      <c r="J144" s="5" t="s">
        <v>67</v>
      </c>
      <c r="K144" s="5" t="s">
        <v>350</v>
      </c>
      <c r="L144" s="15" t="s">
        <v>39</v>
      </c>
      <c r="M144" s="14" t="str">
        <f>_xlfn.XLOOKUP(F144,Department!$A$2:$A$6,Department!$B$2:$B$6)</f>
        <v>Finance</v>
      </c>
      <c r="N144" s="22">
        <f>_xlfn.XLOOKUP(A144,Performance!$A$2:$A$501,Performance!$C$2:$C$501)</f>
        <v>3</v>
      </c>
      <c r="O144" s="19" cm="1">
        <f t="array" ref="O144">_xlfn.IFS(N144=5,I144*15%,N144=4,I144*10%,N144=3,I144*7%,N144&lt;3,I144*5%)</f>
        <v>8165.5000000000009</v>
      </c>
    </row>
    <row r="145" spans="1:15">
      <c r="A145" s="4" t="s">
        <v>351</v>
      </c>
      <c r="B145" s="5" t="s">
        <v>74</v>
      </c>
      <c r="C145" s="5" t="s">
        <v>84</v>
      </c>
      <c r="D145" s="5" t="s">
        <v>28</v>
      </c>
      <c r="E145" s="5">
        <v>28</v>
      </c>
      <c r="F145" s="5" t="s">
        <v>43</v>
      </c>
      <c r="G145" s="5" t="s">
        <v>30</v>
      </c>
      <c r="H145" s="6">
        <v>43296</v>
      </c>
      <c r="I145" s="5">
        <v>86592</v>
      </c>
      <c r="J145" s="5" t="s">
        <v>81</v>
      </c>
      <c r="K145" s="5" t="s">
        <v>352</v>
      </c>
      <c r="L145" s="15" t="s">
        <v>39</v>
      </c>
      <c r="M145" s="14" t="str">
        <f>_xlfn.XLOOKUP(F145,Department!$A$2:$A$6,Department!$B$2:$B$6)</f>
        <v>Marketing</v>
      </c>
      <c r="N145" s="22">
        <f>_xlfn.XLOOKUP(A145,Performance!$A$2:$A$501,Performance!$C$2:$C$501)</f>
        <v>1</v>
      </c>
      <c r="O145" s="19" cm="1">
        <f t="array" ref="O145">_xlfn.IFS(N145=5,I145*15%,N145=4,I145*10%,N145=3,I145*7%,N145&lt;3,I145*5%)</f>
        <v>4329.6000000000004</v>
      </c>
    </row>
    <row r="146" spans="1:15">
      <c r="A146" s="4" t="s">
        <v>353</v>
      </c>
      <c r="B146" s="5" t="s">
        <v>48</v>
      </c>
      <c r="C146" s="5" t="s">
        <v>27</v>
      </c>
      <c r="D146" s="5" t="s">
        <v>28</v>
      </c>
      <c r="E146" s="5">
        <v>57</v>
      </c>
      <c r="F146" s="5" t="s">
        <v>54</v>
      </c>
      <c r="G146" s="5" t="s">
        <v>30</v>
      </c>
      <c r="H146" s="6">
        <v>45417</v>
      </c>
      <c r="I146" s="5">
        <v>78320</v>
      </c>
      <c r="J146" s="5" t="s">
        <v>37</v>
      </c>
      <c r="K146" s="5" t="s">
        <v>354</v>
      </c>
      <c r="L146" s="15" t="s">
        <v>24</v>
      </c>
      <c r="M146" s="14" t="str">
        <f>_xlfn.XLOOKUP(F146,Department!$A$2:$A$6,Department!$B$2:$B$6)</f>
        <v>Finance</v>
      </c>
      <c r="N146" s="22">
        <f>_xlfn.XLOOKUP(A146,Performance!$A$2:$A$501,Performance!$C$2:$C$501)</f>
        <v>1</v>
      </c>
      <c r="O146" s="19" cm="1">
        <f t="array" ref="O146">_xlfn.IFS(N146=5,I146*15%,N146=4,I146*10%,N146=3,I146*7%,N146&lt;3,I146*5%)</f>
        <v>3916</v>
      </c>
    </row>
    <row r="147" spans="1:15">
      <c r="A147" s="4" t="s">
        <v>355</v>
      </c>
      <c r="B147" s="5" t="s">
        <v>34</v>
      </c>
      <c r="C147" s="5" t="s">
        <v>49</v>
      </c>
      <c r="D147" s="5" t="s">
        <v>28</v>
      </c>
      <c r="E147" s="5">
        <v>40</v>
      </c>
      <c r="F147" s="5" t="s">
        <v>20</v>
      </c>
      <c r="G147" s="5" t="s">
        <v>21</v>
      </c>
      <c r="H147" s="6">
        <v>43738</v>
      </c>
      <c r="I147" s="5">
        <v>50627</v>
      </c>
      <c r="J147" s="5" t="s">
        <v>81</v>
      </c>
      <c r="K147" s="5" t="s">
        <v>356</v>
      </c>
      <c r="L147" s="15" t="s">
        <v>39</v>
      </c>
      <c r="M147" s="14" t="str">
        <f>_xlfn.XLOOKUP(F147,Department!$A$2:$A$6,Department!$B$2:$B$6)</f>
        <v>HR</v>
      </c>
      <c r="N147" s="22">
        <f>_xlfn.XLOOKUP(A147,Performance!$A$2:$A$501,Performance!$C$2:$C$501)</f>
        <v>3</v>
      </c>
      <c r="O147" s="19" cm="1">
        <f t="array" ref="O147">_xlfn.IFS(N147=5,I147*15%,N147=4,I147*10%,N147=3,I147*7%,N147&lt;3,I147*5%)</f>
        <v>3543.8900000000003</v>
      </c>
    </row>
    <row r="148" spans="1:15">
      <c r="A148" s="4" t="s">
        <v>357</v>
      </c>
      <c r="B148" s="5" t="s">
        <v>42</v>
      </c>
      <c r="C148" s="5" t="s">
        <v>93</v>
      </c>
      <c r="D148" s="5" t="s">
        <v>28</v>
      </c>
      <c r="E148" s="5">
        <v>47</v>
      </c>
      <c r="F148" s="5" t="s">
        <v>29</v>
      </c>
      <c r="G148" s="5" t="s">
        <v>30</v>
      </c>
      <c r="H148" s="6">
        <v>44683</v>
      </c>
      <c r="I148" s="5">
        <v>84212</v>
      </c>
      <c r="J148" s="5" t="s">
        <v>37</v>
      </c>
      <c r="K148" s="5" t="s">
        <v>358</v>
      </c>
      <c r="L148" s="15" t="s">
        <v>39</v>
      </c>
      <c r="M148" s="14" t="str">
        <f>_xlfn.XLOOKUP(F148,Department!$A$2:$A$6,Department!$B$2:$B$6)</f>
        <v>IT</v>
      </c>
      <c r="N148" s="22">
        <f>_xlfn.XLOOKUP(A148,Performance!$A$2:$A$501,Performance!$C$2:$C$501)</f>
        <v>5</v>
      </c>
      <c r="O148" s="19" cm="1">
        <f t="array" ref="O148">_xlfn.IFS(N148=5,I148*15%,N148=4,I148*10%,N148=3,I148*7%,N148&lt;3,I148*5%)</f>
        <v>12631.8</v>
      </c>
    </row>
    <row r="149" spans="1:15">
      <c r="A149" s="4" t="s">
        <v>359</v>
      </c>
      <c r="B149" s="5" t="s">
        <v>58</v>
      </c>
      <c r="C149" s="5" t="s">
        <v>66</v>
      </c>
      <c r="D149" s="5" t="s">
        <v>19</v>
      </c>
      <c r="E149" s="5">
        <v>53</v>
      </c>
      <c r="F149" s="5" t="s">
        <v>54</v>
      </c>
      <c r="G149" s="5" t="s">
        <v>36</v>
      </c>
      <c r="H149" s="6">
        <v>45259</v>
      </c>
      <c r="I149" s="5">
        <v>98718</v>
      </c>
      <c r="J149" s="5" t="s">
        <v>37</v>
      </c>
      <c r="K149" s="5" t="s">
        <v>360</v>
      </c>
      <c r="L149" s="15" t="s">
        <v>24</v>
      </c>
      <c r="M149" s="14" t="str">
        <f>_xlfn.XLOOKUP(F149,Department!$A$2:$A$6,Department!$B$2:$B$6)</f>
        <v>Finance</v>
      </c>
      <c r="N149" s="22">
        <f>_xlfn.XLOOKUP(A149,Performance!$A$2:$A$501,Performance!$C$2:$C$501)</f>
        <v>5</v>
      </c>
      <c r="O149" s="19" cm="1">
        <f t="array" ref="O149">_xlfn.IFS(N149=5,I149*15%,N149=4,I149*10%,N149=3,I149*7%,N149&lt;3,I149*5%)</f>
        <v>14807.699999999999</v>
      </c>
    </row>
    <row r="150" spans="1:15">
      <c r="A150" s="4" t="s">
        <v>361</v>
      </c>
      <c r="B150" s="5" t="s">
        <v>126</v>
      </c>
      <c r="C150" s="5" t="s">
        <v>27</v>
      </c>
      <c r="D150" s="5" t="s">
        <v>28</v>
      </c>
      <c r="E150" s="5">
        <v>22</v>
      </c>
      <c r="F150" s="5" t="s">
        <v>20</v>
      </c>
      <c r="G150" s="5" t="s">
        <v>30</v>
      </c>
      <c r="H150" s="6">
        <v>44546</v>
      </c>
      <c r="I150" s="5">
        <v>35307</v>
      </c>
      <c r="J150" s="5" t="s">
        <v>81</v>
      </c>
      <c r="K150" s="5" t="s">
        <v>362</v>
      </c>
      <c r="L150" s="15" t="s">
        <v>39</v>
      </c>
      <c r="M150" s="14" t="str">
        <f>_xlfn.XLOOKUP(F150,Department!$A$2:$A$6,Department!$B$2:$B$6)</f>
        <v>HR</v>
      </c>
      <c r="N150" s="22">
        <f>_xlfn.XLOOKUP(A150,Performance!$A$2:$A$501,Performance!$C$2:$C$501)</f>
        <v>4</v>
      </c>
      <c r="O150" s="19" cm="1">
        <f t="array" ref="O150">_xlfn.IFS(N150=5,I150*15%,N150=4,I150*10%,N150=3,I150*7%,N150&lt;3,I150*5%)</f>
        <v>3530.7000000000003</v>
      </c>
    </row>
    <row r="151" spans="1:15">
      <c r="A151" s="4" t="s">
        <v>363</v>
      </c>
      <c r="B151" s="5" t="s">
        <v>34</v>
      </c>
      <c r="C151" s="5" t="s">
        <v>117</v>
      </c>
      <c r="D151" s="5" t="s">
        <v>19</v>
      </c>
      <c r="E151" s="5">
        <v>54</v>
      </c>
      <c r="F151" s="5" t="s">
        <v>29</v>
      </c>
      <c r="G151" s="5" t="s">
        <v>102</v>
      </c>
      <c r="H151" s="6">
        <v>43325</v>
      </c>
      <c r="I151" s="5">
        <v>92735</v>
      </c>
      <c r="J151" s="5" t="s">
        <v>62</v>
      </c>
      <c r="K151" s="5" t="s">
        <v>364</v>
      </c>
      <c r="L151" s="15" t="s">
        <v>39</v>
      </c>
      <c r="M151" s="14" t="str">
        <f>_xlfn.XLOOKUP(F151,Department!$A$2:$A$6,Department!$B$2:$B$6)</f>
        <v>IT</v>
      </c>
      <c r="N151" s="22">
        <f>_xlfn.XLOOKUP(A151,Performance!$A$2:$A$501,Performance!$C$2:$C$501)</f>
        <v>1</v>
      </c>
      <c r="O151" s="19" cm="1">
        <f t="array" ref="O151">_xlfn.IFS(N151=5,I151*15%,N151=4,I151*10%,N151=3,I151*7%,N151&lt;3,I151*5%)</f>
        <v>4636.75</v>
      </c>
    </row>
    <row r="152" spans="1:15">
      <c r="A152" s="4" t="s">
        <v>365</v>
      </c>
      <c r="B152" s="5" t="s">
        <v>92</v>
      </c>
      <c r="C152" s="5" t="s">
        <v>18</v>
      </c>
      <c r="D152" s="5" t="s">
        <v>28</v>
      </c>
      <c r="E152" s="5">
        <v>45</v>
      </c>
      <c r="F152" s="5" t="s">
        <v>54</v>
      </c>
      <c r="G152" s="5" t="s">
        <v>21</v>
      </c>
      <c r="H152" s="6">
        <v>43851</v>
      </c>
      <c r="I152" s="5">
        <v>55679</v>
      </c>
      <c r="J152" s="5" t="s">
        <v>62</v>
      </c>
      <c r="K152" s="5" t="s">
        <v>366</v>
      </c>
      <c r="L152" s="15" t="s">
        <v>39</v>
      </c>
      <c r="M152" s="14" t="str">
        <f>_xlfn.XLOOKUP(F152,Department!$A$2:$A$6,Department!$B$2:$B$6)</f>
        <v>Finance</v>
      </c>
      <c r="N152" s="22">
        <f>_xlfn.XLOOKUP(A152,Performance!$A$2:$A$501,Performance!$C$2:$C$501)</f>
        <v>2</v>
      </c>
      <c r="O152" s="19" cm="1">
        <f t="array" ref="O152">_xlfn.IFS(N152=5,I152*15%,N152=4,I152*10%,N152=3,I152*7%,N152&lt;3,I152*5%)</f>
        <v>2783.9500000000003</v>
      </c>
    </row>
    <row r="153" spans="1:15">
      <c r="A153" s="4" t="s">
        <v>367</v>
      </c>
      <c r="B153" s="5" t="s">
        <v>42</v>
      </c>
      <c r="C153" s="5" t="s">
        <v>89</v>
      </c>
      <c r="D153" s="5" t="s">
        <v>19</v>
      </c>
      <c r="E153" s="5">
        <v>25</v>
      </c>
      <c r="F153" s="5" t="s">
        <v>29</v>
      </c>
      <c r="G153" s="5" t="s">
        <v>36</v>
      </c>
      <c r="H153" s="6">
        <v>43840</v>
      </c>
      <c r="I153" s="5">
        <v>94614</v>
      </c>
      <c r="J153" s="5" t="s">
        <v>37</v>
      </c>
      <c r="K153" s="5" t="s">
        <v>368</v>
      </c>
      <c r="L153" s="15" t="s">
        <v>24</v>
      </c>
      <c r="M153" s="14" t="str">
        <f>_xlfn.XLOOKUP(F153,Department!$A$2:$A$6,Department!$B$2:$B$6)</f>
        <v>IT</v>
      </c>
      <c r="N153" s="22">
        <f>_xlfn.XLOOKUP(A153,Performance!$A$2:$A$501,Performance!$C$2:$C$501)</f>
        <v>5</v>
      </c>
      <c r="O153" s="19" cm="1">
        <f t="array" ref="O153">_xlfn.IFS(N153=5,I153*15%,N153=4,I153*10%,N153=3,I153*7%,N153&lt;3,I153*5%)</f>
        <v>14192.1</v>
      </c>
    </row>
    <row r="154" spans="1:15">
      <c r="A154" s="4" t="s">
        <v>369</v>
      </c>
      <c r="B154" s="5" t="s">
        <v>34</v>
      </c>
      <c r="C154" s="5" t="s">
        <v>89</v>
      </c>
      <c r="D154" s="5" t="s">
        <v>28</v>
      </c>
      <c r="E154" s="5">
        <v>53</v>
      </c>
      <c r="F154" s="5" t="s">
        <v>35</v>
      </c>
      <c r="G154" s="5" t="s">
        <v>44</v>
      </c>
      <c r="H154" s="6">
        <v>44395</v>
      </c>
      <c r="I154" s="5">
        <v>102516</v>
      </c>
      <c r="J154" s="5" t="s">
        <v>37</v>
      </c>
      <c r="K154" s="5" t="s">
        <v>370</v>
      </c>
      <c r="L154" s="15" t="s">
        <v>24</v>
      </c>
      <c r="M154" s="14" t="str">
        <f>_xlfn.XLOOKUP(F154,Department!$A$2:$A$6,Department!$B$2:$B$6)</f>
        <v>Sales</v>
      </c>
      <c r="N154" s="22">
        <f>_xlfn.XLOOKUP(A154,Performance!$A$2:$A$501,Performance!$C$2:$C$501)</f>
        <v>5</v>
      </c>
      <c r="O154" s="19" cm="1">
        <f t="array" ref="O154">_xlfn.IFS(N154=5,I154*15%,N154=4,I154*10%,N154=3,I154*7%,N154&lt;3,I154*5%)</f>
        <v>15377.4</v>
      </c>
    </row>
    <row r="155" spans="1:15">
      <c r="A155" s="4" t="s">
        <v>371</v>
      </c>
      <c r="B155" s="5" t="s">
        <v>53</v>
      </c>
      <c r="C155" s="5" t="s">
        <v>89</v>
      </c>
      <c r="D155" s="5" t="s">
        <v>28</v>
      </c>
      <c r="E155" s="5">
        <v>48</v>
      </c>
      <c r="F155" s="5" t="s">
        <v>35</v>
      </c>
      <c r="G155" s="5" t="s">
        <v>21</v>
      </c>
      <c r="H155" s="6">
        <v>43319</v>
      </c>
      <c r="I155" s="5">
        <v>47666</v>
      </c>
      <c r="J155" s="5" t="s">
        <v>81</v>
      </c>
      <c r="K155" s="5" t="s">
        <v>372</v>
      </c>
      <c r="L155" s="15" t="s">
        <v>39</v>
      </c>
      <c r="M155" s="14" t="str">
        <f>_xlfn.XLOOKUP(F155,Department!$A$2:$A$6,Department!$B$2:$B$6)</f>
        <v>Sales</v>
      </c>
      <c r="N155" s="22">
        <f>_xlfn.XLOOKUP(A155,Performance!$A$2:$A$501,Performance!$C$2:$C$501)</f>
        <v>2</v>
      </c>
      <c r="O155" s="19" cm="1">
        <f t="array" ref="O155">_xlfn.IFS(N155=5,I155*15%,N155=4,I155*10%,N155=3,I155*7%,N155&lt;3,I155*5%)</f>
        <v>2383.3000000000002</v>
      </c>
    </row>
    <row r="156" spans="1:15">
      <c r="A156" s="4" t="s">
        <v>373</v>
      </c>
      <c r="B156" s="5" t="s">
        <v>58</v>
      </c>
      <c r="C156" s="5" t="s">
        <v>27</v>
      </c>
      <c r="D156" s="5" t="s">
        <v>19</v>
      </c>
      <c r="E156" s="5">
        <v>27</v>
      </c>
      <c r="F156" s="5" t="s">
        <v>20</v>
      </c>
      <c r="G156" s="5" t="s">
        <v>44</v>
      </c>
      <c r="H156" s="6">
        <v>44769</v>
      </c>
      <c r="I156" s="5">
        <v>72710</v>
      </c>
      <c r="J156" s="5" t="s">
        <v>81</v>
      </c>
      <c r="K156" s="5" t="s">
        <v>374</v>
      </c>
      <c r="L156" s="15" t="s">
        <v>39</v>
      </c>
      <c r="M156" s="14" t="str">
        <f>_xlfn.XLOOKUP(F156,Department!$A$2:$A$6,Department!$B$2:$B$6)</f>
        <v>HR</v>
      </c>
      <c r="N156" s="22">
        <f>_xlfn.XLOOKUP(A156,Performance!$A$2:$A$501,Performance!$C$2:$C$501)</f>
        <v>2</v>
      </c>
      <c r="O156" s="19" cm="1">
        <f t="array" ref="O156">_xlfn.IFS(N156=5,I156*15%,N156=4,I156*10%,N156=3,I156*7%,N156&lt;3,I156*5%)</f>
        <v>3635.5</v>
      </c>
    </row>
    <row r="157" spans="1:15">
      <c r="A157" s="4" t="s">
        <v>375</v>
      </c>
      <c r="B157" s="5" t="s">
        <v>74</v>
      </c>
      <c r="C157" s="5" t="s">
        <v>27</v>
      </c>
      <c r="D157" s="5" t="s">
        <v>28</v>
      </c>
      <c r="E157" s="5">
        <v>22</v>
      </c>
      <c r="F157" s="5" t="s">
        <v>29</v>
      </c>
      <c r="G157" s="5" t="s">
        <v>102</v>
      </c>
      <c r="H157" s="6">
        <v>44823</v>
      </c>
      <c r="I157" s="5">
        <v>60944</v>
      </c>
      <c r="J157" s="5" t="s">
        <v>67</v>
      </c>
      <c r="K157" s="5" t="s">
        <v>376</v>
      </c>
      <c r="L157" s="15" t="s">
        <v>39</v>
      </c>
      <c r="M157" s="14" t="str">
        <f>_xlfn.XLOOKUP(F157,Department!$A$2:$A$6,Department!$B$2:$B$6)</f>
        <v>IT</v>
      </c>
      <c r="N157" s="22">
        <f>_xlfn.XLOOKUP(A157,Performance!$A$2:$A$501,Performance!$C$2:$C$501)</f>
        <v>3</v>
      </c>
      <c r="O157" s="19" cm="1">
        <f t="array" ref="O157">_xlfn.IFS(N157=5,I157*15%,N157=4,I157*10%,N157=3,I157*7%,N157&lt;3,I157*5%)</f>
        <v>4266.0800000000008</v>
      </c>
    </row>
    <row r="158" spans="1:15">
      <c r="A158" s="4" t="s">
        <v>377</v>
      </c>
      <c r="B158" s="5" t="s">
        <v>58</v>
      </c>
      <c r="C158" s="5" t="s">
        <v>80</v>
      </c>
      <c r="D158" s="5" t="s">
        <v>19</v>
      </c>
      <c r="E158" s="5">
        <v>39</v>
      </c>
      <c r="F158" s="5" t="s">
        <v>54</v>
      </c>
      <c r="G158" s="5" t="s">
        <v>36</v>
      </c>
      <c r="H158" s="6">
        <v>43684</v>
      </c>
      <c r="I158" s="5">
        <v>87181</v>
      </c>
      <c r="J158" s="5" t="s">
        <v>62</v>
      </c>
      <c r="K158" s="5" t="s">
        <v>378</v>
      </c>
      <c r="L158" s="15" t="s">
        <v>24</v>
      </c>
      <c r="M158" s="14" t="str">
        <f>_xlfn.XLOOKUP(F158,Department!$A$2:$A$6,Department!$B$2:$B$6)</f>
        <v>Finance</v>
      </c>
      <c r="N158" s="22">
        <f>_xlfn.XLOOKUP(A158,Performance!$A$2:$A$501,Performance!$C$2:$C$501)</f>
        <v>5</v>
      </c>
      <c r="O158" s="19" cm="1">
        <f t="array" ref="O158">_xlfn.IFS(N158=5,I158*15%,N158=4,I158*10%,N158=3,I158*7%,N158&lt;3,I158*5%)</f>
        <v>13077.15</v>
      </c>
    </row>
    <row r="159" spans="1:15">
      <c r="A159" s="4" t="s">
        <v>379</v>
      </c>
      <c r="B159" s="5" t="s">
        <v>74</v>
      </c>
      <c r="C159" s="5" t="s">
        <v>66</v>
      </c>
      <c r="D159" s="5" t="s">
        <v>19</v>
      </c>
      <c r="E159" s="5">
        <v>42</v>
      </c>
      <c r="F159" s="5" t="s">
        <v>35</v>
      </c>
      <c r="G159" s="5" t="s">
        <v>36</v>
      </c>
      <c r="H159" s="6">
        <v>43484</v>
      </c>
      <c r="I159" s="5">
        <v>65659</v>
      </c>
      <c r="J159" s="5" t="s">
        <v>67</v>
      </c>
      <c r="K159" s="5" t="s">
        <v>380</v>
      </c>
      <c r="L159" s="15" t="s">
        <v>39</v>
      </c>
      <c r="M159" s="14" t="str">
        <f>_xlfn.XLOOKUP(F159,Department!$A$2:$A$6,Department!$B$2:$B$6)</f>
        <v>Sales</v>
      </c>
      <c r="N159" s="22">
        <f>_xlfn.XLOOKUP(A159,Performance!$A$2:$A$501,Performance!$C$2:$C$501)</f>
        <v>3</v>
      </c>
      <c r="O159" s="19" cm="1">
        <f t="array" ref="O159">_xlfn.IFS(N159=5,I159*15%,N159=4,I159*10%,N159=3,I159*7%,N159&lt;3,I159*5%)</f>
        <v>4596.13</v>
      </c>
    </row>
    <row r="160" spans="1:15">
      <c r="A160" s="4" t="s">
        <v>381</v>
      </c>
      <c r="B160" s="5" t="s">
        <v>53</v>
      </c>
      <c r="C160" s="5" t="s">
        <v>80</v>
      </c>
      <c r="D160" s="5" t="s">
        <v>28</v>
      </c>
      <c r="E160" s="5">
        <v>46</v>
      </c>
      <c r="F160" s="5" t="s">
        <v>54</v>
      </c>
      <c r="G160" s="5" t="s">
        <v>36</v>
      </c>
      <c r="H160" s="6">
        <v>44011</v>
      </c>
      <c r="I160" s="5">
        <v>100538</v>
      </c>
      <c r="J160" s="5" t="s">
        <v>67</v>
      </c>
      <c r="K160" s="5" t="s">
        <v>382</v>
      </c>
      <c r="L160" s="15" t="s">
        <v>24</v>
      </c>
      <c r="M160" s="14" t="str">
        <f>_xlfn.XLOOKUP(F160,Department!$A$2:$A$6,Department!$B$2:$B$6)</f>
        <v>Finance</v>
      </c>
      <c r="N160" s="22">
        <f>_xlfn.XLOOKUP(A160,Performance!$A$2:$A$501,Performance!$C$2:$C$501)</f>
        <v>5</v>
      </c>
      <c r="O160" s="19" cm="1">
        <f t="array" ref="O160">_xlfn.IFS(N160=5,I160*15%,N160=4,I160*10%,N160=3,I160*7%,N160&lt;3,I160*5%)</f>
        <v>15080.699999999999</v>
      </c>
    </row>
    <row r="161" spans="1:15">
      <c r="A161" s="4" t="s">
        <v>383</v>
      </c>
      <c r="B161" s="5" t="s">
        <v>74</v>
      </c>
      <c r="C161" s="5" t="s">
        <v>141</v>
      </c>
      <c r="D161" s="5" t="s">
        <v>28</v>
      </c>
      <c r="E161" s="5">
        <v>49</v>
      </c>
      <c r="F161" s="5" t="s">
        <v>54</v>
      </c>
      <c r="G161" s="5" t="s">
        <v>36</v>
      </c>
      <c r="H161" s="6">
        <v>43292</v>
      </c>
      <c r="I161" s="5">
        <v>109819</v>
      </c>
      <c r="J161" s="5" t="s">
        <v>22</v>
      </c>
      <c r="K161" s="5" t="s">
        <v>384</v>
      </c>
      <c r="L161" s="15" t="s">
        <v>24</v>
      </c>
      <c r="M161" s="14" t="str">
        <f>_xlfn.XLOOKUP(F161,Department!$A$2:$A$6,Department!$B$2:$B$6)</f>
        <v>Finance</v>
      </c>
      <c r="N161" s="22">
        <f>_xlfn.XLOOKUP(A161,Performance!$A$2:$A$501,Performance!$C$2:$C$501)</f>
        <v>4</v>
      </c>
      <c r="O161" s="19" cm="1">
        <f t="array" ref="O161">_xlfn.IFS(N161=5,I161*15%,N161=4,I161*10%,N161=3,I161*7%,N161&lt;3,I161*5%)</f>
        <v>10981.900000000001</v>
      </c>
    </row>
    <row r="162" spans="1:15">
      <c r="A162" s="4" t="s">
        <v>385</v>
      </c>
      <c r="B162" s="5" t="s">
        <v>42</v>
      </c>
      <c r="C162" s="5" t="s">
        <v>18</v>
      </c>
      <c r="D162" s="5" t="s">
        <v>19</v>
      </c>
      <c r="E162" s="5">
        <v>24</v>
      </c>
      <c r="F162" s="5" t="s">
        <v>35</v>
      </c>
      <c r="G162" s="5" t="s">
        <v>44</v>
      </c>
      <c r="H162" s="6">
        <v>43473</v>
      </c>
      <c r="I162" s="5">
        <v>113747</v>
      </c>
      <c r="J162" s="5" t="s">
        <v>62</v>
      </c>
      <c r="K162" s="5" t="s">
        <v>386</v>
      </c>
      <c r="L162" s="15" t="s">
        <v>24</v>
      </c>
      <c r="M162" s="14" t="str">
        <f>_xlfn.XLOOKUP(F162,Department!$A$2:$A$6,Department!$B$2:$B$6)</f>
        <v>Sales</v>
      </c>
      <c r="N162" s="22">
        <f>_xlfn.XLOOKUP(A162,Performance!$A$2:$A$501,Performance!$C$2:$C$501)</f>
        <v>3</v>
      </c>
      <c r="O162" s="19" cm="1">
        <f t="array" ref="O162">_xlfn.IFS(N162=5,I162*15%,N162=4,I162*10%,N162=3,I162*7%,N162&lt;3,I162*5%)</f>
        <v>7962.2900000000009</v>
      </c>
    </row>
    <row r="163" spans="1:15">
      <c r="A163" s="4" t="s">
        <v>387</v>
      </c>
      <c r="B163" s="5" t="s">
        <v>92</v>
      </c>
      <c r="C163" s="5" t="s">
        <v>49</v>
      </c>
      <c r="D163" s="5" t="s">
        <v>28</v>
      </c>
      <c r="E163" s="5">
        <v>51</v>
      </c>
      <c r="F163" s="5" t="s">
        <v>54</v>
      </c>
      <c r="G163" s="5" t="s">
        <v>30</v>
      </c>
      <c r="H163" s="6">
        <v>43930</v>
      </c>
      <c r="I163" s="5">
        <v>103468</v>
      </c>
      <c r="J163" s="5" t="s">
        <v>67</v>
      </c>
      <c r="K163" s="5" t="s">
        <v>388</v>
      </c>
      <c r="L163" s="15" t="s">
        <v>24</v>
      </c>
      <c r="M163" s="14" t="str">
        <f>_xlfn.XLOOKUP(F163,Department!$A$2:$A$6,Department!$B$2:$B$6)</f>
        <v>Finance</v>
      </c>
      <c r="N163" s="22">
        <f>_xlfn.XLOOKUP(A163,Performance!$A$2:$A$501,Performance!$C$2:$C$501)</f>
        <v>4</v>
      </c>
      <c r="O163" s="19" cm="1">
        <f t="array" ref="O163">_xlfn.IFS(N163=5,I163*15%,N163=4,I163*10%,N163=3,I163*7%,N163&lt;3,I163*5%)</f>
        <v>10346.800000000001</v>
      </c>
    </row>
    <row r="164" spans="1:15">
      <c r="A164" s="4" t="s">
        <v>389</v>
      </c>
      <c r="B164" s="5" t="s">
        <v>34</v>
      </c>
      <c r="C164" s="5" t="s">
        <v>89</v>
      </c>
      <c r="D164" s="5" t="s">
        <v>28</v>
      </c>
      <c r="E164" s="5">
        <v>22</v>
      </c>
      <c r="F164" s="5" t="s">
        <v>35</v>
      </c>
      <c r="G164" s="5" t="s">
        <v>36</v>
      </c>
      <c r="H164" s="6">
        <v>43275</v>
      </c>
      <c r="I164" s="5">
        <v>55327</v>
      </c>
      <c r="J164" s="5" t="s">
        <v>67</v>
      </c>
      <c r="K164" s="5" t="s">
        <v>390</v>
      </c>
      <c r="L164" s="15" t="s">
        <v>39</v>
      </c>
      <c r="M164" s="14" t="str">
        <f>_xlfn.XLOOKUP(F164,Department!$A$2:$A$6,Department!$B$2:$B$6)</f>
        <v>Sales</v>
      </c>
      <c r="N164" s="22">
        <f>_xlfn.XLOOKUP(A164,Performance!$A$2:$A$501,Performance!$C$2:$C$501)</f>
        <v>4</v>
      </c>
      <c r="O164" s="19" cm="1">
        <f t="array" ref="O164">_xlfn.IFS(N164=5,I164*15%,N164=4,I164*10%,N164=3,I164*7%,N164&lt;3,I164*5%)</f>
        <v>5532.7000000000007</v>
      </c>
    </row>
    <row r="165" spans="1:15">
      <c r="A165" s="4" t="s">
        <v>391</v>
      </c>
      <c r="B165" s="5" t="s">
        <v>53</v>
      </c>
      <c r="C165" s="5" t="s">
        <v>49</v>
      </c>
      <c r="D165" s="5" t="s">
        <v>28</v>
      </c>
      <c r="E165" s="5">
        <v>43</v>
      </c>
      <c r="F165" s="5" t="s">
        <v>35</v>
      </c>
      <c r="G165" s="5" t="s">
        <v>30</v>
      </c>
      <c r="H165" s="6">
        <v>44697</v>
      </c>
      <c r="I165" s="5">
        <v>89628</v>
      </c>
      <c r="J165" s="5" t="s">
        <v>62</v>
      </c>
      <c r="K165" s="5" t="s">
        <v>392</v>
      </c>
      <c r="L165" s="15" t="s">
        <v>24</v>
      </c>
      <c r="M165" s="14" t="str">
        <f>_xlfn.XLOOKUP(F165,Department!$A$2:$A$6,Department!$B$2:$B$6)</f>
        <v>Sales</v>
      </c>
      <c r="N165" s="22">
        <f>_xlfn.XLOOKUP(A165,Performance!$A$2:$A$501,Performance!$C$2:$C$501)</f>
        <v>3</v>
      </c>
      <c r="O165" s="19" cm="1">
        <f t="array" ref="O165">_xlfn.IFS(N165=5,I165*15%,N165=4,I165*10%,N165=3,I165*7%,N165&lt;3,I165*5%)</f>
        <v>6273.9600000000009</v>
      </c>
    </row>
    <row r="166" spans="1:15">
      <c r="A166" s="4" t="s">
        <v>393</v>
      </c>
      <c r="B166" s="5" t="s">
        <v>48</v>
      </c>
      <c r="C166" s="5" t="s">
        <v>80</v>
      </c>
      <c r="D166" s="5" t="s">
        <v>19</v>
      </c>
      <c r="E166" s="5">
        <v>25</v>
      </c>
      <c r="F166" s="5" t="s">
        <v>54</v>
      </c>
      <c r="G166" s="5" t="s">
        <v>102</v>
      </c>
      <c r="H166" s="6">
        <v>45294</v>
      </c>
      <c r="I166" s="5">
        <v>98304</v>
      </c>
      <c r="J166" s="5" t="s">
        <v>81</v>
      </c>
      <c r="K166" s="5" t="s">
        <v>394</v>
      </c>
      <c r="L166" s="15" t="s">
        <v>39</v>
      </c>
      <c r="M166" s="14" t="str">
        <f>_xlfn.XLOOKUP(F166,Department!$A$2:$A$6,Department!$B$2:$B$6)</f>
        <v>Finance</v>
      </c>
      <c r="N166" s="22">
        <f>_xlfn.XLOOKUP(A166,Performance!$A$2:$A$501,Performance!$C$2:$C$501)</f>
        <v>5</v>
      </c>
      <c r="O166" s="19" cm="1">
        <f t="array" ref="O166">_xlfn.IFS(N166=5,I166*15%,N166=4,I166*10%,N166=3,I166*7%,N166&lt;3,I166*5%)</f>
        <v>14745.599999999999</v>
      </c>
    </row>
    <row r="167" spans="1:15">
      <c r="A167" s="4" t="s">
        <v>395</v>
      </c>
      <c r="B167" s="5" t="s">
        <v>58</v>
      </c>
      <c r="C167" s="5" t="s">
        <v>89</v>
      </c>
      <c r="D167" s="5" t="s">
        <v>19</v>
      </c>
      <c r="E167" s="5">
        <v>50</v>
      </c>
      <c r="F167" s="5" t="s">
        <v>20</v>
      </c>
      <c r="G167" s="5" t="s">
        <v>30</v>
      </c>
      <c r="H167" s="6">
        <v>43951</v>
      </c>
      <c r="I167" s="5">
        <v>116611</v>
      </c>
      <c r="J167" s="5" t="s">
        <v>67</v>
      </c>
      <c r="K167" s="5" t="s">
        <v>396</v>
      </c>
      <c r="L167" s="15" t="s">
        <v>39</v>
      </c>
      <c r="M167" s="14" t="str">
        <f>_xlfn.XLOOKUP(F167,Department!$A$2:$A$6,Department!$B$2:$B$6)</f>
        <v>HR</v>
      </c>
      <c r="N167" s="22">
        <f>_xlfn.XLOOKUP(A167,Performance!$A$2:$A$501,Performance!$C$2:$C$501)</f>
        <v>2</v>
      </c>
      <c r="O167" s="19" cm="1">
        <f t="array" ref="O167">_xlfn.IFS(N167=5,I167*15%,N167=4,I167*10%,N167=3,I167*7%,N167&lt;3,I167*5%)</f>
        <v>5830.55</v>
      </c>
    </row>
    <row r="168" spans="1:15">
      <c r="A168" s="4" t="s">
        <v>397</v>
      </c>
      <c r="B168" s="5" t="s">
        <v>42</v>
      </c>
      <c r="C168" s="5" t="s">
        <v>80</v>
      </c>
      <c r="D168" s="5" t="s">
        <v>28</v>
      </c>
      <c r="E168" s="5">
        <v>41</v>
      </c>
      <c r="F168" s="5" t="s">
        <v>43</v>
      </c>
      <c r="G168" s="5" t="s">
        <v>21</v>
      </c>
      <c r="H168" s="6">
        <v>43425</v>
      </c>
      <c r="I168" s="5">
        <v>45748</v>
      </c>
      <c r="J168" s="5" t="s">
        <v>22</v>
      </c>
      <c r="K168" s="5" t="s">
        <v>398</v>
      </c>
      <c r="L168" s="15" t="s">
        <v>39</v>
      </c>
      <c r="M168" s="14" t="str">
        <f>_xlfn.XLOOKUP(F168,Department!$A$2:$A$6,Department!$B$2:$B$6)</f>
        <v>Marketing</v>
      </c>
      <c r="N168" s="22">
        <f>_xlfn.XLOOKUP(A168,Performance!$A$2:$A$501,Performance!$C$2:$C$501)</f>
        <v>1</v>
      </c>
      <c r="O168" s="19" cm="1">
        <f t="array" ref="O168">_xlfn.IFS(N168=5,I168*15%,N168=4,I168*10%,N168=3,I168*7%,N168&lt;3,I168*5%)</f>
        <v>2287.4</v>
      </c>
    </row>
    <row r="169" spans="1:15">
      <c r="A169" s="4" t="s">
        <v>399</v>
      </c>
      <c r="B169" s="5" t="s">
        <v>58</v>
      </c>
      <c r="C169" s="5" t="s">
        <v>84</v>
      </c>
      <c r="D169" s="5" t="s">
        <v>28</v>
      </c>
      <c r="E169" s="5">
        <v>48</v>
      </c>
      <c r="F169" s="5" t="s">
        <v>43</v>
      </c>
      <c r="G169" s="5" t="s">
        <v>36</v>
      </c>
      <c r="H169" s="6">
        <v>44997</v>
      </c>
      <c r="I169" s="5">
        <v>45767</v>
      </c>
      <c r="J169" s="5" t="s">
        <v>81</v>
      </c>
      <c r="K169" s="5" t="s">
        <v>400</v>
      </c>
      <c r="L169" s="15" t="s">
        <v>39</v>
      </c>
      <c r="M169" s="14" t="str">
        <f>_xlfn.XLOOKUP(F169,Department!$A$2:$A$6,Department!$B$2:$B$6)</f>
        <v>Marketing</v>
      </c>
      <c r="N169" s="22">
        <f>_xlfn.XLOOKUP(A169,Performance!$A$2:$A$501,Performance!$C$2:$C$501)</f>
        <v>2</v>
      </c>
      <c r="O169" s="19" cm="1">
        <f t="array" ref="O169">_xlfn.IFS(N169=5,I169*15%,N169=4,I169*10%,N169=3,I169*7%,N169&lt;3,I169*5%)</f>
        <v>2288.35</v>
      </c>
    </row>
    <row r="170" spans="1:15">
      <c r="A170" s="4" t="s">
        <v>401</v>
      </c>
      <c r="B170" s="5" t="s">
        <v>61</v>
      </c>
      <c r="C170" s="5" t="s">
        <v>49</v>
      </c>
      <c r="D170" s="5" t="s">
        <v>28</v>
      </c>
      <c r="E170" s="5">
        <v>49</v>
      </c>
      <c r="F170" s="5" t="s">
        <v>54</v>
      </c>
      <c r="G170" s="5" t="s">
        <v>102</v>
      </c>
      <c r="H170" s="6">
        <v>43741</v>
      </c>
      <c r="I170" s="5">
        <v>63927</v>
      </c>
      <c r="J170" s="5" t="s">
        <v>37</v>
      </c>
      <c r="K170" s="5" t="s">
        <v>402</v>
      </c>
      <c r="L170" s="15" t="s">
        <v>39</v>
      </c>
      <c r="M170" s="14" t="str">
        <f>_xlfn.XLOOKUP(F170,Department!$A$2:$A$6,Department!$B$2:$B$6)</f>
        <v>Finance</v>
      </c>
      <c r="N170" s="22">
        <f>_xlfn.XLOOKUP(A170,Performance!$A$2:$A$501,Performance!$C$2:$C$501)</f>
        <v>2</v>
      </c>
      <c r="O170" s="19" cm="1">
        <f t="array" ref="O170">_xlfn.IFS(N170=5,I170*15%,N170=4,I170*10%,N170=3,I170*7%,N170&lt;3,I170*5%)</f>
        <v>3196.3500000000004</v>
      </c>
    </row>
    <row r="171" spans="1:15">
      <c r="A171" s="4" t="s">
        <v>403</v>
      </c>
      <c r="B171" s="5" t="s">
        <v>74</v>
      </c>
      <c r="C171" s="5" t="s">
        <v>27</v>
      </c>
      <c r="D171" s="5" t="s">
        <v>28</v>
      </c>
      <c r="E171" s="5">
        <v>46</v>
      </c>
      <c r="F171" s="5" t="s">
        <v>20</v>
      </c>
      <c r="G171" s="5" t="s">
        <v>102</v>
      </c>
      <c r="H171" s="6">
        <v>44258</v>
      </c>
      <c r="I171" s="5">
        <v>116657</v>
      </c>
      <c r="J171" s="5" t="s">
        <v>62</v>
      </c>
      <c r="K171" s="5" t="s">
        <v>404</v>
      </c>
      <c r="L171" s="15" t="s">
        <v>39</v>
      </c>
      <c r="M171" s="14" t="str">
        <f>_xlfn.XLOOKUP(F171,Department!$A$2:$A$6,Department!$B$2:$B$6)</f>
        <v>HR</v>
      </c>
      <c r="N171" s="22">
        <f>_xlfn.XLOOKUP(A171,Performance!$A$2:$A$501,Performance!$C$2:$C$501)</f>
        <v>1</v>
      </c>
      <c r="O171" s="19" cm="1">
        <f t="array" ref="O171">_xlfn.IFS(N171=5,I171*15%,N171=4,I171*10%,N171=3,I171*7%,N171&lt;3,I171*5%)</f>
        <v>5832.85</v>
      </c>
    </row>
    <row r="172" spans="1:15">
      <c r="A172" s="4" t="s">
        <v>405</v>
      </c>
      <c r="B172" s="5" t="s">
        <v>17</v>
      </c>
      <c r="C172" s="5" t="s">
        <v>89</v>
      </c>
      <c r="D172" s="5" t="s">
        <v>28</v>
      </c>
      <c r="E172" s="5">
        <v>49</v>
      </c>
      <c r="F172" s="5" t="s">
        <v>29</v>
      </c>
      <c r="G172" s="5" t="s">
        <v>30</v>
      </c>
      <c r="H172" s="6">
        <v>43867</v>
      </c>
      <c r="I172" s="5">
        <v>35376</v>
      </c>
      <c r="J172" s="5" t="s">
        <v>37</v>
      </c>
      <c r="K172" s="5" t="s">
        <v>406</v>
      </c>
      <c r="L172" s="15" t="s">
        <v>39</v>
      </c>
      <c r="M172" s="14" t="str">
        <f>_xlfn.XLOOKUP(F172,Department!$A$2:$A$6,Department!$B$2:$B$6)</f>
        <v>IT</v>
      </c>
      <c r="N172" s="22">
        <f>_xlfn.XLOOKUP(A172,Performance!$A$2:$A$501,Performance!$C$2:$C$501)</f>
        <v>5</v>
      </c>
      <c r="O172" s="19" cm="1">
        <f t="array" ref="O172">_xlfn.IFS(N172=5,I172*15%,N172=4,I172*10%,N172=3,I172*7%,N172&lt;3,I172*5%)</f>
        <v>5306.4</v>
      </c>
    </row>
    <row r="173" spans="1:15">
      <c r="A173" s="4" t="s">
        <v>407</v>
      </c>
      <c r="B173" s="5" t="s">
        <v>126</v>
      </c>
      <c r="C173" s="5" t="s">
        <v>66</v>
      </c>
      <c r="D173" s="5" t="s">
        <v>28</v>
      </c>
      <c r="E173" s="5">
        <v>44</v>
      </c>
      <c r="F173" s="5" t="s">
        <v>29</v>
      </c>
      <c r="G173" s="5" t="s">
        <v>102</v>
      </c>
      <c r="H173" s="6">
        <v>43902</v>
      </c>
      <c r="I173" s="5">
        <v>37908</v>
      </c>
      <c r="J173" s="5" t="s">
        <v>67</v>
      </c>
      <c r="K173" s="5" t="s">
        <v>408</v>
      </c>
      <c r="L173" s="15" t="s">
        <v>24</v>
      </c>
      <c r="M173" s="14" t="str">
        <f>_xlfn.XLOOKUP(F173,Department!$A$2:$A$6,Department!$B$2:$B$6)</f>
        <v>IT</v>
      </c>
      <c r="N173" s="22">
        <f>_xlfn.XLOOKUP(A173,Performance!$A$2:$A$501,Performance!$C$2:$C$501)</f>
        <v>5</v>
      </c>
      <c r="O173" s="19" cm="1">
        <f t="array" ref="O173">_xlfn.IFS(N173=5,I173*15%,N173=4,I173*10%,N173=3,I173*7%,N173&lt;3,I173*5%)</f>
        <v>5686.2</v>
      </c>
    </row>
    <row r="174" spans="1:15">
      <c r="A174" s="4" t="s">
        <v>409</v>
      </c>
      <c r="B174" s="5" t="s">
        <v>61</v>
      </c>
      <c r="C174" s="5" t="s">
        <v>66</v>
      </c>
      <c r="D174" s="5" t="s">
        <v>28</v>
      </c>
      <c r="E174" s="5">
        <v>59</v>
      </c>
      <c r="F174" s="5" t="s">
        <v>20</v>
      </c>
      <c r="G174" s="5" t="s">
        <v>21</v>
      </c>
      <c r="H174" s="6">
        <v>43903</v>
      </c>
      <c r="I174" s="5">
        <v>106205</v>
      </c>
      <c r="J174" s="5" t="s">
        <v>37</v>
      </c>
      <c r="K174" s="5" t="s">
        <v>410</v>
      </c>
      <c r="L174" s="15" t="s">
        <v>24</v>
      </c>
      <c r="M174" s="14" t="str">
        <f>_xlfn.XLOOKUP(F174,Department!$A$2:$A$6,Department!$B$2:$B$6)</f>
        <v>HR</v>
      </c>
      <c r="N174" s="22">
        <f>_xlfn.XLOOKUP(A174,Performance!$A$2:$A$501,Performance!$C$2:$C$501)</f>
        <v>3</v>
      </c>
      <c r="O174" s="19" cm="1">
        <f t="array" ref="O174">_xlfn.IFS(N174=5,I174*15%,N174=4,I174*10%,N174=3,I174*7%,N174&lt;3,I174*5%)</f>
        <v>7434.35</v>
      </c>
    </row>
    <row r="175" spans="1:15">
      <c r="A175" s="4" t="s">
        <v>411</v>
      </c>
      <c r="B175" s="5" t="s">
        <v>92</v>
      </c>
      <c r="C175" s="5" t="s">
        <v>117</v>
      </c>
      <c r="D175" s="5" t="s">
        <v>19</v>
      </c>
      <c r="E175" s="5">
        <v>29</v>
      </c>
      <c r="F175" s="5" t="s">
        <v>43</v>
      </c>
      <c r="G175" s="5" t="s">
        <v>102</v>
      </c>
      <c r="H175" s="6">
        <v>43302</v>
      </c>
      <c r="I175" s="5">
        <v>101504</v>
      </c>
      <c r="J175" s="5" t="s">
        <v>81</v>
      </c>
      <c r="K175" s="5" t="s">
        <v>412</v>
      </c>
      <c r="L175" s="15" t="s">
        <v>24</v>
      </c>
      <c r="M175" s="14" t="str">
        <f>_xlfn.XLOOKUP(F175,Department!$A$2:$A$6,Department!$B$2:$B$6)</f>
        <v>Marketing</v>
      </c>
      <c r="N175" s="22">
        <f>_xlfn.XLOOKUP(A175,Performance!$A$2:$A$501,Performance!$C$2:$C$501)</f>
        <v>1</v>
      </c>
      <c r="O175" s="19" cm="1">
        <f t="array" ref="O175">_xlfn.IFS(N175=5,I175*15%,N175=4,I175*10%,N175=3,I175*7%,N175&lt;3,I175*5%)</f>
        <v>5075.2000000000007</v>
      </c>
    </row>
    <row r="176" spans="1:15">
      <c r="A176" s="4" t="s">
        <v>413</v>
      </c>
      <c r="B176" s="5" t="s">
        <v>58</v>
      </c>
      <c r="C176" s="5" t="s">
        <v>66</v>
      </c>
      <c r="D176" s="5" t="s">
        <v>19</v>
      </c>
      <c r="E176" s="5">
        <v>48</v>
      </c>
      <c r="F176" s="5" t="s">
        <v>20</v>
      </c>
      <c r="G176" s="5" t="s">
        <v>102</v>
      </c>
      <c r="H176" s="6">
        <v>43909</v>
      </c>
      <c r="I176" s="5">
        <v>36710</v>
      </c>
      <c r="J176" s="5" t="s">
        <v>37</v>
      </c>
      <c r="K176" s="5" t="s">
        <v>414</v>
      </c>
      <c r="L176" s="15" t="s">
        <v>24</v>
      </c>
      <c r="M176" s="14" t="str">
        <f>_xlfn.XLOOKUP(F176,Department!$A$2:$A$6,Department!$B$2:$B$6)</f>
        <v>HR</v>
      </c>
      <c r="N176" s="22">
        <f>_xlfn.XLOOKUP(A176,Performance!$A$2:$A$501,Performance!$C$2:$C$501)</f>
        <v>1</v>
      </c>
      <c r="O176" s="19" cm="1">
        <f t="array" ref="O176">_xlfn.IFS(N176=5,I176*15%,N176=4,I176*10%,N176=3,I176*7%,N176&lt;3,I176*5%)</f>
        <v>1835.5</v>
      </c>
    </row>
    <row r="177" spans="1:15">
      <c r="A177" s="4" t="s">
        <v>415</v>
      </c>
      <c r="B177" s="5" t="s">
        <v>126</v>
      </c>
      <c r="C177" s="5" t="s">
        <v>84</v>
      </c>
      <c r="D177" s="5" t="s">
        <v>19</v>
      </c>
      <c r="E177" s="5">
        <v>58</v>
      </c>
      <c r="F177" s="5" t="s">
        <v>20</v>
      </c>
      <c r="G177" s="5" t="s">
        <v>36</v>
      </c>
      <c r="H177" s="6">
        <v>44951</v>
      </c>
      <c r="I177" s="5">
        <v>78149</v>
      </c>
      <c r="J177" s="5" t="s">
        <v>22</v>
      </c>
      <c r="K177" s="5" t="s">
        <v>416</v>
      </c>
      <c r="L177" s="15" t="s">
        <v>39</v>
      </c>
      <c r="M177" s="14" t="str">
        <f>_xlfn.XLOOKUP(F177,Department!$A$2:$A$6,Department!$B$2:$B$6)</f>
        <v>HR</v>
      </c>
      <c r="N177" s="22">
        <f>_xlfn.XLOOKUP(A177,Performance!$A$2:$A$501,Performance!$C$2:$C$501)</f>
        <v>5</v>
      </c>
      <c r="O177" s="19" cm="1">
        <f t="array" ref="O177">_xlfn.IFS(N177=5,I177*15%,N177=4,I177*10%,N177=3,I177*7%,N177&lt;3,I177*5%)</f>
        <v>11722.35</v>
      </c>
    </row>
    <row r="178" spans="1:15">
      <c r="A178" s="4" t="s">
        <v>417</v>
      </c>
      <c r="B178" s="5" t="s">
        <v>58</v>
      </c>
      <c r="C178" s="5" t="s">
        <v>89</v>
      </c>
      <c r="D178" s="5" t="s">
        <v>19</v>
      </c>
      <c r="E178" s="5">
        <v>57</v>
      </c>
      <c r="F178" s="5" t="s">
        <v>35</v>
      </c>
      <c r="G178" s="5" t="s">
        <v>36</v>
      </c>
      <c r="H178" s="6">
        <v>44013</v>
      </c>
      <c r="I178" s="5">
        <v>93998</v>
      </c>
      <c r="J178" s="5" t="s">
        <v>22</v>
      </c>
      <c r="K178" s="5" t="s">
        <v>418</v>
      </c>
      <c r="L178" s="15" t="s">
        <v>39</v>
      </c>
      <c r="M178" s="14" t="str">
        <f>_xlfn.XLOOKUP(F178,Department!$A$2:$A$6,Department!$B$2:$B$6)</f>
        <v>Sales</v>
      </c>
      <c r="N178" s="22">
        <f>_xlfn.XLOOKUP(A178,Performance!$A$2:$A$501,Performance!$C$2:$C$501)</f>
        <v>4</v>
      </c>
      <c r="O178" s="19" cm="1">
        <f t="array" ref="O178">_xlfn.IFS(N178=5,I178*15%,N178=4,I178*10%,N178=3,I178*7%,N178&lt;3,I178*5%)</f>
        <v>9399.8000000000011</v>
      </c>
    </row>
    <row r="179" spans="1:15">
      <c r="A179" s="4" t="s">
        <v>419</v>
      </c>
      <c r="B179" s="5" t="s">
        <v>61</v>
      </c>
      <c r="C179" s="5" t="s">
        <v>80</v>
      </c>
      <c r="D179" s="5" t="s">
        <v>28</v>
      </c>
      <c r="E179" s="5">
        <v>50</v>
      </c>
      <c r="F179" s="5" t="s">
        <v>20</v>
      </c>
      <c r="G179" s="5" t="s">
        <v>44</v>
      </c>
      <c r="H179" s="6">
        <v>45371</v>
      </c>
      <c r="I179" s="5">
        <v>47599</v>
      </c>
      <c r="J179" s="5" t="s">
        <v>81</v>
      </c>
      <c r="K179" s="5" t="s">
        <v>420</v>
      </c>
      <c r="L179" s="15" t="s">
        <v>24</v>
      </c>
      <c r="M179" s="14" t="str">
        <f>_xlfn.XLOOKUP(F179,Department!$A$2:$A$6,Department!$B$2:$B$6)</f>
        <v>HR</v>
      </c>
      <c r="N179" s="22">
        <f>_xlfn.XLOOKUP(A179,Performance!$A$2:$A$501,Performance!$C$2:$C$501)</f>
        <v>3</v>
      </c>
      <c r="O179" s="19" cm="1">
        <f t="array" ref="O179">_xlfn.IFS(N179=5,I179*15%,N179=4,I179*10%,N179=3,I179*7%,N179&lt;3,I179*5%)</f>
        <v>3331.9300000000003</v>
      </c>
    </row>
    <row r="180" spans="1:15">
      <c r="A180" s="4" t="s">
        <v>421</v>
      </c>
      <c r="B180" s="5" t="s">
        <v>58</v>
      </c>
      <c r="C180" s="5" t="s">
        <v>49</v>
      </c>
      <c r="D180" s="5" t="s">
        <v>19</v>
      </c>
      <c r="E180" s="5">
        <v>32</v>
      </c>
      <c r="F180" s="5" t="s">
        <v>54</v>
      </c>
      <c r="G180" s="5" t="s">
        <v>30</v>
      </c>
      <c r="H180" s="6">
        <v>43309</v>
      </c>
      <c r="I180" s="5">
        <v>82412</v>
      </c>
      <c r="J180" s="5" t="s">
        <v>67</v>
      </c>
      <c r="K180" s="5" t="s">
        <v>422</v>
      </c>
      <c r="L180" s="15" t="s">
        <v>39</v>
      </c>
      <c r="M180" s="14" t="str">
        <f>_xlfn.XLOOKUP(F180,Department!$A$2:$A$6,Department!$B$2:$B$6)</f>
        <v>Finance</v>
      </c>
      <c r="N180" s="22">
        <f>_xlfn.XLOOKUP(A180,Performance!$A$2:$A$501,Performance!$C$2:$C$501)</f>
        <v>4</v>
      </c>
      <c r="O180" s="19" cm="1">
        <f t="array" ref="O180">_xlfn.IFS(N180=5,I180*15%,N180=4,I180*10%,N180=3,I180*7%,N180&lt;3,I180*5%)</f>
        <v>8241.2000000000007</v>
      </c>
    </row>
    <row r="181" spans="1:15">
      <c r="A181" s="4" t="s">
        <v>423</v>
      </c>
      <c r="B181" s="5" t="s">
        <v>34</v>
      </c>
      <c r="C181" s="5" t="s">
        <v>80</v>
      </c>
      <c r="D181" s="5" t="s">
        <v>28</v>
      </c>
      <c r="E181" s="5">
        <v>52</v>
      </c>
      <c r="F181" s="5" t="s">
        <v>35</v>
      </c>
      <c r="G181" s="5" t="s">
        <v>21</v>
      </c>
      <c r="H181" s="6">
        <v>43223</v>
      </c>
      <c r="I181" s="5">
        <v>82496</v>
      </c>
      <c r="J181" s="5" t="s">
        <v>67</v>
      </c>
      <c r="K181" s="5" t="s">
        <v>424</v>
      </c>
      <c r="L181" s="15" t="s">
        <v>24</v>
      </c>
      <c r="M181" s="14" t="str">
        <f>_xlfn.XLOOKUP(F181,Department!$A$2:$A$6,Department!$B$2:$B$6)</f>
        <v>Sales</v>
      </c>
      <c r="N181" s="22">
        <f>_xlfn.XLOOKUP(A181,Performance!$A$2:$A$501,Performance!$C$2:$C$501)</f>
        <v>2</v>
      </c>
      <c r="O181" s="19" cm="1">
        <f t="array" ref="O181">_xlfn.IFS(N181=5,I181*15%,N181=4,I181*10%,N181=3,I181*7%,N181&lt;3,I181*5%)</f>
        <v>4124.8</v>
      </c>
    </row>
    <row r="182" spans="1:15">
      <c r="A182" s="4" t="s">
        <v>425</v>
      </c>
      <c r="B182" s="5" t="s">
        <v>53</v>
      </c>
      <c r="C182" s="5" t="s">
        <v>117</v>
      </c>
      <c r="D182" s="5" t="s">
        <v>19</v>
      </c>
      <c r="E182" s="5">
        <v>60</v>
      </c>
      <c r="F182" s="5" t="s">
        <v>35</v>
      </c>
      <c r="G182" s="5" t="s">
        <v>30</v>
      </c>
      <c r="H182" s="6">
        <v>43727</v>
      </c>
      <c r="I182" s="5">
        <v>51231</v>
      </c>
      <c r="J182" s="5" t="s">
        <v>67</v>
      </c>
      <c r="K182" s="5" t="s">
        <v>426</v>
      </c>
      <c r="L182" s="15" t="s">
        <v>39</v>
      </c>
      <c r="M182" s="14" t="str">
        <f>_xlfn.XLOOKUP(F182,Department!$A$2:$A$6,Department!$B$2:$B$6)</f>
        <v>Sales</v>
      </c>
      <c r="N182" s="22">
        <f>_xlfn.XLOOKUP(A182,Performance!$A$2:$A$501,Performance!$C$2:$C$501)</f>
        <v>2</v>
      </c>
      <c r="O182" s="19" cm="1">
        <f t="array" ref="O182">_xlfn.IFS(N182=5,I182*15%,N182=4,I182*10%,N182=3,I182*7%,N182&lt;3,I182*5%)</f>
        <v>2561.5500000000002</v>
      </c>
    </row>
    <row r="183" spans="1:15">
      <c r="A183" s="4" t="s">
        <v>427</v>
      </c>
      <c r="B183" s="5" t="s">
        <v>126</v>
      </c>
      <c r="C183" s="5" t="s">
        <v>18</v>
      </c>
      <c r="D183" s="5" t="s">
        <v>19</v>
      </c>
      <c r="E183" s="5">
        <v>48</v>
      </c>
      <c r="F183" s="5" t="s">
        <v>54</v>
      </c>
      <c r="G183" s="5" t="s">
        <v>30</v>
      </c>
      <c r="H183" s="6">
        <v>43205</v>
      </c>
      <c r="I183" s="5">
        <v>119053</v>
      </c>
      <c r="J183" s="5" t="s">
        <v>22</v>
      </c>
      <c r="K183" s="5" t="s">
        <v>428</v>
      </c>
      <c r="L183" s="15" t="s">
        <v>24</v>
      </c>
      <c r="M183" s="14" t="str">
        <f>_xlfn.XLOOKUP(F183,Department!$A$2:$A$6,Department!$B$2:$B$6)</f>
        <v>Finance</v>
      </c>
      <c r="N183" s="22">
        <f>_xlfn.XLOOKUP(A183,Performance!$A$2:$A$501,Performance!$C$2:$C$501)</f>
        <v>4</v>
      </c>
      <c r="O183" s="19" cm="1">
        <f t="array" ref="O183">_xlfn.IFS(N183=5,I183*15%,N183=4,I183*10%,N183=3,I183*7%,N183&lt;3,I183*5%)</f>
        <v>11905.300000000001</v>
      </c>
    </row>
    <row r="184" spans="1:15">
      <c r="A184" s="4" t="s">
        <v>429</v>
      </c>
      <c r="B184" s="5" t="s">
        <v>74</v>
      </c>
      <c r="C184" s="5" t="s">
        <v>84</v>
      </c>
      <c r="D184" s="5" t="s">
        <v>28</v>
      </c>
      <c r="E184" s="5">
        <v>60</v>
      </c>
      <c r="F184" s="5" t="s">
        <v>35</v>
      </c>
      <c r="G184" s="5" t="s">
        <v>21</v>
      </c>
      <c r="H184" s="6">
        <v>45463</v>
      </c>
      <c r="I184" s="5">
        <v>111243</v>
      </c>
      <c r="J184" s="5" t="s">
        <v>22</v>
      </c>
      <c r="K184" s="5" t="s">
        <v>430</v>
      </c>
      <c r="L184" s="15" t="s">
        <v>24</v>
      </c>
      <c r="M184" s="14" t="str">
        <f>_xlfn.XLOOKUP(F184,Department!$A$2:$A$6,Department!$B$2:$B$6)</f>
        <v>Sales</v>
      </c>
      <c r="N184" s="22">
        <f>_xlfn.XLOOKUP(A184,Performance!$A$2:$A$501,Performance!$C$2:$C$501)</f>
        <v>4</v>
      </c>
      <c r="O184" s="19" cm="1">
        <f t="array" ref="O184">_xlfn.IFS(N184=5,I184*15%,N184=4,I184*10%,N184=3,I184*7%,N184&lt;3,I184*5%)</f>
        <v>11124.300000000001</v>
      </c>
    </row>
    <row r="185" spans="1:15">
      <c r="A185" s="4" t="s">
        <v>431</v>
      </c>
      <c r="B185" s="5" t="s">
        <v>126</v>
      </c>
      <c r="C185" s="5" t="s">
        <v>66</v>
      </c>
      <c r="D185" s="5" t="s">
        <v>19</v>
      </c>
      <c r="E185" s="5">
        <v>55</v>
      </c>
      <c r="F185" s="5" t="s">
        <v>29</v>
      </c>
      <c r="G185" s="5" t="s">
        <v>21</v>
      </c>
      <c r="H185" s="6">
        <v>44267</v>
      </c>
      <c r="I185" s="5">
        <v>73063</v>
      </c>
      <c r="J185" s="5" t="s">
        <v>81</v>
      </c>
      <c r="K185" s="5" t="s">
        <v>432</v>
      </c>
      <c r="L185" s="15" t="s">
        <v>24</v>
      </c>
      <c r="M185" s="14" t="str">
        <f>_xlfn.XLOOKUP(F185,Department!$A$2:$A$6,Department!$B$2:$B$6)</f>
        <v>IT</v>
      </c>
      <c r="N185" s="22">
        <f>_xlfn.XLOOKUP(A185,Performance!$A$2:$A$501,Performance!$C$2:$C$501)</f>
        <v>1</v>
      </c>
      <c r="O185" s="19" cm="1">
        <f t="array" ref="O185">_xlfn.IFS(N185=5,I185*15%,N185=4,I185*10%,N185=3,I185*7%,N185&lt;3,I185*5%)</f>
        <v>3653.15</v>
      </c>
    </row>
    <row r="186" spans="1:15">
      <c r="A186" s="4" t="s">
        <v>433</v>
      </c>
      <c r="B186" s="5" t="s">
        <v>126</v>
      </c>
      <c r="C186" s="5" t="s">
        <v>49</v>
      </c>
      <c r="D186" s="5" t="s">
        <v>28</v>
      </c>
      <c r="E186" s="5">
        <v>35</v>
      </c>
      <c r="F186" s="5" t="s">
        <v>43</v>
      </c>
      <c r="G186" s="5" t="s">
        <v>21</v>
      </c>
      <c r="H186" s="6">
        <v>45478</v>
      </c>
      <c r="I186" s="5">
        <v>71247</v>
      </c>
      <c r="J186" s="5" t="s">
        <v>22</v>
      </c>
      <c r="K186" s="5" t="s">
        <v>434</v>
      </c>
      <c r="L186" s="15" t="s">
        <v>39</v>
      </c>
      <c r="M186" s="14" t="str">
        <f>_xlfn.XLOOKUP(F186,Department!$A$2:$A$6,Department!$B$2:$B$6)</f>
        <v>Marketing</v>
      </c>
      <c r="N186" s="22">
        <f>_xlfn.XLOOKUP(A186,Performance!$A$2:$A$501,Performance!$C$2:$C$501)</f>
        <v>4</v>
      </c>
      <c r="O186" s="19" cm="1">
        <f t="array" ref="O186">_xlfn.IFS(N186=5,I186*15%,N186=4,I186*10%,N186=3,I186*7%,N186&lt;3,I186*5%)</f>
        <v>7124.7000000000007</v>
      </c>
    </row>
    <row r="187" spans="1:15">
      <c r="A187" s="4" t="s">
        <v>435</v>
      </c>
      <c r="B187" s="5" t="s">
        <v>42</v>
      </c>
      <c r="C187" s="5" t="s">
        <v>117</v>
      </c>
      <c r="D187" s="5" t="s">
        <v>28</v>
      </c>
      <c r="E187" s="5">
        <v>41</v>
      </c>
      <c r="F187" s="5" t="s">
        <v>35</v>
      </c>
      <c r="G187" s="5" t="s">
        <v>30</v>
      </c>
      <c r="H187" s="6">
        <v>43695</v>
      </c>
      <c r="I187" s="5">
        <v>67422</v>
      </c>
      <c r="J187" s="5" t="s">
        <v>67</v>
      </c>
      <c r="K187" s="5" t="s">
        <v>436</v>
      </c>
      <c r="L187" s="15" t="s">
        <v>39</v>
      </c>
      <c r="M187" s="14" t="str">
        <f>_xlfn.XLOOKUP(F187,Department!$A$2:$A$6,Department!$B$2:$B$6)</f>
        <v>Sales</v>
      </c>
      <c r="N187" s="22">
        <f>_xlfn.XLOOKUP(A187,Performance!$A$2:$A$501,Performance!$C$2:$C$501)</f>
        <v>2</v>
      </c>
      <c r="O187" s="19" cm="1">
        <f t="array" ref="O187">_xlfn.IFS(N187=5,I187*15%,N187=4,I187*10%,N187=3,I187*7%,N187&lt;3,I187*5%)</f>
        <v>3371.1000000000004</v>
      </c>
    </row>
    <row r="188" spans="1:15">
      <c r="A188" s="4" t="s">
        <v>437</v>
      </c>
      <c r="B188" s="5" t="s">
        <v>34</v>
      </c>
      <c r="C188" s="5" t="s">
        <v>66</v>
      </c>
      <c r="D188" s="5" t="s">
        <v>19</v>
      </c>
      <c r="E188" s="5">
        <v>26</v>
      </c>
      <c r="F188" s="5" t="s">
        <v>29</v>
      </c>
      <c r="G188" s="5" t="s">
        <v>36</v>
      </c>
      <c r="H188" s="6">
        <v>43514</v>
      </c>
      <c r="I188" s="5">
        <v>110628</v>
      </c>
      <c r="J188" s="5" t="s">
        <v>67</v>
      </c>
      <c r="K188" s="5" t="s">
        <v>438</v>
      </c>
      <c r="L188" s="15" t="s">
        <v>39</v>
      </c>
      <c r="M188" s="14" t="str">
        <f>_xlfn.XLOOKUP(F188,Department!$A$2:$A$6,Department!$B$2:$B$6)</f>
        <v>IT</v>
      </c>
      <c r="N188" s="22">
        <f>_xlfn.XLOOKUP(A188,Performance!$A$2:$A$501,Performance!$C$2:$C$501)</f>
        <v>3</v>
      </c>
      <c r="O188" s="19" cm="1">
        <f t="array" ref="O188">_xlfn.IFS(N188=5,I188*15%,N188=4,I188*10%,N188=3,I188*7%,N188&lt;3,I188*5%)</f>
        <v>7743.9600000000009</v>
      </c>
    </row>
    <row r="189" spans="1:15">
      <c r="A189" s="4" t="s">
        <v>439</v>
      </c>
      <c r="B189" s="5" t="s">
        <v>53</v>
      </c>
      <c r="C189" s="5" t="s">
        <v>141</v>
      </c>
      <c r="D189" s="5" t="s">
        <v>19</v>
      </c>
      <c r="E189" s="5">
        <v>48</v>
      </c>
      <c r="F189" s="5" t="s">
        <v>43</v>
      </c>
      <c r="G189" s="5" t="s">
        <v>21</v>
      </c>
      <c r="H189" s="6">
        <v>44431</v>
      </c>
      <c r="I189" s="5">
        <v>96540</v>
      </c>
      <c r="J189" s="5" t="s">
        <v>37</v>
      </c>
      <c r="K189" s="5" t="s">
        <v>440</v>
      </c>
      <c r="L189" s="15" t="s">
        <v>39</v>
      </c>
      <c r="M189" s="14" t="str">
        <f>_xlfn.XLOOKUP(F189,Department!$A$2:$A$6,Department!$B$2:$B$6)</f>
        <v>Marketing</v>
      </c>
      <c r="N189" s="22">
        <f>_xlfn.XLOOKUP(A189,Performance!$A$2:$A$501,Performance!$C$2:$C$501)</f>
        <v>3</v>
      </c>
      <c r="O189" s="19" cm="1">
        <f t="array" ref="O189">_xlfn.IFS(N189=5,I189*15%,N189=4,I189*10%,N189=3,I189*7%,N189&lt;3,I189*5%)</f>
        <v>6757.8000000000011</v>
      </c>
    </row>
    <row r="190" spans="1:15">
      <c r="A190" s="4" t="s">
        <v>441</v>
      </c>
      <c r="B190" s="5" t="s">
        <v>58</v>
      </c>
      <c r="C190" s="5" t="s">
        <v>80</v>
      </c>
      <c r="D190" s="5" t="s">
        <v>19</v>
      </c>
      <c r="E190" s="5">
        <v>49</v>
      </c>
      <c r="F190" s="5" t="s">
        <v>43</v>
      </c>
      <c r="G190" s="5" t="s">
        <v>21</v>
      </c>
      <c r="H190" s="6">
        <v>43418</v>
      </c>
      <c r="I190" s="5">
        <v>76991</v>
      </c>
      <c r="J190" s="5" t="s">
        <v>62</v>
      </c>
      <c r="K190" s="5" t="s">
        <v>442</v>
      </c>
      <c r="L190" s="15" t="s">
        <v>24</v>
      </c>
      <c r="M190" s="14" t="str">
        <f>_xlfn.XLOOKUP(F190,Department!$A$2:$A$6,Department!$B$2:$B$6)</f>
        <v>Marketing</v>
      </c>
      <c r="N190" s="22">
        <f>_xlfn.XLOOKUP(A190,Performance!$A$2:$A$501,Performance!$C$2:$C$501)</f>
        <v>5</v>
      </c>
      <c r="O190" s="19" cm="1">
        <f t="array" ref="O190">_xlfn.IFS(N190=5,I190*15%,N190=4,I190*10%,N190=3,I190*7%,N190&lt;3,I190*5%)</f>
        <v>11548.65</v>
      </c>
    </row>
    <row r="191" spans="1:15">
      <c r="A191" s="4" t="s">
        <v>443</v>
      </c>
      <c r="B191" s="5" t="s">
        <v>61</v>
      </c>
      <c r="C191" s="5" t="s">
        <v>117</v>
      </c>
      <c r="D191" s="5" t="s">
        <v>28</v>
      </c>
      <c r="E191" s="5">
        <v>26</v>
      </c>
      <c r="F191" s="5" t="s">
        <v>35</v>
      </c>
      <c r="G191" s="5" t="s">
        <v>21</v>
      </c>
      <c r="H191" s="6">
        <v>44300</v>
      </c>
      <c r="I191" s="5">
        <v>92562</v>
      </c>
      <c r="J191" s="5" t="s">
        <v>37</v>
      </c>
      <c r="K191" s="5" t="s">
        <v>444</v>
      </c>
      <c r="L191" s="15" t="s">
        <v>39</v>
      </c>
      <c r="M191" s="14" t="str">
        <f>_xlfn.XLOOKUP(F191,Department!$A$2:$A$6,Department!$B$2:$B$6)</f>
        <v>Sales</v>
      </c>
      <c r="N191" s="22">
        <f>_xlfn.XLOOKUP(A191,Performance!$A$2:$A$501,Performance!$C$2:$C$501)</f>
        <v>5</v>
      </c>
      <c r="O191" s="19" cm="1">
        <f t="array" ref="O191">_xlfn.IFS(N191=5,I191*15%,N191=4,I191*10%,N191=3,I191*7%,N191&lt;3,I191*5%)</f>
        <v>13884.3</v>
      </c>
    </row>
    <row r="192" spans="1:15">
      <c r="A192" s="4" t="s">
        <v>445</v>
      </c>
      <c r="B192" s="5" t="s">
        <v>126</v>
      </c>
      <c r="C192" s="5" t="s">
        <v>141</v>
      </c>
      <c r="D192" s="5" t="s">
        <v>19</v>
      </c>
      <c r="E192" s="5">
        <v>51</v>
      </c>
      <c r="F192" s="5" t="s">
        <v>35</v>
      </c>
      <c r="G192" s="5" t="s">
        <v>44</v>
      </c>
      <c r="H192" s="6">
        <v>43560</v>
      </c>
      <c r="I192" s="5">
        <v>102983</v>
      </c>
      <c r="J192" s="5" t="s">
        <v>37</v>
      </c>
      <c r="K192" s="5" t="s">
        <v>446</v>
      </c>
      <c r="L192" s="15" t="s">
        <v>39</v>
      </c>
      <c r="M192" s="14" t="str">
        <f>_xlfn.XLOOKUP(F192,Department!$A$2:$A$6,Department!$B$2:$B$6)</f>
        <v>Sales</v>
      </c>
      <c r="N192" s="22">
        <f>_xlfn.XLOOKUP(A192,Performance!$A$2:$A$501,Performance!$C$2:$C$501)</f>
        <v>2</v>
      </c>
      <c r="O192" s="19" cm="1">
        <f t="array" ref="O192">_xlfn.IFS(N192=5,I192*15%,N192=4,I192*10%,N192=3,I192*7%,N192&lt;3,I192*5%)</f>
        <v>5149.1500000000005</v>
      </c>
    </row>
    <row r="193" spans="1:15">
      <c r="A193" s="4" t="s">
        <v>447</v>
      </c>
      <c r="B193" s="5" t="s">
        <v>126</v>
      </c>
      <c r="C193" s="5" t="s">
        <v>93</v>
      </c>
      <c r="D193" s="5" t="s">
        <v>28</v>
      </c>
      <c r="E193" s="5">
        <v>23</v>
      </c>
      <c r="F193" s="5" t="s">
        <v>20</v>
      </c>
      <c r="G193" s="5" t="s">
        <v>36</v>
      </c>
      <c r="H193" s="6">
        <v>44828</v>
      </c>
      <c r="I193" s="5">
        <v>114420</v>
      </c>
      <c r="J193" s="5" t="s">
        <v>22</v>
      </c>
      <c r="K193" s="5" t="s">
        <v>448</v>
      </c>
      <c r="L193" s="15" t="s">
        <v>24</v>
      </c>
      <c r="M193" s="14" t="str">
        <f>_xlfn.XLOOKUP(F193,Department!$A$2:$A$6,Department!$B$2:$B$6)</f>
        <v>HR</v>
      </c>
      <c r="N193" s="22">
        <f>_xlfn.XLOOKUP(A193,Performance!$A$2:$A$501,Performance!$C$2:$C$501)</f>
        <v>3</v>
      </c>
      <c r="O193" s="19" cm="1">
        <f t="array" ref="O193">_xlfn.IFS(N193=5,I193*15%,N193=4,I193*10%,N193=3,I193*7%,N193&lt;3,I193*5%)</f>
        <v>8009.4000000000005</v>
      </c>
    </row>
    <row r="194" spans="1:15">
      <c r="A194" s="4" t="s">
        <v>449</v>
      </c>
      <c r="B194" s="5" t="s">
        <v>34</v>
      </c>
      <c r="C194" s="5" t="s">
        <v>141</v>
      </c>
      <c r="D194" s="5" t="s">
        <v>19</v>
      </c>
      <c r="E194" s="5">
        <v>58</v>
      </c>
      <c r="F194" s="5" t="s">
        <v>54</v>
      </c>
      <c r="G194" s="5" t="s">
        <v>36</v>
      </c>
      <c r="H194" s="6">
        <v>45303</v>
      </c>
      <c r="I194" s="5">
        <v>108419</v>
      </c>
      <c r="J194" s="5" t="s">
        <v>62</v>
      </c>
      <c r="K194" s="5" t="s">
        <v>450</v>
      </c>
      <c r="L194" s="15" t="s">
        <v>24</v>
      </c>
      <c r="M194" s="14" t="str">
        <f>_xlfn.XLOOKUP(F194,Department!$A$2:$A$6,Department!$B$2:$B$6)</f>
        <v>Finance</v>
      </c>
      <c r="N194" s="22">
        <f>_xlfn.XLOOKUP(A194,Performance!$A$2:$A$501,Performance!$C$2:$C$501)</f>
        <v>3</v>
      </c>
      <c r="O194" s="19" cm="1">
        <f t="array" ref="O194">_xlfn.IFS(N194=5,I194*15%,N194=4,I194*10%,N194=3,I194*7%,N194&lt;3,I194*5%)</f>
        <v>7589.3300000000008</v>
      </c>
    </row>
    <row r="195" spans="1:15">
      <c r="A195" s="4" t="s">
        <v>451</v>
      </c>
      <c r="B195" s="5" t="s">
        <v>92</v>
      </c>
      <c r="C195" s="5" t="s">
        <v>49</v>
      </c>
      <c r="D195" s="5" t="s">
        <v>28</v>
      </c>
      <c r="E195" s="5">
        <v>54</v>
      </c>
      <c r="F195" s="5" t="s">
        <v>35</v>
      </c>
      <c r="G195" s="5" t="s">
        <v>102</v>
      </c>
      <c r="H195" s="6">
        <v>43952</v>
      </c>
      <c r="I195" s="5">
        <v>100498</v>
      </c>
      <c r="J195" s="5" t="s">
        <v>67</v>
      </c>
      <c r="K195" s="5" t="s">
        <v>452</v>
      </c>
      <c r="L195" s="15" t="s">
        <v>39</v>
      </c>
      <c r="M195" s="14" t="str">
        <f>_xlfn.XLOOKUP(F195,Department!$A$2:$A$6,Department!$B$2:$B$6)</f>
        <v>Sales</v>
      </c>
      <c r="N195" s="22">
        <f>_xlfn.XLOOKUP(A195,Performance!$A$2:$A$501,Performance!$C$2:$C$501)</f>
        <v>3</v>
      </c>
      <c r="O195" s="19" cm="1">
        <f t="array" ref="O195">_xlfn.IFS(N195=5,I195*15%,N195=4,I195*10%,N195=3,I195*7%,N195&lt;3,I195*5%)</f>
        <v>7034.8600000000006</v>
      </c>
    </row>
    <row r="196" spans="1:15">
      <c r="A196" s="4" t="s">
        <v>453</v>
      </c>
      <c r="B196" s="5" t="s">
        <v>17</v>
      </c>
      <c r="C196" s="5" t="s">
        <v>141</v>
      </c>
      <c r="D196" s="5" t="s">
        <v>28</v>
      </c>
      <c r="E196" s="5">
        <v>48</v>
      </c>
      <c r="F196" s="5" t="s">
        <v>29</v>
      </c>
      <c r="G196" s="5" t="s">
        <v>21</v>
      </c>
      <c r="H196" s="6">
        <v>43700</v>
      </c>
      <c r="I196" s="5">
        <v>62004</v>
      </c>
      <c r="J196" s="5" t="s">
        <v>67</v>
      </c>
      <c r="K196" s="5" t="s">
        <v>454</v>
      </c>
      <c r="L196" s="15" t="s">
        <v>24</v>
      </c>
      <c r="M196" s="14" t="str">
        <f>_xlfn.XLOOKUP(F196,Department!$A$2:$A$6,Department!$B$2:$B$6)</f>
        <v>IT</v>
      </c>
      <c r="N196" s="22">
        <f>_xlfn.XLOOKUP(A196,Performance!$A$2:$A$501,Performance!$C$2:$C$501)</f>
        <v>2</v>
      </c>
      <c r="O196" s="19" cm="1">
        <f t="array" ref="O196">_xlfn.IFS(N196=5,I196*15%,N196=4,I196*10%,N196=3,I196*7%,N196&lt;3,I196*5%)</f>
        <v>3100.2000000000003</v>
      </c>
    </row>
    <row r="197" spans="1:15">
      <c r="A197" s="4" t="s">
        <v>455</v>
      </c>
      <c r="B197" s="5" t="s">
        <v>61</v>
      </c>
      <c r="C197" s="5" t="s">
        <v>84</v>
      </c>
      <c r="D197" s="5" t="s">
        <v>28</v>
      </c>
      <c r="E197" s="5">
        <v>46</v>
      </c>
      <c r="F197" s="5" t="s">
        <v>43</v>
      </c>
      <c r="G197" s="5" t="s">
        <v>30</v>
      </c>
      <c r="H197" s="6">
        <v>44576</v>
      </c>
      <c r="I197" s="5">
        <v>37033</v>
      </c>
      <c r="J197" s="5" t="s">
        <v>62</v>
      </c>
      <c r="K197" s="5" t="s">
        <v>456</v>
      </c>
      <c r="L197" s="15" t="s">
        <v>39</v>
      </c>
      <c r="M197" s="14" t="str">
        <f>_xlfn.XLOOKUP(F197,Department!$A$2:$A$6,Department!$B$2:$B$6)</f>
        <v>Marketing</v>
      </c>
      <c r="N197" s="22">
        <f>_xlfn.XLOOKUP(A197,Performance!$A$2:$A$501,Performance!$C$2:$C$501)</f>
        <v>3</v>
      </c>
      <c r="O197" s="19" cm="1">
        <f t="array" ref="O197">_xlfn.IFS(N197=5,I197*15%,N197=4,I197*10%,N197=3,I197*7%,N197&lt;3,I197*5%)</f>
        <v>2592.3100000000004</v>
      </c>
    </row>
    <row r="198" spans="1:15">
      <c r="A198" s="4" t="s">
        <v>457</v>
      </c>
      <c r="B198" s="5" t="s">
        <v>17</v>
      </c>
      <c r="C198" s="5" t="s">
        <v>66</v>
      </c>
      <c r="D198" s="5" t="s">
        <v>28</v>
      </c>
      <c r="E198" s="5">
        <v>25</v>
      </c>
      <c r="F198" s="5" t="s">
        <v>43</v>
      </c>
      <c r="G198" s="5" t="s">
        <v>102</v>
      </c>
      <c r="H198" s="6">
        <v>43247</v>
      </c>
      <c r="I198" s="5">
        <v>58062</v>
      </c>
      <c r="J198" s="5" t="s">
        <v>37</v>
      </c>
      <c r="K198" s="5" t="s">
        <v>458</v>
      </c>
      <c r="L198" s="15" t="s">
        <v>24</v>
      </c>
      <c r="M198" s="14" t="str">
        <f>_xlfn.XLOOKUP(F198,Department!$A$2:$A$6,Department!$B$2:$B$6)</f>
        <v>Marketing</v>
      </c>
      <c r="N198" s="22">
        <f>_xlfn.XLOOKUP(A198,Performance!$A$2:$A$501,Performance!$C$2:$C$501)</f>
        <v>2</v>
      </c>
      <c r="O198" s="19" cm="1">
        <f t="array" ref="O198">_xlfn.IFS(N198=5,I198*15%,N198=4,I198*10%,N198=3,I198*7%,N198&lt;3,I198*5%)</f>
        <v>2903.1000000000004</v>
      </c>
    </row>
    <row r="199" spans="1:15">
      <c r="A199" s="4" t="s">
        <v>459</v>
      </c>
      <c r="B199" s="5" t="s">
        <v>48</v>
      </c>
      <c r="C199" s="5" t="s">
        <v>117</v>
      </c>
      <c r="D199" s="5" t="s">
        <v>19</v>
      </c>
      <c r="E199" s="5">
        <v>29</v>
      </c>
      <c r="F199" s="5" t="s">
        <v>20</v>
      </c>
      <c r="G199" s="5" t="s">
        <v>44</v>
      </c>
      <c r="H199" s="6">
        <v>43950</v>
      </c>
      <c r="I199" s="5">
        <v>49357</v>
      </c>
      <c r="J199" s="5" t="s">
        <v>62</v>
      </c>
      <c r="K199" s="5" t="s">
        <v>460</v>
      </c>
      <c r="L199" s="15" t="s">
        <v>24</v>
      </c>
      <c r="M199" s="14" t="str">
        <f>_xlfn.XLOOKUP(F199,Department!$A$2:$A$6,Department!$B$2:$B$6)</f>
        <v>HR</v>
      </c>
      <c r="N199" s="22">
        <f>_xlfn.XLOOKUP(A199,Performance!$A$2:$A$501,Performance!$C$2:$C$501)</f>
        <v>2</v>
      </c>
      <c r="O199" s="19" cm="1">
        <f t="array" ref="O199">_xlfn.IFS(N199=5,I199*15%,N199=4,I199*10%,N199=3,I199*7%,N199&lt;3,I199*5%)</f>
        <v>2467.8500000000004</v>
      </c>
    </row>
    <row r="200" spans="1:15">
      <c r="A200" s="4" t="s">
        <v>461</v>
      </c>
      <c r="B200" s="5" t="s">
        <v>74</v>
      </c>
      <c r="C200" s="5" t="s">
        <v>89</v>
      </c>
      <c r="D200" s="5" t="s">
        <v>19</v>
      </c>
      <c r="E200" s="5">
        <v>54</v>
      </c>
      <c r="F200" s="5" t="s">
        <v>35</v>
      </c>
      <c r="G200" s="5" t="s">
        <v>30</v>
      </c>
      <c r="H200" s="6">
        <v>43148</v>
      </c>
      <c r="I200" s="5">
        <v>59758</v>
      </c>
      <c r="J200" s="5" t="s">
        <v>37</v>
      </c>
      <c r="K200" s="5" t="s">
        <v>462</v>
      </c>
      <c r="L200" s="15" t="s">
        <v>39</v>
      </c>
      <c r="M200" s="14" t="str">
        <f>_xlfn.XLOOKUP(F200,Department!$A$2:$A$6,Department!$B$2:$B$6)</f>
        <v>Sales</v>
      </c>
      <c r="N200" s="22">
        <f>_xlfn.XLOOKUP(A200,Performance!$A$2:$A$501,Performance!$C$2:$C$501)</f>
        <v>5</v>
      </c>
      <c r="O200" s="19" cm="1">
        <f t="array" ref="O200">_xlfn.IFS(N200=5,I200*15%,N200=4,I200*10%,N200=3,I200*7%,N200&lt;3,I200*5%)</f>
        <v>8963.6999999999989</v>
      </c>
    </row>
    <row r="201" spans="1:15">
      <c r="A201" s="4" t="s">
        <v>463</v>
      </c>
      <c r="B201" s="5" t="s">
        <v>92</v>
      </c>
      <c r="C201" s="5" t="s">
        <v>141</v>
      </c>
      <c r="D201" s="5" t="s">
        <v>28</v>
      </c>
      <c r="E201" s="5">
        <v>37</v>
      </c>
      <c r="F201" s="5" t="s">
        <v>54</v>
      </c>
      <c r="G201" s="5" t="s">
        <v>21</v>
      </c>
      <c r="H201" s="6">
        <v>45095</v>
      </c>
      <c r="I201" s="5">
        <v>45788</v>
      </c>
      <c r="J201" s="5" t="s">
        <v>81</v>
      </c>
      <c r="K201" s="5" t="s">
        <v>464</v>
      </c>
      <c r="L201" s="15" t="s">
        <v>39</v>
      </c>
      <c r="M201" s="14" t="str">
        <f>_xlfn.XLOOKUP(F201,Department!$A$2:$A$6,Department!$B$2:$B$6)</f>
        <v>Finance</v>
      </c>
      <c r="N201" s="22">
        <f>_xlfn.XLOOKUP(A201,Performance!$A$2:$A$501,Performance!$C$2:$C$501)</f>
        <v>1</v>
      </c>
      <c r="O201" s="19" cm="1">
        <f t="array" ref="O201">_xlfn.IFS(N201=5,I201*15%,N201=4,I201*10%,N201=3,I201*7%,N201&lt;3,I201*5%)</f>
        <v>2289.4</v>
      </c>
    </row>
    <row r="202" spans="1:15">
      <c r="A202" s="4" t="s">
        <v>465</v>
      </c>
      <c r="B202" s="5" t="s">
        <v>34</v>
      </c>
      <c r="C202" s="5" t="s">
        <v>27</v>
      </c>
      <c r="D202" s="5" t="s">
        <v>28</v>
      </c>
      <c r="E202" s="5">
        <v>28</v>
      </c>
      <c r="F202" s="5" t="s">
        <v>20</v>
      </c>
      <c r="G202" s="5" t="s">
        <v>36</v>
      </c>
      <c r="H202" s="6">
        <v>44674</v>
      </c>
      <c r="I202" s="5">
        <v>38862</v>
      </c>
      <c r="J202" s="5" t="s">
        <v>67</v>
      </c>
      <c r="K202" s="5" t="s">
        <v>466</v>
      </c>
      <c r="L202" s="15" t="s">
        <v>39</v>
      </c>
      <c r="M202" s="14" t="str">
        <f>_xlfn.XLOOKUP(F202,Department!$A$2:$A$6,Department!$B$2:$B$6)</f>
        <v>HR</v>
      </c>
      <c r="N202" s="22">
        <f>_xlfn.XLOOKUP(A202,Performance!$A$2:$A$501,Performance!$C$2:$C$501)</f>
        <v>3</v>
      </c>
      <c r="O202" s="19" cm="1">
        <f t="array" ref="O202">_xlfn.IFS(N202=5,I202*15%,N202=4,I202*10%,N202=3,I202*7%,N202&lt;3,I202*5%)</f>
        <v>2720.34</v>
      </c>
    </row>
    <row r="203" spans="1:15">
      <c r="A203" s="4" t="s">
        <v>467</v>
      </c>
      <c r="B203" s="5" t="s">
        <v>48</v>
      </c>
      <c r="C203" s="5" t="s">
        <v>141</v>
      </c>
      <c r="D203" s="5" t="s">
        <v>28</v>
      </c>
      <c r="E203" s="5">
        <v>48</v>
      </c>
      <c r="F203" s="5" t="s">
        <v>29</v>
      </c>
      <c r="G203" s="5" t="s">
        <v>44</v>
      </c>
      <c r="H203" s="6">
        <v>44394</v>
      </c>
      <c r="I203" s="5">
        <v>76132</v>
      </c>
      <c r="J203" s="5" t="s">
        <v>22</v>
      </c>
      <c r="K203" s="5" t="s">
        <v>468</v>
      </c>
      <c r="L203" s="15" t="s">
        <v>39</v>
      </c>
      <c r="M203" s="14" t="str">
        <f>_xlfn.XLOOKUP(F203,Department!$A$2:$A$6,Department!$B$2:$B$6)</f>
        <v>IT</v>
      </c>
      <c r="N203" s="22">
        <f>_xlfn.XLOOKUP(A203,Performance!$A$2:$A$501,Performance!$C$2:$C$501)</f>
        <v>2</v>
      </c>
      <c r="O203" s="19" cm="1">
        <f t="array" ref="O203">_xlfn.IFS(N203=5,I203*15%,N203=4,I203*10%,N203=3,I203*7%,N203&lt;3,I203*5%)</f>
        <v>3806.6000000000004</v>
      </c>
    </row>
    <row r="204" spans="1:15">
      <c r="A204" s="4" t="s">
        <v>469</v>
      </c>
      <c r="B204" s="5" t="s">
        <v>34</v>
      </c>
      <c r="C204" s="5" t="s">
        <v>80</v>
      </c>
      <c r="D204" s="5" t="s">
        <v>28</v>
      </c>
      <c r="E204" s="5">
        <v>49</v>
      </c>
      <c r="F204" s="5" t="s">
        <v>29</v>
      </c>
      <c r="G204" s="5" t="s">
        <v>21</v>
      </c>
      <c r="H204" s="6">
        <v>45032</v>
      </c>
      <c r="I204" s="5">
        <v>56773</v>
      </c>
      <c r="J204" s="5" t="s">
        <v>81</v>
      </c>
      <c r="K204" s="5" t="s">
        <v>470</v>
      </c>
      <c r="L204" s="15" t="s">
        <v>24</v>
      </c>
      <c r="M204" s="14" t="str">
        <f>_xlfn.XLOOKUP(F204,Department!$A$2:$A$6,Department!$B$2:$B$6)</f>
        <v>IT</v>
      </c>
      <c r="N204" s="22">
        <f>_xlfn.XLOOKUP(A204,Performance!$A$2:$A$501,Performance!$C$2:$C$501)</f>
        <v>2</v>
      </c>
      <c r="O204" s="19" cm="1">
        <f t="array" ref="O204">_xlfn.IFS(N204=5,I204*15%,N204=4,I204*10%,N204=3,I204*7%,N204&lt;3,I204*5%)</f>
        <v>2838.65</v>
      </c>
    </row>
    <row r="205" spans="1:15">
      <c r="A205" s="4" t="s">
        <v>471</v>
      </c>
      <c r="B205" s="5" t="s">
        <v>34</v>
      </c>
      <c r="C205" s="5" t="s">
        <v>27</v>
      </c>
      <c r="D205" s="5" t="s">
        <v>19</v>
      </c>
      <c r="E205" s="5">
        <v>25</v>
      </c>
      <c r="F205" s="5" t="s">
        <v>20</v>
      </c>
      <c r="G205" s="5" t="s">
        <v>44</v>
      </c>
      <c r="H205" s="6">
        <v>43515</v>
      </c>
      <c r="I205" s="5">
        <v>84117</v>
      </c>
      <c r="J205" s="5" t="s">
        <v>81</v>
      </c>
      <c r="K205" s="5" t="s">
        <v>472</v>
      </c>
      <c r="L205" s="15" t="s">
        <v>39</v>
      </c>
      <c r="M205" s="14" t="str">
        <f>_xlfn.XLOOKUP(F205,Department!$A$2:$A$6,Department!$B$2:$B$6)</f>
        <v>HR</v>
      </c>
      <c r="N205" s="22">
        <f>_xlfn.XLOOKUP(A205,Performance!$A$2:$A$501,Performance!$C$2:$C$501)</f>
        <v>4</v>
      </c>
      <c r="O205" s="19" cm="1">
        <f t="array" ref="O205">_xlfn.IFS(N205=5,I205*15%,N205=4,I205*10%,N205=3,I205*7%,N205&lt;3,I205*5%)</f>
        <v>8411.7000000000007</v>
      </c>
    </row>
    <row r="206" spans="1:15">
      <c r="A206" s="4" t="s">
        <v>473</v>
      </c>
      <c r="B206" s="5" t="s">
        <v>61</v>
      </c>
      <c r="C206" s="5" t="s">
        <v>49</v>
      </c>
      <c r="D206" s="5" t="s">
        <v>28</v>
      </c>
      <c r="E206" s="5">
        <v>41</v>
      </c>
      <c r="F206" s="5" t="s">
        <v>20</v>
      </c>
      <c r="G206" s="5" t="s">
        <v>30</v>
      </c>
      <c r="H206" s="6">
        <v>43405</v>
      </c>
      <c r="I206" s="5">
        <v>111999</v>
      </c>
      <c r="J206" s="5" t="s">
        <v>81</v>
      </c>
      <c r="K206" s="5" t="s">
        <v>474</v>
      </c>
      <c r="L206" s="15" t="s">
        <v>39</v>
      </c>
      <c r="M206" s="14" t="str">
        <f>_xlfn.XLOOKUP(F206,Department!$A$2:$A$6,Department!$B$2:$B$6)</f>
        <v>HR</v>
      </c>
      <c r="N206" s="22">
        <f>_xlfn.XLOOKUP(A206,Performance!$A$2:$A$501,Performance!$C$2:$C$501)</f>
        <v>4</v>
      </c>
      <c r="O206" s="19" cm="1">
        <f t="array" ref="O206">_xlfn.IFS(N206=5,I206*15%,N206=4,I206*10%,N206=3,I206*7%,N206&lt;3,I206*5%)</f>
        <v>11199.900000000001</v>
      </c>
    </row>
    <row r="207" spans="1:15">
      <c r="A207" s="4" t="s">
        <v>475</v>
      </c>
      <c r="B207" s="5" t="s">
        <v>17</v>
      </c>
      <c r="C207" s="5" t="s">
        <v>49</v>
      </c>
      <c r="D207" s="5" t="s">
        <v>19</v>
      </c>
      <c r="E207" s="5">
        <v>23</v>
      </c>
      <c r="F207" s="5" t="s">
        <v>20</v>
      </c>
      <c r="G207" s="5" t="s">
        <v>44</v>
      </c>
      <c r="H207" s="6">
        <v>43547</v>
      </c>
      <c r="I207" s="5">
        <v>93395</v>
      </c>
      <c r="J207" s="5" t="s">
        <v>67</v>
      </c>
      <c r="K207" s="5" t="s">
        <v>476</v>
      </c>
      <c r="L207" s="15" t="s">
        <v>24</v>
      </c>
      <c r="M207" s="14" t="str">
        <f>_xlfn.XLOOKUP(F207,Department!$A$2:$A$6,Department!$B$2:$B$6)</f>
        <v>HR</v>
      </c>
      <c r="N207" s="22">
        <f>_xlfn.XLOOKUP(A207,Performance!$A$2:$A$501,Performance!$C$2:$C$501)</f>
        <v>1</v>
      </c>
      <c r="O207" s="19" cm="1">
        <f t="array" ref="O207">_xlfn.IFS(N207=5,I207*15%,N207=4,I207*10%,N207=3,I207*7%,N207&lt;3,I207*5%)</f>
        <v>4669.75</v>
      </c>
    </row>
    <row r="208" spans="1:15">
      <c r="A208" s="4" t="s">
        <v>477</v>
      </c>
      <c r="B208" s="5" t="s">
        <v>17</v>
      </c>
      <c r="C208" s="5" t="s">
        <v>18</v>
      </c>
      <c r="D208" s="5" t="s">
        <v>19</v>
      </c>
      <c r="E208" s="5">
        <v>42</v>
      </c>
      <c r="F208" s="5" t="s">
        <v>35</v>
      </c>
      <c r="G208" s="5" t="s">
        <v>102</v>
      </c>
      <c r="H208" s="6">
        <v>44036</v>
      </c>
      <c r="I208" s="5">
        <v>91944</v>
      </c>
      <c r="J208" s="5" t="s">
        <v>62</v>
      </c>
      <c r="K208" s="5" t="s">
        <v>478</v>
      </c>
      <c r="L208" s="15" t="s">
        <v>24</v>
      </c>
      <c r="M208" s="14" t="str">
        <f>_xlfn.XLOOKUP(F208,Department!$A$2:$A$6,Department!$B$2:$B$6)</f>
        <v>Sales</v>
      </c>
      <c r="N208" s="22">
        <f>_xlfn.XLOOKUP(A208,Performance!$A$2:$A$501,Performance!$C$2:$C$501)</f>
        <v>3</v>
      </c>
      <c r="O208" s="19" cm="1">
        <f t="array" ref="O208">_xlfn.IFS(N208=5,I208*15%,N208=4,I208*10%,N208=3,I208*7%,N208&lt;3,I208*5%)</f>
        <v>6436.0800000000008</v>
      </c>
    </row>
    <row r="209" spans="1:15">
      <c r="A209" s="4" t="s">
        <v>479</v>
      </c>
      <c r="B209" s="5" t="s">
        <v>74</v>
      </c>
      <c r="C209" s="5" t="s">
        <v>66</v>
      </c>
      <c r="D209" s="5" t="s">
        <v>28</v>
      </c>
      <c r="E209" s="5">
        <v>33</v>
      </c>
      <c r="F209" s="5" t="s">
        <v>43</v>
      </c>
      <c r="G209" s="5" t="s">
        <v>44</v>
      </c>
      <c r="H209" s="6">
        <v>45224</v>
      </c>
      <c r="I209" s="5">
        <v>115357</v>
      </c>
      <c r="J209" s="5" t="s">
        <v>22</v>
      </c>
      <c r="K209" s="5" t="s">
        <v>480</v>
      </c>
      <c r="L209" s="15" t="s">
        <v>39</v>
      </c>
      <c r="M209" s="14" t="str">
        <f>_xlfn.XLOOKUP(F209,Department!$A$2:$A$6,Department!$B$2:$B$6)</f>
        <v>Marketing</v>
      </c>
      <c r="N209" s="22">
        <f>_xlfn.XLOOKUP(A209,Performance!$A$2:$A$501,Performance!$C$2:$C$501)</f>
        <v>3</v>
      </c>
      <c r="O209" s="19" cm="1">
        <f t="array" ref="O209">_xlfn.IFS(N209=5,I209*15%,N209=4,I209*10%,N209=3,I209*7%,N209&lt;3,I209*5%)</f>
        <v>8074.9900000000007</v>
      </c>
    </row>
    <row r="210" spans="1:15">
      <c r="A210" s="4" t="s">
        <v>481</v>
      </c>
      <c r="B210" s="5" t="s">
        <v>34</v>
      </c>
      <c r="C210" s="5" t="s">
        <v>18</v>
      </c>
      <c r="D210" s="5" t="s">
        <v>19</v>
      </c>
      <c r="E210" s="5">
        <v>40</v>
      </c>
      <c r="F210" s="5" t="s">
        <v>20</v>
      </c>
      <c r="G210" s="5" t="s">
        <v>102</v>
      </c>
      <c r="H210" s="6">
        <v>43247</v>
      </c>
      <c r="I210" s="5">
        <v>103876</v>
      </c>
      <c r="J210" s="5" t="s">
        <v>81</v>
      </c>
      <c r="K210" s="5" t="s">
        <v>482</v>
      </c>
      <c r="L210" s="15" t="s">
        <v>39</v>
      </c>
      <c r="M210" s="14" t="str">
        <f>_xlfn.XLOOKUP(F210,Department!$A$2:$A$6,Department!$B$2:$B$6)</f>
        <v>HR</v>
      </c>
      <c r="N210" s="22">
        <f>_xlfn.XLOOKUP(A210,Performance!$A$2:$A$501,Performance!$C$2:$C$501)</f>
        <v>2</v>
      </c>
      <c r="O210" s="19" cm="1">
        <f t="array" ref="O210">_xlfn.IFS(N210=5,I210*15%,N210=4,I210*10%,N210=3,I210*7%,N210&lt;3,I210*5%)</f>
        <v>5193.8</v>
      </c>
    </row>
    <row r="211" spans="1:15">
      <c r="A211" s="4" t="s">
        <v>483</v>
      </c>
      <c r="B211" s="5" t="s">
        <v>42</v>
      </c>
      <c r="C211" s="5" t="s">
        <v>141</v>
      </c>
      <c r="D211" s="5" t="s">
        <v>19</v>
      </c>
      <c r="E211" s="5">
        <v>42</v>
      </c>
      <c r="F211" s="5" t="s">
        <v>20</v>
      </c>
      <c r="G211" s="5" t="s">
        <v>102</v>
      </c>
      <c r="H211" s="6">
        <v>44642</v>
      </c>
      <c r="I211" s="5">
        <v>106174</v>
      </c>
      <c r="J211" s="5" t="s">
        <v>67</v>
      </c>
      <c r="K211" s="5" t="s">
        <v>484</v>
      </c>
      <c r="L211" s="15" t="s">
        <v>24</v>
      </c>
      <c r="M211" s="14" t="str">
        <f>_xlfn.XLOOKUP(F211,Department!$A$2:$A$6,Department!$B$2:$B$6)</f>
        <v>HR</v>
      </c>
      <c r="N211" s="22">
        <f>_xlfn.XLOOKUP(A211,Performance!$A$2:$A$501,Performance!$C$2:$C$501)</f>
        <v>5</v>
      </c>
      <c r="O211" s="19" cm="1">
        <f t="array" ref="O211">_xlfn.IFS(N211=5,I211*15%,N211=4,I211*10%,N211=3,I211*7%,N211&lt;3,I211*5%)</f>
        <v>15926.099999999999</v>
      </c>
    </row>
    <row r="212" spans="1:15">
      <c r="A212" s="4" t="s">
        <v>485</v>
      </c>
      <c r="B212" s="5" t="s">
        <v>92</v>
      </c>
      <c r="C212" s="5" t="s">
        <v>49</v>
      </c>
      <c r="D212" s="5" t="s">
        <v>19</v>
      </c>
      <c r="E212" s="5">
        <v>29</v>
      </c>
      <c r="F212" s="5" t="s">
        <v>35</v>
      </c>
      <c r="G212" s="5" t="s">
        <v>44</v>
      </c>
      <c r="H212" s="6">
        <v>43345</v>
      </c>
      <c r="I212" s="5">
        <v>80612</v>
      </c>
      <c r="J212" s="5" t="s">
        <v>67</v>
      </c>
      <c r="K212" s="5" t="s">
        <v>486</v>
      </c>
      <c r="L212" s="15" t="s">
        <v>24</v>
      </c>
      <c r="M212" s="14" t="str">
        <f>_xlfn.XLOOKUP(F212,Department!$A$2:$A$6,Department!$B$2:$B$6)</f>
        <v>Sales</v>
      </c>
      <c r="N212" s="22">
        <f>_xlfn.XLOOKUP(A212,Performance!$A$2:$A$501,Performance!$C$2:$C$501)</f>
        <v>1</v>
      </c>
      <c r="O212" s="19" cm="1">
        <f t="array" ref="O212">_xlfn.IFS(N212=5,I212*15%,N212=4,I212*10%,N212=3,I212*7%,N212&lt;3,I212*5%)</f>
        <v>4030.6000000000004</v>
      </c>
    </row>
    <row r="213" spans="1:15">
      <c r="A213" s="4" t="s">
        <v>487</v>
      </c>
      <c r="B213" s="5" t="s">
        <v>126</v>
      </c>
      <c r="C213" s="5" t="s">
        <v>27</v>
      </c>
      <c r="D213" s="5" t="s">
        <v>19</v>
      </c>
      <c r="E213" s="5">
        <v>55</v>
      </c>
      <c r="F213" s="5" t="s">
        <v>35</v>
      </c>
      <c r="G213" s="5" t="s">
        <v>44</v>
      </c>
      <c r="H213" s="6">
        <v>44342</v>
      </c>
      <c r="I213" s="5">
        <v>103478</v>
      </c>
      <c r="J213" s="5" t="s">
        <v>67</v>
      </c>
      <c r="K213" s="5" t="s">
        <v>488</v>
      </c>
      <c r="L213" s="15" t="s">
        <v>24</v>
      </c>
      <c r="M213" s="14" t="str">
        <f>_xlfn.XLOOKUP(F213,Department!$A$2:$A$6,Department!$B$2:$B$6)</f>
        <v>Sales</v>
      </c>
      <c r="N213" s="22">
        <f>_xlfn.XLOOKUP(A213,Performance!$A$2:$A$501,Performance!$C$2:$C$501)</f>
        <v>4</v>
      </c>
      <c r="O213" s="19" cm="1">
        <f t="array" ref="O213">_xlfn.IFS(N213=5,I213*15%,N213=4,I213*10%,N213=3,I213*7%,N213&lt;3,I213*5%)</f>
        <v>10347.800000000001</v>
      </c>
    </row>
    <row r="214" spans="1:15">
      <c r="A214" s="4" t="s">
        <v>489</v>
      </c>
      <c r="B214" s="5" t="s">
        <v>34</v>
      </c>
      <c r="C214" s="5" t="s">
        <v>80</v>
      </c>
      <c r="D214" s="5" t="s">
        <v>19</v>
      </c>
      <c r="E214" s="5">
        <v>59</v>
      </c>
      <c r="F214" s="5" t="s">
        <v>20</v>
      </c>
      <c r="G214" s="5" t="s">
        <v>36</v>
      </c>
      <c r="H214" s="6">
        <v>44130</v>
      </c>
      <c r="I214" s="5">
        <v>38205</v>
      </c>
      <c r="J214" s="5" t="s">
        <v>81</v>
      </c>
      <c r="K214" s="5" t="s">
        <v>490</v>
      </c>
      <c r="L214" s="15" t="s">
        <v>39</v>
      </c>
      <c r="M214" s="14" t="str">
        <f>_xlfn.XLOOKUP(F214,Department!$A$2:$A$6,Department!$B$2:$B$6)</f>
        <v>HR</v>
      </c>
      <c r="N214" s="22">
        <f>_xlfn.XLOOKUP(A214,Performance!$A$2:$A$501,Performance!$C$2:$C$501)</f>
        <v>3</v>
      </c>
      <c r="O214" s="19" cm="1">
        <f t="array" ref="O214">_xlfn.IFS(N214=5,I214*15%,N214=4,I214*10%,N214=3,I214*7%,N214&lt;3,I214*5%)</f>
        <v>2674.3500000000004</v>
      </c>
    </row>
    <row r="215" spans="1:15">
      <c r="A215" s="4" t="s">
        <v>491</v>
      </c>
      <c r="B215" s="5" t="s">
        <v>53</v>
      </c>
      <c r="C215" s="5" t="s">
        <v>117</v>
      </c>
      <c r="D215" s="5" t="s">
        <v>19</v>
      </c>
      <c r="E215" s="5">
        <v>46</v>
      </c>
      <c r="F215" s="5" t="s">
        <v>29</v>
      </c>
      <c r="G215" s="5" t="s">
        <v>102</v>
      </c>
      <c r="H215" s="6">
        <v>45273</v>
      </c>
      <c r="I215" s="5">
        <v>53141</v>
      </c>
      <c r="J215" s="5" t="s">
        <v>37</v>
      </c>
      <c r="K215" s="5" t="s">
        <v>492</v>
      </c>
      <c r="L215" s="15" t="s">
        <v>39</v>
      </c>
      <c r="M215" s="14" t="str">
        <f>_xlfn.XLOOKUP(F215,Department!$A$2:$A$6,Department!$B$2:$B$6)</f>
        <v>IT</v>
      </c>
      <c r="N215" s="22">
        <f>_xlfn.XLOOKUP(A215,Performance!$A$2:$A$501,Performance!$C$2:$C$501)</f>
        <v>3</v>
      </c>
      <c r="O215" s="19" cm="1">
        <f t="array" ref="O215">_xlfn.IFS(N215=5,I215*15%,N215=4,I215*10%,N215=3,I215*7%,N215&lt;3,I215*5%)</f>
        <v>3719.8700000000003</v>
      </c>
    </row>
    <row r="216" spans="1:15">
      <c r="A216" s="4" t="s">
        <v>493</v>
      </c>
      <c r="B216" s="5" t="s">
        <v>42</v>
      </c>
      <c r="C216" s="5" t="s">
        <v>66</v>
      </c>
      <c r="D216" s="5" t="s">
        <v>28</v>
      </c>
      <c r="E216" s="5">
        <v>27</v>
      </c>
      <c r="F216" s="5" t="s">
        <v>29</v>
      </c>
      <c r="G216" s="5" t="s">
        <v>102</v>
      </c>
      <c r="H216" s="6">
        <v>44396</v>
      </c>
      <c r="I216" s="5">
        <v>70180</v>
      </c>
      <c r="J216" s="5" t="s">
        <v>37</v>
      </c>
      <c r="K216" s="5" t="s">
        <v>494</v>
      </c>
      <c r="L216" s="15" t="s">
        <v>24</v>
      </c>
      <c r="M216" s="14" t="str">
        <f>_xlfn.XLOOKUP(F216,Department!$A$2:$A$6,Department!$B$2:$B$6)</f>
        <v>IT</v>
      </c>
      <c r="N216" s="22">
        <f>_xlfn.XLOOKUP(A216,Performance!$A$2:$A$501,Performance!$C$2:$C$501)</f>
        <v>5</v>
      </c>
      <c r="O216" s="19" cm="1">
        <f t="array" ref="O216">_xlfn.IFS(N216=5,I216*15%,N216=4,I216*10%,N216=3,I216*7%,N216&lt;3,I216*5%)</f>
        <v>10527</v>
      </c>
    </row>
    <row r="217" spans="1:15">
      <c r="A217" s="4" t="s">
        <v>495</v>
      </c>
      <c r="B217" s="5" t="s">
        <v>42</v>
      </c>
      <c r="C217" s="5" t="s">
        <v>49</v>
      </c>
      <c r="D217" s="5" t="s">
        <v>19</v>
      </c>
      <c r="E217" s="5">
        <v>29</v>
      </c>
      <c r="F217" s="5" t="s">
        <v>54</v>
      </c>
      <c r="G217" s="5" t="s">
        <v>30</v>
      </c>
      <c r="H217" s="6">
        <v>44878</v>
      </c>
      <c r="I217" s="5">
        <v>48946</v>
      </c>
      <c r="J217" s="5" t="s">
        <v>62</v>
      </c>
      <c r="K217" s="5" t="s">
        <v>496</v>
      </c>
      <c r="L217" s="15" t="s">
        <v>39</v>
      </c>
      <c r="M217" s="14" t="str">
        <f>_xlfn.XLOOKUP(F217,Department!$A$2:$A$6,Department!$B$2:$B$6)</f>
        <v>Finance</v>
      </c>
      <c r="N217" s="22">
        <f>_xlfn.XLOOKUP(A217,Performance!$A$2:$A$501,Performance!$C$2:$C$501)</f>
        <v>3</v>
      </c>
      <c r="O217" s="19" cm="1">
        <f t="array" ref="O217">_xlfn.IFS(N217=5,I217*15%,N217=4,I217*10%,N217=3,I217*7%,N217&lt;3,I217*5%)</f>
        <v>3426.2200000000003</v>
      </c>
    </row>
    <row r="218" spans="1:15">
      <c r="A218" s="4" t="s">
        <v>497</v>
      </c>
      <c r="B218" s="5" t="s">
        <v>92</v>
      </c>
      <c r="C218" s="5" t="s">
        <v>80</v>
      </c>
      <c r="D218" s="5" t="s">
        <v>28</v>
      </c>
      <c r="E218" s="5">
        <v>38</v>
      </c>
      <c r="F218" s="5" t="s">
        <v>35</v>
      </c>
      <c r="G218" s="5" t="s">
        <v>36</v>
      </c>
      <c r="H218" s="6">
        <v>43116</v>
      </c>
      <c r="I218" s="5">
        <v>107342</v>
      </c>
      <c r="J218" s="5" t="s">
        <v>81</v>
      </c>
      <c r="K218" s="5" t="s">
        <v>498</v>
      </c>
      <c r="L218" s="15" t="s">
        <v>24</v>
      </c>
      <c r="M218" s="14" t="str">
        <f>_xlfn.XLOOKUP(F218,Department!$A$2:$A$6,Department!$B$2:$B$6)</f>
        <v>Sales</v>
      </c>
      <c r="N218" s="22">
        <f>_xlfn.XLOOKUP(A218,Performance!$A$2:$A$501,Performance!$C$2:$C$501)</f>
        <v>1</v>
      </c>
      <c r="O218" s="19" cm="1">
        <f t="array" ref="O218">_xlfn.IFS(N218=5,I218*15%,N218=4,I218*10%,N218=3,I218*7%,N218&lt;3,I218*5%)</f>
        <v>5367.1</v>
      </c>
    </row>
    <row r="219" spans="1:15">
      <c r="A219" s="4" t="s">
        <v>499</v>
      </c>
      <c r="B219" s="5" t="s">
        <v>34</v>
      </c>
      <c r="C219" s="5" t="s">
        <v>117</v>
      </c>
      <c r="D219" s="5" t="s">
        <v>28</v>
      </c>
      <c r="E219" s="5">
        <v>58</v>
      </c>
      <c r="F219" s="5" t="s">
        <v>35</v>
      </c>
      <c r="G219" s="5" t="s">
        <v>102</v>
      </c>
      <c r="H219" s="6">
        <v>43654</v>
      </c>
      <c r="I219" s="5">
        <v>45973</v>
      </c>
      <c r="J219" s="5" t="s">
        <v>67</v>
      </c>
      <c r="K219" s="5" t="s">
        <v>500</v>
      </c>
      <c r="L219" s="15" t="s">
        <v>39</v>
      </c>
      <c r="M219" s="14" t="str">
        <f>_xlfn.XLOOKUP(F219,Department!$A$2:$A$6,Department!$B$2:$B$6)</f>
        <v>Sales</v>
      </c>
      <c r="N219" s="22">
        <f>_xlfn.XLOOKUP(A219,Performance!$A$2:$A$501,Performance!$C$2:$C$501)</f>
        <v>3</v>
      </c>
      <c r="O219" s="19" cm="1">
        <f t="array" ref="O219">_xlfn.IFS(N219=5,I219*15%,N219=4,I219*10%,N219=3,I219*7%,N219&lt;3,I219*5%)</f>
        <v>3218.11</v>
      </c>
    </row>
    <row r="220" spans="1:15">
      <c r="A220" s="4" t="s">
        <v>501</v>
      </c>
      <c r="B220" s="5" t="s">
        <v>42</v>
      </c>
      <c r="C220" s="5" t="s">
        <v>84</v>
      </c>
      <c r="D220" s="5" t="s">
        <v>19</v>
      </c>
      <c r="E220" s="5">
        <v>26</v>
      </c>
      <c r="F220" s="5" t="s">
        <v>43</v>
      </c>
      <c r="G220" s="5" t="s">
        <v>30</v>
      </c>
      <c r="H220" s="6">
        <v>43259</v>
      </c>
      <c r="I220" s="5">
        <v>49800</v>
      </c>
      <c r="J220" s="5" t="s">
        <v>62</v>
      </c>
      <c r="K220" s="5" t="s">
        <v>502</v>
      </c>
      <c r="L220" s="15" t="s">
        <v>39</v>
      </c>
      <c r="M220" s="14" t="str">
        <f>_xlfn.XLOOKUP(F220,Department!$A$2:$A$6,Department!$B$2:$B$6)</f>
        <v>Marketing</v>
      </c>
      <c r="N220" s="22">
        <f>_xlfn.XLOOKUP(A220,Performance!$A$2:$A$501,Performance!$C$2:$C$501)</f>
        <v>5</v>
      </c>
      <c r="O220" s="19" cm="1">
        <f t="array" ref="O220">_xlfn.IFS(N220=5,I220*15%,N220=4,I220*10%,N220=3,I220*7%,N220&lt;3,I220*5%)</f>
        <v>7470</v>
      </c>
    </row>
    <row r="221" spans="1:15">
      <c r="A221" s="4" t="s">
        <v>503</v>
      </c>
      <c r="B221" s="5" t="s">
        <v>126</v>
      </c>
      <c r="C221" s="5" t="s">
        <v>27</v>
      </c>
      <c r="D221" s="5" t="s">
        <v>28</v>
      </c>
      <c r="E221" s="5">
        <v>25</v>
      </c>
      <c r="F221" s="5" t="s">
        <v>54</v>
      </c>
      <c r="G221" s="5" t="s">
        <v>36</v>
      </c>
      <c r="H221" s="6">
        <v>43301</v>
      </c>
      <c r="I221" s="5">
        <v>39237</v>
      </c>
      <c r="J221" s="5" t="s">
        <v>37</v>
      </c>
      <c r="K221" s="5" t="s">
        <v>504</v>
      </c>
      <c r="L221" s="15" t="s">
        <v>39</v>
      </c>
      <c r="M221" s="14" t="str">
        <f>_xlfn.XLOOKUP(F221,Department!$A$2:$A$6,Department!$B$2:$B$6)</f>
        <v>Finance</v>
      </c>
      <c r="N221" s="22">
        <f>_xlfn.XLOOKUP(A221,Performance!$A$2:$A$501,Performance!$C$2:$C$501)</f>
        <v>2</v>
      </c>
      <c r="O221" s="19" cm="1">
        <f t="array" ref="O221">_xlfn.IFS(N221=5,I221*15%,N221=4,I221*10%,N221=3,I221*7%,N221&lt;3,I221*5%)</f>
        <v>1961.8500000000001</v>
      </c>
    </row>
    <row r="222" spans="1:15">
      <c r="A222" s="4" t="s">
        <v>505</v>
      </c>
      <c r="B222" s="5" t="s">
        <v>17</v>
      </c>
      <c r="C222" s="5" t="s">
        <v>89</v>
      </c>
      <c r="D222" s="5" t="s">
        <v>19</v>
      </c>
      <c r="E222" s="5">
        <v>54</v>
      </c>
      <c r="F222" s="5" t="s">
        <v>43</v>
      </c>
      <c r="G222" s="5" t="s">
        <v>36</v>
      </c>
      <c r="H222" s="6">
        <v>44828</v>
      </c>
      <c r="I222" s="5">
        <v>69777</v>
      </c>
      <c r="J222" s="5" t="s">
        <v>22</v>
      </c>
      <c r="K222" s="5" t="s">
        <v>506</v>
      </c>
      <c r="L222" s="15" t="s">
        <v>24</v>
      </c>
      <c r="M222" s="14" t="str">
        <f>_xlfn.XLOOKUP(F222,Department!$A$2:$A$6,Department!$B$2:$B$6)</f>
        <v>Marketing</v>
      </c>
      <c r="N222" s="22">
        <f>_xlfn.XLOOKUP(A222,Performance!$A$2:$A$501,Performance!$C$2:$C$501)</f>
        <v>5</v>
      </c>
      <c r="O222" s="19" cm="1">
        <f t="array" ref="O222">_xlfn.IFS(N222=5,I222*15%,N222=4,I222*10%,N222=3,I222*7%,N222&lt;3,I222*5%)</f>
        <v>10466.549999999999</v>
      </c>
    </row>
    <row r="223" spans="1:15">
      <c r="A223" s="4" t="s">
        <v>507</v>
      </c>
      <c r="B223" s="5" t="s">
        <v>17</v>
      </c>
      <c r="C223" s="5" t="s">
        <v>84</v>
      </c>
      <c r="D223" s="5" t="s">
        <v>28</v>
      </c>
      <c r="E223" s="5">
        <v>24</v>
      </c>
      <c r="F223" s="5" t="s">
        <v>54</v>
      </c>
      <c r="G223" s="5" t="s">
        <v>30</v>
      </c>
      <c r="H223" s="6">
        <v>44783</v>
      </c>
      <c r="I223" s="5">
        <v>45012</v>
      </c>
      <c r="J223" s="5" t="s">
        <v>37</v>
      </c>
      <c r="K223" s="5" t="s">
        <v>508</v>
      </c>
      <c r="L223" s="15" t="s">
        <v>39</v>
      </c>
      <c r="M223" s="14" t="str">
        <f>_xlfn.XLOOKUP(F223,Department!$A$2:$A$6,Department!$B$2:$B$6)</f>
        <v>Finance</v>
      </c>
      <c r="N223" s="22">
        <f>_xlfn.XLOOKUP(A223,Performance!$A$2:$A$501,Performance!$C$2:$C$501)</f>
        <v>5</v>
      </c>
      <c r="O223" s="19" cm="1">
        <f t="array" ref="O223">_xlfn.IFS(N223=5,I223*15%,N223=4,I223*10%,N223=3,I223*7%,N223&lt;3,I223*5%)</f>
        <v>6751.8</v>
      </c>
    </row>
    <row r="224" spans="1:15">
      <c r="A224" s="4" t="s">
        <v>509</v>
      </c>
      <c r="B224" s="5" t="s">
        <v>61</v>
      </c>
      <c r="C224" s="5" t="s">
        <v>49</v>
      </c>
      <c r="D224" s="5" t="s">
        <v>28</v>
      </c>
      <c r="E224" s="5">
        <v>56</v>
      </c>
      <c r="F224" s="5" t="s">
        <v>54</v>
      </c>
      <c r="G224" s="5" t="s">
        <v>30</v>
      </c>
      <c r="H224" s="6">
        <v>43220</v>
      </c>
      <c r="I224" s="5">
        <v>99157</v>
      </c>
      <c r="J224" s="5" t="s">
        <v>62</v>
      </c>
      <c r="K224" s="5" t="s">
        <v>510</v>
      </c>
      <c r="L224" s="15" t="s">
        <v>39</v>
      </c>
      <c r="M224" s="14" t="str">
        <f>_xlfn.XLOOKUP(F224,Department!$A$2:$A$6,Department!$B$2:$B$6)</f>
        <v>Finance</v>
      </c>
      <c r="N224" s="22">
        <f>_xlfn.XLOOKUP(A224,Performance!$A$2:$A$501,Performance!$C$2:$C$501)</f>
        <v>5</v>
      </c>
      <c r="O224" s="19" cm="1">
        <f t="array" ref="O224">_xlfn.IFS(N224=5,I224*15%,N224=4,I224*10%,N224=3,I224*7%,N224&lt;3,I224*5%)</f>
        <v>14873.55</v>
      </c>
    </row>
    <row r="225" spans="1:15">
      <c r="A225" s="4" t="s">
        <v>511</v>
      </c>
      <c r="B225" s="5" t="s">
        <v>61</v>
      </c>
      <c r="C225" s="5" t="s">
        <v>141</v>
      </c>
      <c r="D225" s="5" t="s">
        <v>28</v>
      </c>
      <c r="E225" s="5">
        <v>42</v>
      </c>
      <c r="F225" s="5" t="s">
        <v>43</v>
      </c>
      <c r="G225" s="5" t="s">
        <v>44</v>
      </c>
      <c r="H225" s="6">
        <v>44012</v>
      </c>
      <c r="I225" s="5">
        <v>81470</v>
      </c>
      <c r="J225" s="5" t="s">
        <v>37</v>
      </c>
      <c r="K225" s="5" t="s">
        <v>512</v>
      </c>
      <c r="L225" s="15" t="s">
        <v>24</v>
      </c>
      <c r="M225" s="14" t="str">
        <f>_xlfn.XLOOKUP(F225,Department!$A$2:$A$6,Department!$B$2:$B$6)</f>
        <v>Marketing</v>
      </c>
      <c r="N225" s="22">
        <f>_xlfn.XLOOKUP(A225,Performance!$A$2:$A$501,Performance!$C$2:$C$501)</f>
        <v>1</v>
      </c>
      <c r="O225" s="19" cm="1">
        <f t="array" ref="O225">_xlfn.IFS(N225=5,I225*15%,N225=4,I225*10%,N225=3,I225*7%,N225&lt;3,I225*5%)</f>
        <v>4073.5</v>
      </c>
    </row>
    <row r="226" spans="1:15">
      <c r="A226" s="4" t="s">
        <v>513</v>
      </c>
      <c r="B226" s="5" t="s">
        <v>42</v>
      </c>
      <c r="C226" s="5" t="s">
        <v>84</v>
      </c>
      <c r="D226" s="5" t="s">
        <v>28</v>
      </c>
      <c r="E226" s="5">
        <v>23</v>
      </c>
      <c r="F226" s="5" t="s">
        <v>35</v>
      </c>
      <c r="G226" s="5" t="s">
        <v>44</v>
      </c>
      <c r="H226" s="6">
        <v>45450</v>
      </c>
      <c r="I226" s="5">
        <v>98738</v>
      </c>
      <c r="J226" s="5" t="s">
        <v>67</v>
      </c>
      <c r="K226" s="5" t="s">
        <v>514</v>
      </c>
      <c r="L226" s="15" t="s">
        <v>39</v>
      </c>
      <c r="M226" s="14" t="str">
        <f>_xlfn.XLOOKUP(F226,Department!$A$2:$A$6,Department!$B$2:$B$6)</f>
        <v>Sales</v>
      </c>
      <c r="N226" s="22">
        <f>_xlfn.XLOOKUP(A226,Performance!$A$2:$A$501,Performance!$C$2:$C$501)</f>
        <v>5</v>
      </c>
      <c r="O226" s="19" cm="1">
        <f t="array" ref="O226">_xlfn.IFS(N226=5,I226*15%,N226=4,I226*10%,N226=3,I226*7%,N226&lt;3,I226*5%)</f>
        <v>14810.699999999999</v>
      </c>
    </row>
    <row r="227" spans="1:15">
      <c r="A227" s="4" t="s">
        <v>515</v>
      </c>
      <c r="B227" s="5" t="s">
        <v>34</v>
      </c>
      <c r="C227" s="5" t="s">
        <v>49</v>
      </c>
      <c r="D227" s="5" t="s">
        <v>19</v>
      </c>
      <c r="E227" s="5">
        <v>45</v>
      </c>
      <c r="F227" s="5" t="s">
        <v>29</v>
      </c>
      <c r="G227" s="5" t="s">
        <v>36</v>
      </c>
      <c r="H227" s="6">
        <v>44423</v>
      </c>
      <c r="I227" s="5">
        <v>69768</v>
      </c>
      <c r="J227" s="5" t="s">
        <v>22</v>
      </c>
      <c r="K227" s="5" t="s">
        <v>516</v>
      </c>
      <c r="L227" s="15" t="s">
        <v>39</v>
      </c>
      <c r="M227" s="14" t="str">
        <f>_xlfn.XLOOKUP(F227,Department!$A$2:$A$6,Department!$B$2:$B$6)</f>
        <v>IT</v>
      </c>
      <c r="N227" s="22">
        <f>_xlfn.XLOOKUP(A227,Performance!$A$2:$A$501,Performance!$C$2:$C$501)</f>
        <v>2</v>
      </c>
      <c r="O227" s="19" cm="1">
        <f t="array" ref="O227">_xlfn.IFS(N227=5,I227*15%,N227=4,I227*10%,N227=3,I227*7%,N227&lt;3,I227*5%)</f>
        <v>3488.4</v>
      </c>
    </row>
    <row r="228" spans="1:15">
      <c r="A228" s="4" t="s">
        <v>517</v>
      </c>
      <c r="B228" s="5" t="s">
        <v>92</v>
      </c>
      <c r="C228" s="5" t="s">
        <v>80</v>
      </c>
      <c r="D228" s="5" t="s">
        <v>28</v>
      </c>
      <c r="E228" s="5">
        <v>47</v>
      </c>
      <c r="F228" s="5" t="s">
        <v>43</v>
      </c>
      <c r="G228" s="5" t="s">
        <v>36</v>
      </c>
      <c r="H228" s="6">
        <v>44063</v>
      </c>
      <c r="I228" s="5">
        <v>78816</v>
      </c>
      <c r="J228" s="5" t="s">
        <v>37</v>
      </c>
      <c r="K228" s="5" t="s">
        <v>518</v>
      </c>
      <c r="L228" s="15" t="s">
        <v>39</v>
      </c>
      <c r="M228" s="14" t="str">
        <f>_xlfn.XLOOKUP(F228,Department!$A$2:$A$6,Department!$B$2:$B$6)</f>
        <v>Marketing</v>
      </c>
      <c r="N228" s="22">
        <f>_xlfn.XLOOKUP(A228,Performance!$A$2:$A$501,Performance!$C$2:$C$501)</f>
        <v>4</v>
      </c>
      <c r="O228" s="19" cm="1">
        <f t="array" ref="O228">_xlfn.IFS(N228=5,I228*15%,N228=4,I228*10%,N228=3,I228*7%,N228&lt;3,I228*5%)</f>
        <v>7881.6</v>
      </c>
    </row>
    <row r="229" spans="1:15">
      <c r="A229" s="4" t="s">
        <v>519</v>
      </c>
      <c r="B229" s="5" t="s">
        <v>126</v>
      </c>
      <c r="C229" s="5" t="s">
        <v>141</v>
      </c>
      <c r="D229" s="5" t="s">
        <v>28</v>
      </c>
      <c r="E229" s="5">
        <v>30</v>
      </c>
      <c r="F229" s="5" t="s">
        <v>35</v>
      </c>
      <c r="G229" s="5" t="s">
        <v>102</v>
      </c>
      <c r="H229" s="6">
        <v>43540</v>
      </c>
      <c r="I229" s="5">
        <v>39186</v>
      </c>
      <c r="J229" s="5" t="s">
        <v>22</v>
      </c>
      <c r="K229" s="5" t="s">
        <v>520</v>
      </c>
      <c r="L229" s="15" t="s">
        <v>24</v>
      </c>
      <c r="M229" s="14" t="str">
        <f>_xlfn.XLOOKUP(F229,Department!$A$2:$A$6,Department!$B$2:$B$6)</f>
        <v>Sales</v>
      </c>
      <c r="N229" s="22">
        <f>_xlfn.XLOOKUP(A229,Performance!$A$2:$A$501,Performance!$C$2:$C$501)</f>
        <v>5</v>
      </c>
      <c r="O229" s="19" cm="1">
        <f t="array" ref="O229">_xlfn.IFS(N229=5,I229*15%,N229=4,I229*10%,N229=3,I229*7%,N229&lt;3,I229*5%)</f>
        <v>5877.9</v>
      </c>
    </row>
    <row r="230" spans="1:15">
      <c r="A230" s="4" t="s">
        <v>521</v>
      </c>
      <c r="B230" s="5" t="s">
        <v>48</v>
      </c>
      <c r="C230" s="5" t="s">
        <v>141</v>
      </c>
      <c r="D230" s="5" t="s">
        <v>19</v>
      </c>
      <c r="E230" s="5">
        <v>57</v>
      </c>
      <c r="F230" s="5" t="s">
        <v>20</v>
      </c>
      <c r="G230" s="5" t="s">
        <v>44</v>
      </c>
      <c r="H230" s="6">
        <v>44082</v>
      </c>
      <c r="I230" s="5">
        <v>90363</v>
      </c>
      <c r="J230" s="5" t="s">
        <v>62</v>
      </c>
      <c r="K230" s="5" t="s">
        <v>522</v>
      </c>
      <c r="L230" s="15" t="s">
        <v>39</v>
      </c>
      <c r="M230" s="14" t="str">
        <f>_xlfn.XLOOKUP(F230,Department!$A$2:$A$6,Department!$B$2:$B$6)</f>
        <v>HR</v>
      </c>
      <c r="N230" s="22">
        <f>_xlfn.XLOOKUP(A230,Performance!$A$2:$A$501,Performance!$C$2:$C$501)</f>
        <v>4</v>
      </c>
      <c r="O230" s="19" cm="1">
        <f t="array" ref="O230">_xlfn.IFS(N230=5,I230*15%,N230=4,I230*10%,N230=3,I230*7%,N230&lt;3,I230*5%)</f>
        <v>9036.3000000000011</v>
      </c>
    </row>
    <row r="231" spans="1:15">
      <c r="A231" s="4" t="s">
        <v>523</v>
      </c>
      <c r="B231" s="5" t="s">
        <v>42</v>
      </c>
      <c r="C231" s="5" t="s">
        <v>80</v>
      </c>
      <c r="D231" s="5" t="s">
        <v>19</v>
      </c>
      <c r="E231" s="5">
        <v>56</v>
      </c>
      <c r="F231" s="5" t="s">
        <v>20</v>
      </c>
      <c r="G231" s="5" t="s">
        <v>30</v>
      </c>
      <c r="H231" s="6">
        <v>43282</v>
      </c>
      <c r="I231" s="5">
        <v>86374</v>
      </c>
      <c r="J231" s="5" t="s">
        <v>22</v>
      </c>
      <c r="K231" s="5" t="s">
        <v>524</v>
      </c>
      <c r="L231" s="15" t="s">
        <v>39</v>
      </c>
      <c r="M231" s="14" t="str">
        <f>_xlfn.XLOOKUP(F231,Department!$A$2:$A$6,Department!$B$2:$B$6)</f>
        <v>HR</v>
      </c>
      <c r="N231" s="22">
        <f>_xlfn.XLOOKUP(A231,Performance!$A$2:$A$501,Performance!$C$2:$C$501)</f>
        <v>5</v>
      </c>
      <c r="O231" s="19" cm="1">
        <f t="array" ref="O231">_xlfn.IFS(N231=5,I231*15%,N231=4,I231*10%,N231=3,I231*7%,N231&lt;3,I231*5%)</f>
        <v>12956.1</v>
      </c>
    </row>
    <row r="232" spans="1:15">
      <c r="A232" s="4" t="s">
        <v>525</v>
      </c>
      <c r="B232" s="5" t="s">
        <v>92</v>
      </c>
      <c r="C232" s="5" t="s">
        <v>27</v>
      </c>
      <c r="D232" s="5" t="s">
        <v>19</v>
      </c>
      <c r="E232" s="5">
        <v>28</v>
      </c>
      <c r="F232" s="5" t="s">
        <v>29</v>
      </c>
      <c r="G232" s="5" t="s">
        <v>102</v>
      </c>
      <c r="H232" s="6">
        <v>43334</v>
      </c>
      <c r="I232" s="5">
        <v>51057</v>
      </c>
      <c r="J232" s="5" t="s">
        <v>37</v>
      </c>
      <c r="K232" s="5" t="s">
        <v>526</v>
      </c>
      <c r="L232" s="15" t="s">
        <v>24</v>
      </c>
      <c r="M232" s="14" t="str">
        <f>_xlfn.XLOOKUP(F232,Department!$A$2:$A$6,Department!$B$2:$B$6)</f>
        <v>IT</v>
      </c>
      <c r="N232" s="22">
        <f>_xlfn.XLOOKUP(A232,Performance!$A$2:$A$501,Performance!$C$2:$C$501)</f>
        <v>2</v>
      </c>
      <c r="O232" s="19" cm="1">
        <f t="array" ref="O232">_xlfn.IFS(N232=5,I232*15%,N232=4,I232*10%,N232=3,I232*7%,N232&lt;3,I232*5%)</f>
        <v>2552.8500000000004</v>
      </c>
    </row>
    <row r="233" spans="1:15">
      <c r="A233" s="4" t="s">
        <v>527</v>
      </c>
      <c r="B233" s="5" t="s">
        <v>17</v>
      </c>
      <c r="C233" s="5" t="s">
        <v>84</v>
      </c>
      <c r="D233" s="5" t="s">
        <v>19</v>
      </c>
      <c r="E233" s="5">
        <v>55</v>
      </c>
      <c r="F233" s="5" t="s">
        <v>54</v>
      </c>
      <c r="G233" s="5" t="s">
        <v>21</v>
      </c>
      <c r="H233" s="6">
        <v>44521</v>
      </c>
      <c r="I233" s="5">
        <v>94146</v>
      </c>
      <c r="J233" s="5" t="s">
        <v>62</v>
      </c>
      <c r="K233" s="5" t="s">
        <v>528</v>
      </c>
      <c r="L233" s="15" t="s">
        <v>39</v>
      </c>
      <c r="M233" s="14" t="str">
        <f>_xlfn.XLOOKUP(F233,Department!$A$2:$A$6,Department!$B$2:$B$6)</f>
        <v>Finance</v>
      </c>
      <c r="N233" s="22">
        <f>_xlfn.XLOOKUP(A233,Performance!$A$2:$A$501,Performance!$C$2:$C$501)</f>
        <v>2</v>
      </c>
      <c r="O233" s="19" cm="1">
        <f t="array" ref="O233">_xlfn.IFS(N233=5,I233*15%,N233=4,I233*10%,N233=3,I233*7%,N233&lt;3,I233*5%)</f>
        <v>4707.3</v>
      </c>
    </row>
    <row r="234" spans="1:15">
      <c r="A234" s="4" t="s">
        <v>529</v>
      </c>
      <c r="B234" s="5" t="s">
        <v>42</v>
      </c>
      <c r="C234" s="5" t="s">
        <v>18</v>
      </c>
      <c r="D234" s="5" t="s">
        <v>28</v>
      </c>
      <c r="E234" s="5">
        <v>33</v>
      </c>
      <c r="F234" s="5" t="s">
        <v>54</v>
      </c>
      <c r="G234" s="5" t="s">
        <v>102</v>
      </c>
      <c r="H234" s="6">
        <v>45289</v>
      </c>
      <c r="I234" s="5">
        <v>102836</v>
      </c>
      <c r="J234" s="5" t="s">
        <v>62</v>
      </c>
      <c r="K234" s="5" t="s">
        <v>530</v>
      </c>
      <c r="L234" s="15" t="s">
        <v>24</v>
      </c>
      <c r="M234" s="14" t="str">
        <f>_xlfn.XLOOKUP(F234,Department!$A$2:$A$6,Department!$B$2:$B$6)</f>
        <v>Finance</v>
      </c>
      <c r="N234" s="22">
        <f>_xlfn.XLOOKUP(A234,Performance!$A$2:$A$501,Performance!$C$2:$C$501)</f>
        <v>2</v>
      </c>
      <c r="O234" s="19" cm="1">
        <f t="array" ref="O234">_xlfn.IFS(N234=5,I234*15%,N234=4,I234*10%,N234=3,I234*7%,N234&lt;3,I234*5%)</f>
        <v>5141.8</v>
      </c>
    </row>
    <row r="235" spans="1:15">
      <c r="A235" s="4" t="s">
        <v>531</v>
      </c>
      <c r="B235" s="5" t="s">
        <v>92</v>
      </c>
      <c r="C235" s="5" t="s">
        <v>27</v>
      </c>
      <c r="D235" s="5" t="s">
        <v>28</v>
      </c>
      <c r="E235" s="5">
        <v>28</v>
      </c>
      <c r="F235" s="5" t="s">
        <v>54</v>
      </c>
      <c r="G235" s="5" t="s">
        <v>30</v>
      </c>
      <c r="H235" s="6">
        <v>44213</v>
      </c>
      <c r="I235" s="5">
        <v>56052</v>
      </c>
      <c r="J235" s="5" t="s">
        <v>67</v>
      </c>
      <c r="K235" s="5" t="s">
        <v>532</v>
      </c>
      <c r="L235" s="15" t="s">
        <v>39</v>
      </c>
      <c r="M235" s="14" t="str">
        <f>_xlfn.XLOOKUP(F235,Department!$A$2:$A$6,Department!$B$2:$B$6)</f>
        <v>Finance</v>
      </c>
      <c r="N235" s="22">
        <f>_xlfn.XLOOKUP(A235,Performance!$A$2:$A$501,Performance!$C$2:$C$501)</f>
        <v>4</v>
      </c>
      <c r="O235" s="19" cm="1">
        <f t="array" ref="O235">_xlfn.IFS(N235=5,I235*15%,N235=4,I235*10%,N235=3,I235*7%,N235&lt;3,I235*5%)</f>
        <v>5605.2000000000007</v>
      </c>
    </row>
    <row r="236" spans="1:15">
      <c r="A236" s="4" t="s">
        <v>533</v>
      </c>
      <c r="B236" s="5" t="s">
        <v>48</v>
      </c>
      <c r="C236" s="5" t="s">
        <v>49</v>
      </c>
      <c r="D236" s="5" t="s">
        <v>19</v>
      </c>
      <c r="E236" s="5">
        <v>56</v>
      </c>
      <c r="F236" s="5" t="s">
        <v>29</v>
      </c>
      <c r="G236" s="5" t="s">
        <v>102</v>
      </c>
      <c r="H236" s="6">
        <v>44202</v>
      </c>
      <c r="I236" s="5">
        <v>106491</v>
      </c>
      <c r="J236" s="5" t="s">
        <v>22</v>
      </c>
      <c r="K236" s="5" t="s">
        <v>534</v>
      </c>
      <c r="L236" s="15" t="s">
        <v>39</v>
      </c>
      <c r="M236" s="14" t="str">
        <f>_xlfn.XLOOKUP(F236,Department!$A$2:$A$6,Department!$B$2:$B$6)</f>
        <v>IT</v>
      </c>
      <c r="N236" s="22">
        <f>_xlfn.XLOOKUP(A236,Performance!$A$2:$A$501,Performance!$C$2:$C$501)</f>
        <v>5</v>
      </c>
      <c r="O236" s="19" cm="1">
        <f t="array" ref="O236">_xlfn.IFS(N236=5,I236*15%,N236=4,I236*10%,N236=3,I236*7%,N236&lt;3,I236*5%)</f>
        <v>15973.65</v>
      </c>
    </row>
    <row r="237" spans="1:15">
      <c r="A237" s="4" t="s">
        <v>535</v>
      </c>
      <c r="B237" s="5" t="s">
        <v>61</v>
      </c>
      <c r="C237" s="5" t="s">
        <v>141</v>
      </c>
      <c r="D237" s="5" t="s">
        <v>28</v>
      </c>
      <c r="E237" s="5">
        <v>48</v>
      </c>
      <c r="F237" s="5" t="s">
        <v>35</v>
      </c>
      <c r="G237" s="5" t="s">
        <v>102</v>
      </c>
      <c r="H237" s="6">
        <v>44348</v>
      </c>
      <c r="I237" s="5">
        <v>36633</v>
      </c>
      <c r="J237" s="5" t="s">
        <v>62</v>
      </c>
      <c r="K237" s="5" t="s">
        <v>536</v>
      </c>
      <c r="L237" s="15" t="s">
        <v>39</v>
      </c>
      <c r="M237" s="14" t="str">
        <f>_xlfn.XLOOKUP(F237,Department!$A$2:$A$6,Department!$B$2:$B$6)</f>
        <v>Sales</v>
      </c>
      <c r="N237" s="22">
        <f>_xlfn.XLOOKUP(A237,Performance!$A$2:$A$501,Performance!$C$2:$C$501)</f>
        <v>4</v>
      </c>
      <c r="O237" s="19" cm="1">
        <f t="array" ref="O237">_xlfn.IFS(N237=5,I237*15%,N237=4,I237*10%,N237=3,I237*7%,N237&lt;3,I237*5%)</f>
        <v>3663.3</v>
      </c>
    </row>
    <row r="238" spans="1:15">
      <c r="A238" s="4" t="s">
        <v>537</v>
      </c>
      <c r="B238" s="5" t="s">
        <v>34</v>
      </c>
      <c r="C238" s="5" t="s">
        <v>49</v>
      </c>
      <c r="D238" s="5" t="s">
        <v>19</v>
      </c>
      <c r="E238" s="5">
        <v>50</v>
      </c>
      <c r="F238" s="5" t="s">
        <v>29</v>
      </c>
      <c r="G238" s="5" t="s">
        <v>30</v>
      </c>
      <c r="H238" s="6">
        <v>44632</v>
      </c>
      <c r="I238" s="5">
        <v>109744</v>
      </c>
      <c r="J238" s="5" t="s">
        <v>22</v>
      </c>
      <c r="K238" s="5" t="s">
        <v>538</v>
      </c>
      <c r="L238" s="15" t="s">
        <v>39</v>
      </c>
      <c r="M238" s="14" t="str">
        <f>_xlfn.XLOOKUP(F238,Department!$A$2:$A$6,Department!$B$2:$B$6)</f>
        <v>IT</v>
      </c>
      <c r="N238" s="22">
        <f>_xlfn.XLOOKUP(A238,Performance!$A$2:$A$501,Performance!$C$2:$C$501)</f>
        <v>4</v>
      </c>
      <c r="O238" s="19" cm="1">
        <f t="array" ref="O238">_xlfn.IFS(N238=5,I238*15%,N238=4,I238*10%,N238=3,I238*7%,N238&lt;3,I238*5%)</f>
        <v>10974.400000000001</v>
      </c>
    </row>
    <row r="239" spans="1:15">
      <c r="A239" s="4" t="s">
        <v>539</v>
      </c>
      <c r="B239" s="5" t="s">
        <v>17</v>
      </c>
      <c r="C239" s="5" t="s">
        <v>141</v>
      </c>
      <c r="D239" s="5" t="s">
        <v>19</v>
      </c>
      <c r="E239" s="5">
        <v>57</v>
      </c>
      <c r="F239" s="5" t="s">
        <v>35</v>
      </c>
      <c r="G239" s="5" t="s">
        <v>44</v>
      </c>
      <c r="H239" s="6">
        <v>44680</v>
      </c>
      <c r="I239" s="5">
        <v>44217</v>
      </c>
      <c r="J239" s="5" t="s">
        <v>22</v>
      </c>
      <c r="K239" s="5" t="s">
        <v>540</v>
      </c>
      <c r="L239" s="15" t="s">
        <v>39</v>
      </c>
      <c r="M239" s="14" t="str">
        <f>_xlfn.XLOOKUP(F239,Department!$A$2:$A$6,Department!$B$2:$B$6)</f>
        <v>Sales</v>
      </c>
      <c r="N239" s="22">
        <f>_xlfn.XLOOKUP(A239,Performance!$A$2:$A$501,Performance!$C$2:$C$501)</f>
        <v>4</v>
      </c>
      <c r="O239" s="19" cm="1">
        <f t="array" ref="O239">_xlfn.IFS(N239=5,I239*15%,N239=4,I239*10%,N239=3,I239*7%,N239&lt;3,I239*5%)</f>
        <v>4421.7</v>
      </c>
    </row>
    <row r="240" spans="1:15">
      <c r="A240" s="4" t="s">
        <v>541</v>
      </c>
      <c r="B240" s="5" t="s">
        <v>126</v>
      </c>
      <c r="C240" s="5" t="s">
        <v>89</v>
      </c>
      <c r="D240" s="5" t="s">
        <v>28</v>
      </c>
      <c r="E240" s="5">
        <v>28</v>
      </c>
      <c r="F240" s="5" t="s">
        <v>54</v>
      </c>
      <c r="G240" s="5" t="s">
        <v>21</v>
      </c>
      <c r="H240" s="6">
        <v>44724</v>
      </c>
      <c r="I240" s="5">
        <v>40758</v>
      </c>
      <c r="J240" s="5" t="s">
        <v>81</v>
      </c>
      <c r="K240" s="5" t="s">
        <v>542</v>
      </c>
      <c r="L240" s="15" t="s">
        <v>24</v>
      </c>
      <c r="M240" s="14" t="str">
        <f>_xlfn.XLOOKUP(F240,Department!$A$2:$A$6,Department!$B$2:$B$6)</f>
        <v>Finance</v>
      </c>
      <c r="N240" s="22">
        <f>_xlfn.XLOOKUP(A240,Performance!$A$2:$A$501,Performance!$C$2:$C$501)</f>
        <v>2</v>
      </c>
      <c r="O240" s="19" cm="1">
        <f t="array" ref="O240">_xlfn.IFS(N240=5,I240*15%,N240=4,I240*10%,N240=3,I240*7%,N240&lt;3,I240*5%)</f>
        <v>2037.9</v>
      </c>
    </row>
    <row r="241" spans="1:15">
      <c r="A241" s="4" t="s">
        <v>543</v>
      </c>
      <c r="B241" s="5" t="s">
        <v>34</v>
      </c>
      <c r="C241" s="5" t="s">
        <v>93</v>
      </c>
      <c r="D241" s="5" t="s">
        <v>19</v>
      </c>
      <c r="E241" s="5">
        <v>59</v>
      </c>
      <c r="F241" s="5" t="s">
        <v>54</v>
      </c>
      <c r="G241" s="5" t="s">
        <v>44</v>
      </c>
      <c r="H241" s="6">
        <v>45023</v>
      </c>
      <c r="I241" s="5">
        <v>49878</v>
      </c>
      <c r="J241" s="5" t="s">
        <v>67</v>
      </c>
      <c r="K241" s="5" t="s">
        <v>544</v>
      </c>
      <c r="L241" s="15" t="s">
        <v>24</v>
      </c>
      <c r="M241" s="14" t="str">
        <f>_xlfn.XLOOKUP(F241,Department!$A$2:$A$6,Department!$B$2:$B$6)</f>
        <v>Finance</v>
      </c>
      <c r="N241" s="22">
        <f>_xlfn.XLOOKUP(A241,Performance!$A$2:$A$501,Performance!$C$2:$C$501)</f>
        <v>2</v>
      </c>
      <c r="O241" s="19" cm="1">
        <f t="array" ref="O241">_xlfn.IFS(N241=5,I241*15%,N241=4,I241*10%,N241=3,I241*7%,N241&lt;3,I241*5%)</f>
        <v>2493.9</v>
      </c>
    </row>
    <row r="242" spans="1:15">
      <c r="A242" s="4" t="s">
        <v>545</v>
      </c>
      <c r="B242" s="5" t="s">
        <v>58</v>
      </c>
      <c r="C242" s="5" t="s">
        <v>117</v>
      </c>
      <c r="D242" s="5" t="s">
        <v>19</v>
      </c>
      <c r="E242" s="5">
        <v>48</v>
      </c>
      <c r="F242" s="5" t="s">
        <v>35</v>
      </c>
      <c r="G242" s="5" t="s">
        <v>102</v>
      </c>
      <c r="H242" s="6">
        <v>45115</v>
      </c>
      <c r="I242" s="5">
        <v>95831</v>
      </c>
      <c r="J242" s="5" t="s">
        <v>62</v>
      </c>
      <c r="K242" s="5" t="s">
        <v>546</v>
      </c>
      <c r="L242" s="15" t="s">
        <v>39</v>
      </c>
      <c r="M242" s="14" t="str">
        <f>_xlfn.XLOOKUP(F242,Department!$A$2:$A$6,Department!$B$2:$B$6)</f>
        <v>Sales</v>
      </c>
      <c r="N242" s="22">
        <f>_xlfn.XLOOKUP(A242,Performance!$A$2:$A$501,Performance!$C$2:$C$501)</f>
        <v>2</v>
      </c>
      <c r="O242" s="19" cm="1">
        <f t="array" ref="O242">_xlfn.IFS(N242=5,I242*15%,N242=4,I242*10%,N242=3,I242*7%,N242&lt;3,I242*5%)</f>
        <v>4791.55</v>
      </c>
    </row>
    <row r="243" spans="1:15">
      <c r="A243" s="4" t="s">
        <v>547</v>
      </c>
      <c r="B243" s="5" t="s">
        <v>92</v>
      </c>
      <c r="C243" s="5" t="s">
        <v>18</v>
      </c>
      <c r="D243" s="5" t="s">
        <v>19</v>
      </c>
      <c r="E243" s="5">
        <v>22</v>
      </c>
      <c r="F243" s="5" t="s">
        <v>29</v>
      </c>
      <c r="G243" s="5" t="s">
        <v>30</v>
      </c>
      <c r="H243" s="6">
        <v>45490</v>
      </c>
      <c r="I243" s="5">
        <v>106015</v>
      </c>
      <c r="J243" s="5" t="s">
        <v>22</v>
      </c>
      <c r="K243" s="5" t="s">
        <v>548</v>
      </c>
      <c r="L243" s="15" t="s">
        <v>24</v>
      </c>
      <c r="M243" s="14" t="str">
        <f>_xlfn.XLOOKUP(F243,Department!$A$2:$A$6,Department!$B$2:$B$6)</f>
        <v>IT</v>
      </c>
      <c r="N243" s="22">
        <f>_xlfn.XLOOKUP(A243,Performance!$A$2:$A$501,Performance!$C$2:$C$501)</f>
        <v>2</v>
      </c>
      <c r="O243" s="19" cm="1">
        <f t="array" ref="O243">_xlfn.IFS(N243=5,I243*15%,N243=4,I243*10%,N243=3,I243*7%,N243&lt;3,I243*5%)</f>
        <v>5300.75</v>
      </c>
    </row>
    <row r="244" spans="1:15">
      <c r="A244" s="4" t="s">
        <v>549</v>
      </c>
      <c r="B244" s="5" t="s">
        <v>42</v>
      </c>
      <c r="C244" s="5" t="s">
        <v>49</v>
      </c>
      <c r="D244" s="5" t="s">
        <v>19</v>
      </c>
      <c r="E244" s="5">
        <v>28</v>
      </c>
      <c r="F244" s="5" t="s">
        <v>20</v>
      </c>
      <c r="G244" s="5" t="s">
        <v>21</v>
      </c>
      <c r="H244" s="6">
        <v>43985</v>
      </c>
      <c r="I244" s="5">
        <v>100388</v>
      </c>
      <c r="J244" s="5" t="s">
        <v>81</v>
      </c>
      <c r="K244" s="5" t="s">
        <v>550</v>
      </c>
      <c r="L244" s="15" t="s">
        <v>24</v>
      </c>
      <c r="M244" s="14" t="str">
        <f>_xlfn.XLOOKUP(F244,Department!$A$2:$A$6,Department!$B$2:$B$6)</f>
        <v>HR</v>
      </c>
      <c r="N244" s="22">
        <f>_xlfn.XLOOKUP(A244,Performance!$A$2:$A$501,Performance!$C$2:$C$501)</f>
        <v>1</v>
      </c>
      <c r="O244" s="19" cm="1">
        <f t="array" ref="O244">_xlfn.IFS(N244=5,I244*15%,N244=4,I244*10%,N244=3,I244*7%,N244&lt;3,I244*5%)</f>
        <v>5019.4000000000005</v>
      </c>
    </row>
    <row r="245" spans="1:15">
      <c r="A245" s="4" t="s">
        <v>551</v>
      </c>
      <c r="B245" s="5" t="s">
        <v>34</v>
      </c>
      <c r="C245" s="5" t="s">
        <v>89</v>
      </c>
      <c r="D245" s="5" t="s">
        <v>28</v>
      </c>
      <c r="E245" s="5">
        <v>47</v>
      </c>
      <c r="F245" s="5" t="s">
        <v>43</v>
      </c>
      <c r="G245" s="5" t="s">
        <v>30</v>
      </c>
      <c r="H245" s="6">
        <v>43271</v>
      </c>
      <c r="I245" s="5">
        <v>60932</v>
      </c>
      <c r="J245" s="5" t="s">
        <v>81</v>
      </c>
      <c r="K245" s="5" t="s">
        <v>552</v>
      </c>
      <c r="L245" s="15" t="s">
        <v>39</v>
      </c>
      <c r="M245" s="14" t="str">
        <f>_xlfn.XLOOKUP(F245,Department!$A$2:$A$6,Department!$B$2:$B$6)</f>
        <v>Marketing</v>
      </c>
      <c r="N245" s="22">
        <f>_xlfn.XLOOKUP(A245,Performance!$A$2:$A$501,Performance!$C$2:$C$501)</f>
        <v>4</v>
      </c>
      <c r="O245" s="19" cm="1">
        <f t="array" ref="O245">_xlfn.IFS(N245=5,I245*15%,N245=4,I245*10%,N245=3,I245*7%,N245&lt;3,I245*5%)</f>
        <v>6093.2000000000007</v>
      </c>
    </row>
    <row r="246" spans="1:15">
      <c r="A246" s="4" t="s">
        <v>553</v>
      </c>
      <c r="B246" s="5" t="s">
        <v>53</v>
      </c>
      <c r="C246" s="5" t="s">
        <v>84</v>
      </c>
      <c r="D246" s="5" t="s">
        <v>19</v>
      </c>
      <c r="E246" s="5">
        <v>36</v>
      </c>
      <c r="F246" s="5" t="s">
        <v>43</v>
      </c>
      <c r="G246" s="5" t="s">
        <v>36</v>
      </c>
      <c r="H246" s="6">
        <v>44284</v>
      </c>
      <c r="I246" s="5">
        <v>107818</v>
      </c>
      <c r="J246" s="5" t="s">
        <v>37</v>
      </c>
      <c r="K246" s="5" t="s">
        <v>554</v>
      </c>
      <c r="L246" s="15" t="s">
        <v>24</v>
      </c>
      <c r="M246" s="14" t="str">
        <f>_xlfn.XLOOKUP(F246,Department!$A$2:$A$6,Department!$B$2:$B$6)</f>
        <v>Marketing</v>
      </c>
      <c r="N246" s="22">
        <f>_xlfn.XLOOKUP(A246,Performance!$A$2:$A$501,Performance!$C$2:$C$501)</f>
        <v>1</v>
      </c>
      <c r="O246" s="19" cm="1">
        <f t="array" ref="O246">_xlfn.IFS(N246=5,I246*15%,N246=4,I246*10%,N246=3,I246*7%,N246&lt;3,I246*5%)</f>
        <v>5390.9000000000005</v>
      </c>
    </row>
    <row r="247" spans="1:15">
      <c r="A247" s="4" t="s">
        <v>555</v>
      </c>
      <c r="B247" s="5" t="s">
        <v>17</v>
      </c>
      <c r="C247" s="5" t="s">
        <v>49</v>
      </c>
      <c r="D247" s="5" t="s">
        <v>28</v>
      </c>
      <c r="E247" s="5">
        <v>49</v>
      </c>
      <c r="F247" s="5" t="s">
        <v>54</v>
      </c>
      <c r="G247" s="5" t="s">
        <v>36</v>
      </c>
      <c r="H247" s="6">
        <v>45139</v>
      </c>
      <c r="I247" s="5">
        <v>95198</v>
      </c>
      <c r="J247" s="5" t="s">
        <v>37</v>
      </c>
      <c r="K247" s="5" t="s">
        <v>556</v>
      </c>
      <c r="L247" s="15" t="s">
        <v>24</v>
      </c>
      <c r="M247" s="14" t="str">
        <f>_xlfn.XLOOKUP(F247,Department!$A$2:$A$6,Department!$B$2:$B$6)</f>
        <v>Finance</v>
      </c>
      <c r="N247" s="22">
        <f>_xlfn.XLOOKUP(A247,Performance!$A$2:$A$501,Performance!$C$2:$C$501)</f>
        <v>4</v>
      </c>
      <c r="O247" s="19" cm="1">
        <f t="array" ref="O247">_xlfn.IFS(N247=5,I247*15%,N247=4,I247*10%,N247=3,I247*7%,N247&lt;3,I247*5%)</f>
        <v>9519.8000000000011</v>
      </c>
    </row>
    <row r="248" spans="1:15">
      <c r="A248" s="4" t="s">
        <v>557</v>
      </c>
      <c r="B248" s="5" t="s">
        <v>126</v>
      </c>
      <c r="C248" s="5" t="s">
        <v>117</v>
      </c>
      <c r="D248" s="5" t="s">
        <v>19</v>
      </c>
      <c r="E248" s="5">
        <v>43</v>
      </c>
      <c r="F248" s="5" t="s">
        <v>29</v>
      </c>
      <c r="G248" s="5" t="s">
        <v>44</v>
      </c>
      <c r="H248" s="6">
        <v>44067</v>
      </c>
      <c r="I248" s="5">
        <v>42635</v>
      </c>
      <c r="J248" s="5" t="s">
        <v>22</v>
      </c>
      <c r="K248" s="5" t="s">
        <v>558</v>
      </c>
      <c r="L248" s="15" t="s">
        <v>24</v>
      </c>
      <c r="M248" s="14" t="str">
        <f>_xlfn.XLOOKUP(F248,Department!$A$2:$A$6,Department!$B$2:$B$6)</f>
        <v>IT</v>
      </c>
      <c r="N248" s="22">
        <f>_xlfn.XLOOKUP(A248,Performance!$A$2:$A$501,Performance!$C$2:$C$501)</f>
        <v>3</v>
      </c>
      <c r="O248" s="19" cm="1">
        <f t="array" ref="O248">_xlfn.IFS(N248=5,I248*15%,N248=4,I248*10%,N248=3,I248*7%,N248&lt;3,I248*5%)</f>
        <v>2984.4500000000003</v>
      </c>
    </row>
    <row r="249" spans="1:15">
      <c r="A249" s="4" t="s">
        <v>559</v>
      </c>
      <c r="B249" s="5" t="s">
        <v>48</v>
      </c>
      <c r="C249" s="5" t="s">
        <v>18</v>
      </c>
      <c r="D249" s="5" t="s">
        <v>19</v>
      </c>
      <c r="E249" s="5">
        <v>48</v>
      </c>
      <c r="F249" s="5" t="s">
        <v>20</v>
      </c>
      <c r="G249" s="5" t="s">
        <v>36</v>
      </c>
      <c r="H249" s="6">
        <v>43497</v>
      </c>
      <c r="I249" s="5">
        <v>48738</v>
      </c>
      <c r="J249" s="5" t="s">
        <v>62</v>
      </c>
      <c r="K249" s="5" t="s">
        <v>560</v>
      </c>
      <c r="L249" s="15" t="s">
        <v>24</v>
      </c>
      <c r="M249" s="14" t="str">
        <f>_xlfn.XLOOKUP(F249,Department!$A$2:$A$6,Department!$B$2:$B$6)</f>
        <v>HR</v>
      </c>
      <c r="N249" s="22">
        <f>_xlfn.XLOOKUP(A249,Performance!$A$2:$A$501,Performance!$C$2:$C$501)</f>
        <v>5</v>
      </c>
      <c r="O249" s="19" cm="1">
        <f t="array" ref="O249">_xlfn.IFS(N249=5,I249*15%,N249=4,I249*10%,N249=3,I249*7%,N249&lt;3,I249*5%)</f>
        <v>7310.7</v>
      </c>
    </row>
    <row r="250" spans="1:15">
      <c r="A250" s="4" t="s">
        <v>561</v>
      </c>
      <c r="B250" s="5" t="s">
        <v>48</v>
      </c>
      <c r="C250" s="5" t="s">
        <v>66</v>
      </c>
      <c r="D250" s="5" t="s">
        <v>19</v>
      </c>
      <c r="E250" s="5">
        <v>23</v>
      </c>
      <c r="F250" s="5" t="s">
        <v>20</v>
      </c>
      <c r="G250" s="5" t="s">
        <v>21</v>
      </c>
      <c r="H250" s="6">
        <v>44978</v>
      </c>
      <c r="I250" s="5">
        <v>64435</v>
      </c>
      <c r="J250" s="5" t="s">
        <v>81</v>
      </c>
      <c r="K250" s="5" t="s">
        <v>562</v>
      </c>
      <c r="L250" s="15" t="s">
        <v>24</v>
      </c>
      <c r="M250" s="14" t="str">
        <f>_xlfn.XLOOKUP(F250,Department!$A$2:$A$6,Department!$B$2:$B$6)</f>
        <v>HR</v>
      </c>
      <c r="N250" s="22">
        <f>_xlfn.XLOOKUP(A250,Performance!$A$2:$A$501,Performance!$C$2:$C$501)</f>
        <v>5</v>
      </c>
      <c r="O250" s="19" cm="1">
        <f t="array" ref="O250">_xlfn.IFS(N250=5,I250*15%,N250=4,I250*10%,N250=3,I250*7%,N250&lt;3,I250*5%)</f>
        <v>9665.25</v>
      </c>
    </row>
    <row r="251" spans="1:15">
      <c r="A251" s="4" t="s">
        <v>563</v>
      </c>
      <c r="B251" s="5" t="s">
        <v>74</v>
      </c>
      <c r="C251" s="5" t="s">
        <v>27</v>
      </c>
      <c r="D251" s="5" t="s">
        <v>28</v>
      </c>
      <c r="E251" s="5">
        <v>55</v>
      </c>
      <c r="F251" s="5" t="s">
        <v>20</v>
      </c>
      <c r="G251" s="5" t="s">
        <v>21</v>
      </c>
      <c r="H251" s="6">
        <v>45037</v>
      </c>
      <c r="I251" s="5">
        <v>116007</v>
      </c>
      <c r="J251" s="5" t="s">
        <v>67</v>
      </c>
      <c r="K251" s="5" t="s">
        <v>564</v>
      </c>
      <c r="L251" s="15" t="s">
        <v>24</v>
      </c>
      <c r="M251" s="14" t="str">
        <f>_xlfn.XLOOKUP(F251,Department!$A$2:$A$6,Department!$B$2:$B$6)</f>
        <v>HR</v>
      </c>
      <c r="N251" s="22">
        <f>_xlfn.XLOOKUP(A251,Performance!$A$2:$A$501,Performance!$C$2:$C$501)</f>
        <v>5</v>
      </c>
      <c r="O251" s="19" cm="1">
        <f t="array" ref="O251">_xlfn.IFS(N251=5,I251*15%,N251=4,I251*10%,N251=3,I251*7%,N251&lt;3,I251*5%)</f>
        <v>17401.05</v>
      </c>
    </row>
    <row r="252" spans="1:15">
      <c r="A252" s="4" t="s">
        <v>565</v>
      </c>
      <c r="B252" s="5" t="s">
        <v>53</v>
      </c>
      <c r="C252" s="5" t="s">
        <v>89</v>
      </c>
      <c r="D252" s="5" t="s">
        <v>28</v>
      </c>
      <c r="E252" s="5">
        <v>38</v>
      </c>
      <c r="F252" s="5" t="s">
        <v>29</v>
      </c>
      <c r="G252" s="5" t="s">
        <v>30</v>
      </c>
      <c r="H252" s="6">
        <v>43892</v>
      </c>
      <c r="I252" s="5">
        <v>60256</v>
      </c>
      <c r="J252" s="5" t="s">
        <v>62</v>
      </c>
      <c r="K252" s="5" t="s">
        <v>566</v>
      </c>
      <c r="L252" s="15" t="s">
        <v>24</v>
      </c>
      <c r="M252" s="14" t="str">
        <f>_xlfn.XLOOKUP(F252,Department!$A$2:$A$6,Department!$B$2:$B$6)</f>
        <v>IT</v>
      </c>
      <c r="N252" s="22">
        <f>_xlfn.XLOOKUP(A252,Performance!$A$2:$A$501,Performance!$C$2:$C$501)</f>
        <v>4</v>
      </c>
      <c r="O252" s="19" cm="1">
        <f t="array" ref="O252">_xlfn.IFS(N252=5,I252*15%,N252=4,I252*10%,N252=3,I252*7%,N252&lt;3,I252*5%)</f>
        <v>6025.6</v>
      </c>
    </row>
    <row r="253" spans="1:15">
      <c r="A253" s="4" t="s">
        <v>567</v>
      </c>
      <c r="B253" s="5" t="s">
        <v>58</v>
      </c>
      <c r="C253" s="5" t="s">
        <v>141</v>
      </c>
      <c r="D253" s="5" t="s">
        <v>19</v>
      </c>
      <c r="E253" s="5">
        <v>52</v>
      </c>
      <c r="F253" s="5" t="s">
        <v>35</v>
      </c>
      <c r="G253" s="5" t="s">
        <v>44</v>
      </c>
      <c r="H253" s="6">
        <v>45101</v>
      </c>
      <c r="I253" s="5">
        <v>79852</v>
      </c>
      <c r="J253" s="5" t="s">
        <v>37</v>
      </c>
      <c r="K253" s="5" t="s">
        <v>568</v>
      </c>
      <c r="L253" s="15" t="s">
        <v>39</v>
      </c>
      <c r="M253" s="14" t="str">
        <f>_xlfn.XLOOKUP(F253,Department!$A$2:$A$6,Department!$B$2:$B$6)</f>
        <v>Sales</v>
      </c>
      <c r="N253" s="22">
        <f>_xlfn.XLOOKUP(A253,Performance!$A$2:$A$501,Performance!$C$2:$C$501)</f>
        <v>3</v>
      </c>
      <c r="O253" s="19" cm="1">
        <f t="array" ref="O253">_xlfn.IFS(N253=5,I253*15%,N253=4,I253*10%,N253=3,I253*7%,N253&lt;3,I253*5%)</f>
        <v>5589.64</v>
      </c>
    </row>
    <row r="254" spans="1:15">
      <c r="A254" s="4" t="s">
        <v>569</v>
      </c>
      <c r="B254" s="5" t="s">
        <v>42</v>
      </c>
      <c r="C254" s="5" t="s">
        <v>93</v>
      </c>
      <c r="D254" s="5" t="s">
        <v>28</v>
      </c>
      <c r="E254" s="5">
        <v>25</v>
      </c>
      <c r="F254" s="5" t="s">
        <v>43</v>
      </c>
      <c r="G254" s="5" t="s">
        <v>30</v>
      </c>
      <c r="H254" s="6">
        <v>45576</v>
      </c>
      <c r="I254" s="5">
        <v>94875</v>
      </c>
      <c r="J254" s="5" t="s">
        <v>62</v>
      </c>
      <c r="K254" s="5" t="s">
        <v>570</v>
      </c>
      <c r="L254" s="15" t="s">
        <v>24</v>
      </c>
      <c r="M254" s="14" t="str">
        <f>_xlfn.XLOOKUP(F254,Department!$A$2:$A$6,Department!$B$2:$B$6)</f>
        <v>Marketing</v>
      </c>
      <c r="N254" s="22">
        <f>_xlfn.XLOOKUP(A254,Performance!$A$2:$A$501,Performance!$C$2:$C$501)</f>
        <v>1</v>
      </c>
      <c r="O254" s="19" cm="1">
        <f t="array" ref="O254">_xlfn.IFS(N254=5,I254*15%,N254=4,I254*10%,N254=3,I254*7%,N254&lt;3,I254*5%)</f>
        <v>4743.75</v>
      </c>
    </row>
    <row r="255" spans="1:15">
      <c r="A255" s="4" t="s">
        <v>571</v>
      </c>
      <c r="B255" s="5" t="s">
        <v>42</v>
      </c>
      <c r="C255" s="5" t="s">
        <v>49</v>
      </c>
      <c r="D255" s="5" t="s">
        <v>19</v>
      </c>
      <c r="E255" s="5">
        <v>42</v>
      </c>
      <c r="F255" s="5" t="s">
        <v>29</v>
      </c>
      <c r="G255" s="5" t="s">
        <v>36</v>
      </c>
      <c r="H255" s="6">
        <v>43268</v>
      </c>
      <c r="I255" s="5">
        <v>43197</v>
      </c>
      <c r="J255" s="5" t="s">
        <v>22</v>
      </c>
      <c r="K255" s="5" t="s">
        <v>572</v>
      </c>
      <c r="L255" s="15" t="s">
        <v>39</v>
      </c>
      <c r="M255" s="14" t="str">
        <f>_xlfn.XLOOKUP(F255,Department!$A$2:$A$6,Department!$B$2:$B$6)</f>
        <v>IT</v>
      </c>
      <c r="N255" s="22">
        <f>_xlfn.XLOOKUP(A255,Performance!$A$2:$A$501,Performance!$C$2:$C$501)</f>
        <v>5</v>
      </c>
      <c r="O255" s="19" cm="1">
        <f t="array" ref="O255">_xlfn.IFS(N255=5,I255*15%,N255=4,I255*10%,N255=3,I255*7%,N255&lt;3,I255*5%)</f>
        <v>6479.55</v>
      </c>
    </row>
    <row r="256" spans="1:15">
      <c r="A256" s="4" t="s">
        <v>573</v>
      </c>
      <c r="B256" s="5" t="s">
        <v>53</v>
      </c>
      <c r="C256" s="5" t="s">
        <v>89</v>
      </c>
      <c r="D256" s="5" t="s">
        <v>28</v>
      </c>
      <c r="E256" s="5">
        <v>32</v>
      </c>
      <c r="F256" s="5" t="s">
        <v>54</v>
      </c>
      <c r="G256" s="5" t="s">
        <v>44</v>
      </c>
      <c r="H256" s="6">
        <v>44468</v>
      </c>
      <c r="I256" s="5">
        <v>117451</v>
      </c>
      <c r="J256" s="5" t="s">
        <v>67</v>
      </c>
      <c r="K256" s="5" t="s">
        <v>574</v>
      </c>
      <c r="L256" s="15" t="s">
        <v>24</v>
      </c>
      <c r="M256" s="14" t="str">
        <f>_xlfn.XLOOKUP(F256,Department!$A$2:$A$6,Department!$B$2:$B$6)</f>
        <v>Finance</v>
      </c>
      <c r="N256" s="22">
        <f>_xlfn.XLOOKUP(A256,Performance!$A$2:$A$501,Performance!$C$2:$C$501)</f>
        <v>1</v>
      </c>
      <c r="O256" s="19" cm="1">
        <f t="array" ref="O256">_xlfn.IFS(N256=5,I256*15%,N256=4,I256*10%,N256=3,I256*7%,N256&lt;3,I256*5%)</f>
        <v>5872.55</v>
      </c>
    </row>
    <row r="257" spans="1:15">
      <c r="A257" s="4" t="s">
        <v>575</v>
      </c>
      <c r="B257" s="5" t="s">
        <v>126</v>
      </c>
      <c r="C257" s="5" t="s">
        <v>117</v>
      </c>
      <c r="D257" s="5" t="s">
        <v>28</v>
      </c>
      <c r="E257" s="5">
        <v>28</v>
      </c>
      <c r="F257" s="5" t="s">
        <v>43</v>
      </c>
      <c r="G257" s="5" t="s">
        <v>44</v>
      </c>
      <c r="H257" s="6">
        <v>45096</v>
      </c>
      <c r="I257" s="5">
        <v>54493</v>
      </c>
      <c r="J257" s="5" t="s">
        <v>67</v>
      </c>
      <c r="K257" s="5" t="s">
        <v>576</v>
      </c>
      <c r="L257" s="15" t="s">
        <v>24</v>
      </c>
      <c r="M257" s="14" t="str">
        <f>_xlfn.XLOOKUP(F257,Department!$A$2:$A$6,Department!$B$2:$B$6)</f>
        <v>Marketing</v>
      </c>
      <c r="N257" s="22">
        <f>_xlfn.XLOOKUP(A257,Performance!$A$2:$A$501,Performance!$C$2:$C$501)</f>
        <v>4</v>
      </c>
      <c r="O257" s="19" cm="1">
        <f t="array" ref="O257">_xlfn.IFS(N257=5,I257*15%,N257=4,I257*10%,N257=3,I257*7%,N257&lt;3,I257*5%)</f>
        <v>5449.3</v>
      </c>
    </row>
    <row r="258" spans="1:15">
      <c r="A258" s="4" t="s">
        <v>577</v>
      </c>
      <c r="B258" s="5" t="s">
        <v>126</v>
      </c>
      <c r="C258" s="5" t="s">
        <v>80</v>
      </c>
      <c r="D258" s="5" t="s">
        <v>19</v>
      </c>
      <c r="E258" s="5">
        <v>55</v>
      </c>
      <c r="F258" s="5" t="s">
        <v>43</v>
      </c>
      <c r="G258" s="5" t="s">
        <v>36</v>
      </c>
      <c r="H258" s="6">
        <v>45122</v>
      </c>
      <c r="I258" s="5">
        <v>68822</v>
      </c>
      <c r="J258" s="5" t="s">
        <v>37</v>
      </c>
      <c r="K258" s="5" t="s">
        <v>578</v>
      </c>
      <c r="L258" s="15" t="s">
        <v>39</v>
      </c>
      <c r="M258" s="14" t="str">
        <f>_xlfn.XLOOKUP(F258,Department!$A$2:$A$6,Department!$B$2:$B$6)</f>
        <v>Marketing</v>
      </c>
      <c r="N258" s="22">
        <f>_xlfn.XLOOKUP(A258,Performance!$A$2:$A$501,Performance!$C$2:$C$501)</f>
        <v>3</v>
      </c>
      <c r="O258" s="19" cm="1">
        <f t="array" ref="O258">_xlfn.IFS(N258=5,I258*15%,N258=4,I258*10%,N258=3,I258*7%,N258&lt;3,I258*5%)</f>
        <v>4817.5400000000009</v>
      </c>
    </row>
    <row r="259" spans="1:15">
      <c r="A259" s="4" t="s">
        <v>579</v>
      </c>
      <c r="B259" s="5" t="s">
        <v>48</v>
      </c>
      <c r="C259" s="5" t="s">
        <v>93</v>
      </c>
      <c r="D259" s="5" t="s">
        <v>28</v>
      </c>
      <c r="E259" s="5">
        <v>27</v>
      </c>
      <c r="F259" s="5" t="s">
        <v>54</v>
      </c>
      <c r="G259" s="5" t="s">
        <v>30</v>
      </c>
      <c r="H259" s="6">
        <v>43410</v>
      </c>
      <c r="I259" s="5">
        <v>96058</v>
      </c>
      <c r="J259" s="5" t="s">
        <v>22</v>
      </c>
      <c r="K259" s="5" t="s">
        <v>580</v>
      </c>
      <c r="L259" s="15" t="s">
        <v>39</v>
      </c>
      <c r="M259" s="14" t="str">
        <f>_xlfn.XLOOKUP(F259,Department!$A$2:$A$6,Department!$B$2:$B$6)</f>
        <v>Finance</v>
      </c>
      <c r="N259" s="22">
        <f>_xlfn.XLOOKUP(A259,Performance!$A$2:$A$501,Performance!$C$2:$C$501)</f>
        <v>2</v>
      </c>
      <c r="O259" s="19" cm="1">
        <f t="array" ref="O259">_xlfn.IFS(N259=5,I259*15%,N259=4,I259*10%,N259=3,I259*7%,N259&lt;3,I259*5%)</f>
        <v>4802.9000000000005</v>
      </c>
    </row>
    <row r="260" spans="1:15">
      <c r="A260" s="4" t="s">
        <v>581</v>
      </c>
      <c r="B260" s="5" t="s">
        <v>126</v>
      </c>
      <c r="C260" s="5" t="s">
        <v>141</v>
      </c>
      <c r="D260" s="5" t="s">
        <v>28</v>
      </c>
      <c r="E260" s="5">
        <v>26</v>
      </c>
      <c r="F260" s="5" t="s">
        <v>20</v>
      </c>
      <c r="G260" s="5" t="s">
        <v>21</v>
      </c>
      <c r="H260" s="6">
        <v>43954</v>
      </c>
      <c r="I260" s="5">
        <v>109724</v>
      </c>
      <c r="J260" s="5" t="s">
        <v>62</v>
      </c>
      <c r="K260" s="5" t="s">
        <v>582</v>
      </c>
      <c r="L260" s="15" t="s">
        <v>24</v>
      </c>
      <c r="M260" s="14" t="str">
        <f>_xlfn.XLOOKUP(F260,Department!$A$2:$A$6,Department!$B$2:$B$6)</f>
        <v>HR</v>
      </c>
      <c r="N260" s="22">
        <f>_xlfn.XLOOKUP(A260,Performance!$A$2:$A$501,Performance!$C$2:$C$501)</f>
        <v>1</v>
      </c>
      <c r="O260" s="19" cm="1">
        <f t="array" ref="O260">_xlfn.IFS(N260=5,I260*15%,N260=4,I260*10%,N260=3,I260*7%,N260&lt;3,I260*5%)</f>
        <v>5486.2000000000007</v>
      </c>
    </row>
    <row r="261" spans="1:15">
      <c r="A261" s="4" t="s">
        <v>583</v>
      </c>
      <c r="B261" s="5" t="s">
        <v>48</v>
      </c>
      <c r="C261" s="5" t="s">
        <v>49</v>
      </c>
      <c r="D261" s="5" t="s">
        <v>28</v>
      </c>
      <c r="E261" s="5">
        <v>35</v>
      </c>
      <c r="F261" s="5" t="s">
        <v>20</v>
      </c>
      <c r="G261" s="5" t="s">
        <v>30</v>
      </c>
      <c r="H261" s="6">
        <v>44217</v>
      </c>
      <c r="I261" s="5">
        <v>69243</v>
      </c>
      <c r="J261" s="5" t="s">
        <v>67</v>
      </c>
      <c r="K261" s="5" t="s">
        <v>584</v>
      </c>
      <c r="L261" s="15" t="s">
        <v>39</v>
      </c>
      <c r="M261" s="14" t="str">
        <f>_xlfn.XLOOKUP(F261,Department!$A$2:$A$6,Department!$B$2:$B$6)</f>
        <v>HR</v>
      </c>
      <c r="N261" s="22">
        <f>_xlfn.XLOOKUP(A261,Performance!$A$2:$A$501,Performance!$C$2:$C$501)</f>
        <v>3</v>
      </c>
      <c r="O261" s="19" cm="1">
        <f t="array" ref="O261">_xlfn.IFS(N261=5,I261*15%,N261=4,I261*10%,N261=3,I261*7%,N261&lt;3,I261*5%)</f>
        <v>4847.01</v>
      </c>
    </row>
    <row r="262" spans="1:15">
      <c r="A262" s="4" t="s">
        <v>585</v>
      </c>
      <c r="B262" s="5" t="s">
        <v>58</v>
      </c>
      <c r="C262" s="5" t="s">
        <v>49</v>
      </c>
      <c r="D262" s="5" t="s">
        <v>19</v>
      </c>
      <c r="E262" s="5">
        <v>22</v>
      </c>
      <c r="F262" s="5" t="s">
        <v>29</v>
      </c>
      <c r="G262" s="5" t="s">
        <v>30</v>
      </c>
      <c r="H262" s="6">
        <v>45027</v>
      </c>
      <c r="I262" s="5">
        <v>46775</v>
      </c>
      <c r="J262" s="5" t="s">
        <v>22</v>
      </c>
      <c r="K262" s="5" t="s">
        <v>586</v>
      </c>
      <c r="L262" s="15" t="s">
        <v>39</v>
      </c>
      <c r="M262" s="14" t="str">
        <f>_xlfn.XLOOKUP(F262,Department!$A$2:$A$6,Department!$B$2:$B$6)</f>
        <v>IT</v>
      </c>
      <c r="N262" s="22">
        <f>_xlfn.XLOOKUP(A262,Performance!$A$2:$A$501,Performance!$C$2:$C$501)</f>
        <v>4</v>
      </c>
      <c r="O262" s="19" cm="1">
        <f t="array" ref="O262">_xlfn.IFS(N262=5,I262*15%,N262=4,I262*10%,N262=3,I262*7%,N262&lt;3,I262*5%)</f>
        <v>4677.5</v>
      </c>
    </row>
    <row r="263" spans="1:15">
      <c r="A263" s="4" t="s">
        <v>587</v>
      </c>
      <c r="B263" s="5" t="s">
        <v>58</v>
      </c>
      <c r="C263" s="5" t="s">
        <v>117</v>
      </c>
      <c r="D263" s="5" t="s">
        <v>19</v>
      </c>
      <c r="E263" s="5">
        <v>37</v>
      </c>
      <c r="F263" s="5" t="s">
        <v>20</v>
      </c>
      <c r="G263" s="5" t="s">
        <v>44</v>
      </c>
      <c r="H263" s="6">
        <v>44348</v>
      </c>
      <c r="I263" s="5">
        <v>86841</v>
      </c>
      <c r="J263" s="5" t="s">
        <v>62</v>
      </c>
      <c r="K263" s="5" t="s">
        <v>588</v>
      </c>
      <c r="L263" s="15" t="s">
        <v>39</v>
      </c>
      <c r="M263" s="14" t="str">
        <f>_xlfn.XLOOKUP(F263,Department!$A$2:$A$6,Department!$B$2:$B$6)</f>
        <v>HR</v>
      </c>
      <c r="N263" s="22">
        <f>_xlfn.XLOOKUP(A263,Performance!$A$2:$A$501,Performance!$C$2:$C$501)</f>
        <v>2</v>
      </c>
      <c r="O263" s="19" cm="1">
        <f t="array" ref="O263">_xlfn.IFS(N263=5,I263*15%,N263=4,I263*10%,N263=3,I263*7%,N263&lt;3,I263*5%)</f>
        <v>4342.05</v>
      </c>
    </row>
    <row r="264" spans="1:15">
      <c r="A264" s="4" t="s">
        <v>589</v>
      </c>
      <c r="B264" s="5" t="s">
        <v>34</v>
      </c>
      <c r="C264" s="5" t="s">
        <v>89</v>
      </c>
      <c r="D264" s="5" t="s">
        <v>28</v>
      </c>
      <c r="E264" s="5">
        <v>59</v>
      </c>
      <c r="F264" s="5" t="s">
        <v>20</v>
      </c>
      <c r="G264" s="5" t="s">
        <v>102</v>
      </c>
      <c r="H264" s="6">
        <v>44131</v>
      </c>
      <c r="I264" s="5">
        <v>91520</v>
      </c>
      <c r="J264" s="5" t="s">
        <v>81</v>
      </c>
      <c r="K264" s="5" t="s">
        <v>590</v>
      </c>
      <c r="L264" s="15" t="s">
        <v>39</v>
      </c>
      <c r="M264" s="14" t="str">
        <f>_xlfn.XLOOKUP(F264,Department!$A$2:$A$6,Department!$B$2:$B$6)</f>
        <v>HR</v>
      </c>
      <c r="N264" s="22">
        <f>_xlfn.XLOOKUP(A264,Performance!$A$2:$A$501,Performance!$C$2:$C$501)</f>
        <v>5</v>
      </c>
      <c r="O264" s="19" cm="1">
        <f t="array" ref="O264">_xlfn.IFS(N264=5,I264*15%,N264=4,I264*10%,N264=3,I264*7%,N264&lt;3,I264*5%)</f>
        <v>13728</v>
      </c>
    </row>
    <row r="265" spans="1:15">
      <c r="A265" s="4" t="s">
        <v>591</v>
      </c>
      <c r="B265" s="5" t="s">
        <v>92</v>
      </c>
      <c r="C265" s="5" t="s">
        <v>117</v>
      </c>
      <c r="D265" s="5" t="s">
        <v>19</v>
      </c>
      <c r="E265" s="5">
        <v>44</v>
      </c>
      <c r="F265" s="5" t="s">
        <v>29</v>
      </c>
      <c r="G265" s="5" t="s">
        <v>21</v>
      </c>
      <c r="H265" s="6">
        <v>43183</v>
      </c>
      <c r="I265" s="5">
        <v>97265</v>
      </c>
      <c r="J265" s="5" t="s">
        <v>22</v>
      </c>
      <c r="K265" s="5" t="s">
        <v>592</v>
      </c>
      <c r="L265" s="15" t="s">
        <v>24</v>
      </c>
      <c r="M265" s="14" t="str">
        <f>_xlfn.XLOOKUP(F265,Department!$A$2:$A$6,Department!$B$2:$B$6)</f>
        <v>IT</v>
      </c>
      <c r="N265" s="22">
        <f>_xlfn.XLOOKUP(A265,Performance!$A$2:$A$501,Performance!$C$2:$C$501)</f>
        <v>2</v>
      </c>
      <c r="O265" s="19" cm="1">
        <f t="array" ref="O265">_xlfn.IFS(N265=5,I265*15%,N265=4,I265*10%,N265=3,I265*7%,N265&lt;3,I265*5%)</f>
        <v>4863.25</v>
      </c>
    </row>
    <row r="266" spans="1:15">
      <c r="A266" s="4" t="s">
        <v>593</v>
      </c>
      <c r="B266" s="5" t="s">
        <v>34</v>
      </c>
      <c r="C266" s="5" t="s">
        <v>80</v>
      </c>
      <c r="D266" s="5" t="s">
        <v>28</v>
      </c>
      <c r="E266" s="5">
        <v>60</v>
      </c>
      <c r="F266" s="5" t="s">
        <v>20</v>
      </c>
      <c r="G266" s="5" t="s">
        <v>36</v>
      </c>
      <c r="H266" s="6">
        <v>44264</v>
      </c>
      <c r="I266" s="5">
        <v>76450</v>
      </c>
      <c r="J266" s="5" t="s">
        <v>62</v>
      </c>
      <c r="K266" s="5" t="s">
        <v>594</v>
      </c>
      <c r="L266" s="15" t="s">
        <v>24</v>
      </c>
      <c r="M266" s="14" t="str">
        <f>_xlfn.XLOOKUP(F266,Department!$A$2:$A$6,Department!$B$2:$B$6)</f>
        <v>HR</v>
      </c>
      <c r="N266" s="22">
        <f>_xlfn.XLOOKUP(A266,Performance!$A$2:$A$501,Performance!$C$2:$C$501)</f>
        <v>2</v>
      </c>
      <c r="O266" s="19" cm="1">
        <f t="array" ref="O266">_xlfn.IFS(N266=5,I266*15%,N266=4,I266*10%,N266=3,I266*7%,N266&lt;3,I266*5%)</f>
        <v>3822.5</v>
      </c>
    </row>
    <row r="267" spans="1:15">
      <c r="A267" s="4" t="s">
        <v>595</v>
      </c>
      <c r="B267" s="5" t="s">
        <v>61</v>
      </c>
      <c r="C267" s="5" t="s">
        <v>18</v>
      </c>
      <c r="D267" s="5" t="s">
        <v>28</v>
      </c>
      <c r="E267" s="5">
        <v>45</v>
      </c>
      <c r="F267" s="5" t="s">
        <v>29</v>
      </c>
      <c r="G267" s="5" t="s">
        <v>21</v>
      </c>
      <c r="H267" s="6">
        <v>43670</v>
      </c>
      <c r="I267" s="5">
        <v>85702</v>
      </c>
      <c r="J267" s="5" t="s">
        <v>37</v>
      </c>
      <c r="K267" s="5" t="s">
        <v>596</v>
      </c>
      <c r="L267" s="15" t="s">
        <v>39</v>
      </c>
      <c r="M267" s="14" t="str">
        <f>_xlfn.XLOOKUP(F267,Department!$A$2:$A$6,Department!$B$2:$B$6)</f>
        <v>IT</v>
      </c>
      <c r="N267" s="22">
        <f>_xlfn.XLOOKUP(A267,Performance!$A$2:$A$501,Performance!$C$2:$C$501)</f>
        <v>4</v>
      </c>
      <c r="O267" s="19" cm="1">
        <f t="array" ref="O267">_xlfn.IFS(N267=5,I267*15%,N267=4,I267*10%,N267=3,I267*7%,N267&lt;3,I267*5%)</f>
        <v>8570.2000000000007</v>
      </c>
    </row>
    <row r="268" spans="1:15">
      <c r="A268" s="4" t="s">
        <v>597</v>
      </c>
      <c r="B268" s="5" t="s">
        <v>74</v>
      </c>
      <c r="C268" s="5" t="s">
        <v>141</v>
      </c>
      <c r="D268" s="5" t="s">
        <v>19</v>
      </c>
      <c r="E268" s="5">
        <v>52</v>
      </c>
      <c r="F268" s="5" t="s">
        <v>35</v>
      </c>
      <c r="G268" s="5" t="s">
        <v>44</v>
      </c>
      <c r="H268" s="6">
        <v>44909</v>
      </c>
      <c r="I268" s="5">
        <v>94043</v>
      </c>
      <c r="J268" s="5" t="s">
        <v>67</v>
      </c>
      <c r="K268" s="5" t="s">
        <v>598</v>
      </c>
      <c r="L268" s="15" t="s">
        <v>39</v>
      </c>
      <c r="M268" s="14" t="str">
        <f>_xlfn.XLOOKUP(F268,Department!$A$2:$A$6,Department!$B$2:$B$6)</f>
        <v>Sales</v>
      </c>
      <c r="N268" s="22">
        <f>_xlfn.XLOOKUP(A268,Performance!$A$2:$A$501,Performance!$C$2:$C$501)</f>
        <v>4</v>
      </c>
      <c r="O268" s="19" cm="1">
        <f t="array" ref="O268">_xlfn.IFS(N268=5,I268*15%,N268=4,I268*10%,N268=3,I268*7%,N268&lt;3,I268*5%)</f>
        <v>9404.3000000000011</v>
      </c>
    </row>
    <row r="269" spans="1:15">
      <c r="A269" s="4" t="s">
        <v>599</v>
      </c>
      <c r="B269" s="5" t="s">
        <v>48</v>
      </c>
      <c r="C269" s="5" t="s">
        <v>80</v>
      </c>
      <c r="D269" s="5" t="s">
        <v>19</v>
      </c>
      <c r="E269" s="5">
        <v>26</v>
      </c>
      <c r="F269" s="5" t="s">
        <v>35</v>
      </c>
      <c r="G269" s="5" t="s">
        <v>102</v>
      </c>
      <c r="H269" s="6">
        <v>43145</v>
      </c>
      <c r="I269" s="5">
        <v>59385</v>
      </c>
      <c r="J269" s="5" t="s">
        <v>37</v>
      </c>
      <c r="K269" s="5" t="s">
        <v>600</v>
      </c>
      <c r="L269" s="15" t="s">
        <v>24</v>
      </c>
      <c r="M269" s="14" t="str">
        <f>_xlfn.XLOOKUP(F269,Department!$A$2:$A$6,Department!$B$2:$B$6)</f>
        <v>Sales</v>
      </c>
      <c r="N269" s="22">
        <f>_xlfn.XLOOKUP(A269,Performance!$A$2:$A$501,Performance!$C$2:$C$501)</f>
        <v>2</v>
      </c>
      <c r="O269" s="19" cm="1">
        <f t="array" ref="O269">_xlfn.IFS(N269=5,I269*15%,N269=4,I269*10%,N269=3,I269*7%,N269&lt;3,I269*5%)</f>
        <v>2969.25</v>
      </c>
    </row>
    <row r="270" spans="1:15">
      <c r="A270" s="4" t="s">
        <v>601</v>
      </c>
      <c r="B270" s="5" t="s">
        <v>58</v>
      </c>
      <c r="C270" s="5" t="s">
        <v>66</v>
      </c>
      <c r="D270" s="5" t="s">
        <v>19</v>
      </c>
      <c r="E270" s="5">
        <v>43</v>
      </c>
      <c r="F270" s="5" t="s">
        <v>54</v>
      </c>
      <c r="G270" s="5" t="s">
        <v>44</v>
      </c>
      <c r="H270" s="6">
        <v>44780</v>
      </c>
      <c r="I270" s="5">
        <v>114243</v>
      </c>
      <c r="J270" s="5" t="s">
        <v>67</v>
      </c>
      <c r="K270" s="5" t="s">
        <v>602</v>
      </c>
      <c r="L270" s="15" t="s">
        <v>24</v>
      </c>
      <c r="M270" s="14" t="str">
        <f>_xlfn.XLOOKUP(F270,Department!$A$2:$A$6,Department!$B$2:$B$6)</f>
        <v>Finance</v>
      </c>
      <c r="N270" s="22">
        <f>_xlfn.XLOOKUP(A270,Performance!$A$2:$A$501,Performance!$C$2:$C$501)</f>
        <v>1</v>
      </c>
      <c r="O270" s="19" cm="1">
        <f t="array" ref="O270">_xlfn.IFS(N270=5,I270*15%,N270=4,I270*10%,N270=3,I270*7%,N270&lt;3,I270*5%)</f>
        <v>5712.1500000000005</v>
      </c>
    </row>
    <row r="271" spans="1:15">
      <c r="A271" s="4" t="s">
        <v>603</v>
      </c>
      <c r="B271" s="5" t="s">
        <v>17</v>
      </c>
      <c r="C271" s="5" t="s">
        <v>84</v>
      </c>
      <c r="D271" s="5" t="s">
        <v>19</v>
      </c>
      <c r="E271" s="5">
        <v>38</v>
      </c>
      <c r="F271" s="5" t="s">
        <v>20</v>
      </c>
      <c r="G271" s="5" t="s">
        <v>21</v>
      </c>
      <c r="H271" s="6">
        <v>43844</v>
      </c>
      <c r="I271" s="5">
        <v>108702</v>
      </c>
      <c r="J271" s="5" t="s">
        <v>62</v>
      </c>
      <c r="K271" s="5" t="s">
        <v>604</v>
      </c>
      <c r="L271" s="15" t="s">
        <v>24</v>
      </c>
      <c r="M271" s="14" t="str">
        <f>_xlfn.XLOOKUP(F271,Department!$A$2:$A$6,Department!$B$2:$B$6)</f>
        <v>HR</v>
      </c>
      <c r="N271" s="22">
        <f>_xlfn.XLOOKUP(A271,Performance!$A$2:$A$501,Performance!$C$2:$C$501)</f>
        <v>4</v>
      </c>
      <c r="O271" s="19" cm="1">
        <f t="array" ref="O271">_xlfn.IFS(N271=5,I271*15%,N271=4,I271*10%,N271=3,I271*7%,N271&lt;3,I271*5%)</f>
        <v>10870.2</v>
      </c>
    </row>
    <row r="272" spans="1:15">
      <c r="A272" s="4" t="s">
        <v>605</v>
      </c>
      <c r="B272" s="5" t="s">
        <v>17</v>
      </c>
      <c r="C272" s="5" t="s">
        <v>80</v>
      </c>
      <c r="D272" s="5" t="s">
        <v>28</v>
      </c>
      <c r="E272" s="5">
        <v>54</v>
      </c>
      <c r="F272" s="5" t="s">
        <v>20</v>
      </c>
      <c r="G272" s="5" t="s">
        <v>44</v>
      </c>
      <c r="H272" s="6">
        <v>44723</v>
      </c>
      <c r="I272" s="5">
        <v>103130</v>
      </c>
      <c r="J272" s="5" t="s">
        <v>22</v>
      </c>
      <c r="K272" s="5" t="s">
        <v>606</v>
      </c>
      <c r="L272" s="15" t="s">
        <v>24</v>
      </c>
      <c r="M272" s="14" t="str">
        <f>_xlfn.XLOOKUP(F272,Department!$A$2:$A$6,Department!$B$2:$B$6)</f>
        <v>HR</v>
      </c>
      <c r="N272" s="22">
        <f>_xlfn.XLOOKUP(A272,Performance!$A$2:$A$501,Performance!$C$2:$C$501)</f>
        <v>5</v>
      </c>
      <c r="O272" s="19" cm="1">
        <f t="array" ref="O272">_xlfn.IFS(N272=5,I272*15%,N272=4,I272*10%,N272=3,I272*7%,N272&lt;3,I272*5%)</f>
        <v>15469.5</v>
      </c>
    </row>
    <row r="273" spans="1:15">
      <c r="A273" s="4" t="s">
        <v>607</v>
      </c>
      <c r="B273" s="5" t="s">
        <v>34</v>
      </c>
      <c r="C273" s="5" t="s">
        <v>49</v>
      </c>
      <c r="D273" s="5" t="s">
        <v>28</v>
      </c>
      <c r="E273" s="5">
        <v>44</v>
      </c>
      <c r="F273" s="5" t="s">
        <v>35</v>
      </c>
      <c r="G273" s="5" t="s">
        <v>21</v>
      </c>
      <c r="H273" s="6">
        <v>44768</v>
      </c>
      <c r="I273" s="5">
        <v>71195</v>
      </c>
      <c r="J273" s="5" t="s">
        <v>81</v>
      </c>
      <c r="K273" s="5" t="s">
        <v>608</v>
      </c>
      <c r="L273" s="15" t="s">
        <v>24</v>
      </c>
      <c r="M273" s="14" t="str">
        <f>_xlfn.XLOOKUP(F273,Department!$A$2:$A$6,Department!$B$2:$B$6)</f>
        <v>Sales</v>
      </c>
      <c r="N273" s="22">
        <f>_xlfn.XLOOKUP(A273,Performance!$A$2:$A$501,Performance!$C$2:$C$501)</f>
        <v>4</v>
      </c>
      <c r="O273" s="19" cm="1">
        <f t="array" ref="O273">_xlfn.IFS(N273=5,I273*15%,N273=4,I273*10%,N273=3,I273*7%,N273&lt;3,I273*5%)</f>
        <v>7119.5</v>
      </c>
    </row>
    <row r="274" spans="1:15">
      <c r="A274" s="4" t="s">
        <v>609</v>
      </c>
      <c r="B274" s="5" t="s">
        <v>126</v>
      </c>
      <c r="C274" s="5" t="s">
        <v>84</v>
      </c>
      <c r="D274" s="5" t="s">
        <v>19</v>
      </c>
      <c r="E274" s="5">
        <v>55</v>
      </c>
      <c r="F274" s="5" t="s">
        <v>20</v>
      </c>
      <c r="G274" s="5" t="s">
        <v>30</v>
      </c>
      <c r="H274" s="6">
        <v>45160</v>
      </c>
      <c r="I274" s="5">
        <v>40336</v>
      </c>
      <c r="J274" s="5" t="s">
        <v>81</v>
      </c>
      <c r="K274" s="5" t="s">
        <v>610</v>
      </c>
      <c r="L274" s="15" t="s">
        <v>39</v>
      </c>
      <c r="M274" s="14" t="str">
        <f>_xlfn.XLOOKUP(F274,Department!$A$2:$A$6,Department!$B$2:$B$6)</f>
        <v>HR</v>
      </c>
      <c r="N274" s="22">
        <f>_xlfn.XLOOKUP(A274,Performance!$A$2:$A$501,Performance!$C$2:$C$501)</f>
        <v>2</v>
      </c>
      <c r="O274" s="19" cm="1">
        <f t="array" ref="O274">_xlfn.IFS(N274=5,I274*15%,N274=4,I274*10%,N274=3,I274*7%,N274&lt;3,I274*5%)</f>
        <v>2016.8000000000002</v>
      </c>
    </row>
    <row r="275" spans="1:15">
      <c r="A275" s="4" t="s">
        <v>611</v>
      </c>
      <c r="B275" s="5" t="s">
        <v>92</v>
      </c>
      <c r="C275" s="5" t="s">
        <v>27</v>
      </c>
      <c r="D275" s="5" t="s">
        <v>28</v>
      </c>
      <c r="E275" s="5">
        <v>52</v>
      </c>
      <c r="F275" s="5" t="s">
        <v>54</v>
      </c>
      <c r="G275" s="5" t="s">
        <v>44</v>
      </c>
      <c r="H275" s="6">
        <v>43277</v>
      </c>
      <c r="I275" s="5">
        <v>107267</v>
      </c>
      <c r="J275" s="5" t="s">
        <v>67</v>
      </c>
      <c r="K275" s="5" t="s">
        <v>612</v>
      </c>
      <c r="L275" s="15" t="s">
        <v>39</v>
      </c>
      <c r="M275" s="14" t="str">
        <f>_xlfn.XLOOKUP(F275,Department!$A$2:$A$6,Department!$B$2:$B$6)</f>
        <v>Finance</v>
      </c>
      <c r="N275" s="22">
        <f>_xlfn.XLOOKUP(A275,Performance!$A$2:$A$501,Performance!$C$2:$C$501)</f>
        <v>4</v>
      </c>
      <c r="O275" s="19" cm="1">
        <f t="array" ref="O275">_xlfn.IFS(N275=5,I275*15%,N275=4,I275*10%,N275=3,I275*7%,N275&lt;3,I275*5%)</f>
        <v>10726.7</v>
      </c>
    </row>
    <row r="276" spans="1:15">
      <c r="A276" s="4" t="s">
        <v>613</v>
      </c>
      <c r="B276" s="5" t="s">
        <v>17</v>
      </c>
      <c r="C276" s="5" t="s">
        <v>89</v>
      </c>
      <c r="D276" s="5" t="s">
        <v>19</v>
      </c>
      <c r="E276" s="5">
        <v>43</v>
      </c>
      <c r="F276" s="5" t="s">
        <v>35</v>
      </c>
      <c r="G276" s="5" t="s">
        <v>36</v>
      </c>
      <c r="H276" s="6">
        <v>45117</v>
      </c>
      <c r="I276" s="5">
        <v>89633</v>
      </c>
      <c r="J276" s="5" t="s">
        <v>67</v>
      </c>
      <c r="K276" s="5" t="s">
        <v>614</v>
      </c>
      <c r="L276" s="15" t="s">
        <v>39</v>
      </c>
      <c r="M276" s="14" t="str">
        <f>_xlfn.XLOOKUP(F276,Department!$A$2:$A$6,Department!$B$2:$B$6)</f>
        <v>Sales</v>
      </c>
      <c r="N276" s="22">
        <f>_xlfn.XLOOKUP(A276,Performance!$A$2:$A$501,Performance!$C$2:$C$501)</f>
        <v>4</v>
      </c>
      <c r="O276" s="19" cm="1">
        <f t="array" ref="O276">_xlfn.IFS(N276=5,I276*15%,N276=4,I276*10%,N276=3,I276*7%,N276&lt;3,I276*5%)</f>
        <v>8963.3000000000011</v>
      </c>
    </row>
    <row r="277" spans="1:15">
      <c r="A277" s="4" t="s">
        <v>615</v>
      </c>
      <c r="B277" s="5" t="s">
        <v>58</v>
      </c>
      <c r="C277" s="5" t="s">
        <v>27</v>
      </c>
      <c r="D277" s="5" t="s">
        <v>28</v>
      </c>
      <c r="E277" s="5">
        <v>51</v>
      </c>
      <c r="F277" s="5" t="s">
        <v>35</v>
      </c>
      <c r="G277" s="5" t="s">
        <v>44</v>
      </c>
      <c r="H277" s="6">
        <v>44803</v>
      </c>
      <c r="I277" s="5">
        <v>76409</v>
      </c>
      <c r="J277" s="5" t="s">
        <v>37</v>
      </c>
      <c r="K277" s="5" t="s">
        <v>616</v>
      </c>
      <c r="L277" s="15" t="s">
        <v>39</v>
      </c>
      <c r="M277" s="14" t="str">
        <f>_xlfn.XLOOKUP(F277,Department!$A$2:$A$6,Department!$B$2:$B$6)</f>
        <v>Sales</v>
      </c>
      <c r="N277" s="22">
        <f>_xlfn.XLOOKUP(A277,Performance!$A$2:$A$501,Performance!$C$2:$C$501)</f>
        <v>2</v>
      </c>
      <c r="O277" s="19" cm="1">
        <f t="array" ref="O277">_xlfn.IFS(N277=5,I277*15%,N277=4,I277*10%,N277=3,I277*7%,N277&lt;3,I277*5%)</f>
        <v>3820.4500000000003</v>
      </c>
    </row>
    <row r="278" spans="1:15">
      <c r="A278" s="4" t="s">
        <v>617</v>
      </c>
      <c r="B278" s="5" t="s">
        <v>92</v>
      </c>
      <c r="C278" s="5" t="s">
        <v>49</v>
      </c>
      <c r="D278" s="5" t="s">
        <v>19</v>
      </c>
      <c r="E278" s="5">
        <v>22</v>
      </c>
      <c r="F278" s="5" t="s">
        <v>35</v>
      </c>
      <c r="G278" s="5" t="s">
        <v>30</v>
      </c>
      <c r="H278" s="6">
        <v>45546</v>
      </c>
      <c r="I278" s="5">
        <v>79899</v>
      </c>
      <c r="J278" s="5" t="s">
        <v>67</v>
      </c>
      <c r="K278" s="5" t="s">
        <v>618</v>
      </c>
      <c r="L278" s="15" t="s">
        <v>39</v>
      </c>
      <c r="M278" s="14" t="str">
        <f>_xlfn.XLOOKUP(F278,Department!$A$2:$A$6,Department!$B$2:$B$6)</f>
        <v>Sales</v>
      </c>
      <c r="N278" s="22">
        <f>_xlfn.XLOOKUP(A278,Performance!$A$2:$A$501,Performance!$C$2:$C$501)</f>
        <v>2</v>
      </c>
      <c r="O278" s="19" cm="1">
        <f t="array" ref="O278">_xlfn.IFS(N278=5,I278*15%,N278=4,I278*10%,N278=3,I278*7%,N278&lt;3,I278*5%)</f>
        <v>3994.9500000000003</v>
      </c>
    </row>
    <row r="279" spans="1:15">
      <c r="A279" s="4" t="s">
        <v>619</v>
      </c>
      <c r="B279" s="5" t="s">
        <v>53</v>
      </c>
      <c r="C279" s="5" t="s">
        <v>93</v>
      </c>
      <c r="D279" s="5" t="s">
        <v>19</v>
      </c>
      <c r="E279" s="5">
        <v>28</v>
      </c>
      <c r="F279" s="5" t="s">
        <v>20</v>
      </c>
      <c r="G279" s="5" t="s">
        <v>36</v>
      </c>
      <c r="H279" s="6">
        <v>45549</v>
      </c>
      <c r="I279" s="5">
        <v>92548</v>
      </c>
      <c r="J279" s="5" t="s">
        <v>22</v>
      </c>
      <c r="K279" s="5" t="s">
        <v>620</v>
      </c>
      <c r="L279" s="15" t="s">
        <v>39</v>
      </c>
      <c r="M279" s="14" t="str">
        <f>_xlfn.XLOOKUP(F279,Department!$A$2:$A$6,Department!$B$2:$B$6)</f>
        <v>HR</v>
      </c>
      <c r="N279" s="22">
        <f>_xlfn.XLOOKUP(A279,Performance!$A$2:$A$501,Performance!$C$2:$C$501)</f>
        <v>2</v>
      </c>
      <c r="O279" s="19" cm="1">
        <f t="array" ref="O279">_xlfn.IFS(N279=5,I279*15%,N279=4,I279*10%,N279=3,I279*7%,N279&lt;3,I279*5%)</f>
        <v>4627.4000000000005</v>
      </c>
    </row>
    <row r="280" spans="1:15">
      <c r="A280" s="4" t="s">
        <v>621</v>
      </c>
      <c r="B280" s="5" t="s">
        <v>42</v>
      </c>
      <c r="C280" s="5" t="s">
        <v>141</v>
      </c>
      <c r="D280" s="5" t="s">
        <v>19</v>
      </c>
      <c r="E280" s="5">
        <v>32</v>
      </c>
      <c r="F280" s="5" t="s">
        <v>20</v>
      </c>
      <c r="G280" s="5" t="s">
        <v>44</v>
      </c>
      <c r="H280" s="6">
        <v>44142</v>
      </c>
      <c r="I280" s="5">
        <v>60558</v>
      </c>
      <c r="J280" s="5" t="s">
        <v>62</v>
      </c>
      <c r="K280" s="5" t="s">
        <v>622</v>
      </c>
      <c r="L280" s="15" t="s">
        <v>24</v>
      </c>
      <c r="M280" s="14" t="str">
        <f>_xlfn.XLOOKUP(F280,Department!$A$2:$A$6,Department!$B$2:$B$6)</f>
        <v>HR</v>
      </c>
      <c r="N280" s="22">
        <f>_xlfn.XLOOKUP(A280,Performance!$A$2:$A$501,Performance!$C$2:$C$501)</f>
        <v>2</v>
      </c>
      <c r="O280" s="19" cm="1">
        <f t="array" ref="O280">_xlfn.IFS(N280=5,I280*15%,N280=4,I280*10%,N280=3,I280*7%,N280&lt;3,I280*5%)</f>
        <v>3027.9</v>
      </c>
    </row>
    <row r="281" spans="1:15">
      <c r="A281" s="4" t="s">
        <v>623</v>
      </c>
      <c r="B281" s="5" t="s">
        <v>53</v>
      </c>
      <c r="C281" s="5" t="s">
        <v>117</v>
      </c>
      <c r="D281" s="5" t="s">
        <v>19</v>
      </c>
      <c r="E281" s="5">
        <v>60</v>
      </c>
      <c r="F281" s="5" t="s">
        <v>29</v>
      </c>
      <c r="G281" s="5" t="s">
        <v>21</v>
      </c>
      <c r="H281" s="6">
        <v>44135</v>
      </c>
      <c r="I281" s="5">
        <v>40802</v>
      </c>
      <c r="J281" s="5" t="s">
        <v>81</v>
      </c>
      <c r="K281" s="5" t="s">
        <v>624</v>
      </c>
      <c r="L281" s="15" t="s">
        <v>24</v>
      </c>
      <c r="M281" s="14" t="str">
        <f>_xlfn.XLOOKUP(F281,Department!$A$2:$A$6,Department!$B$2:$B$6)</f>
        <v>IT</v>
      </c>
      <c r="N281" s="22">
        <f>_xlfn.XLOOKUP(A281,Performance!$A$2:$A$501,Performance!$C$2:$C$501)</f>
        <v>1</v>
      </c>
      <c r="O281" s="19" cm="1">
        <f t="array" ref="O281">_xlfn.IFS(N281=5,I281*15%,N281=4,I281*10%,N281=3,I281*7%,N281&lt;3,I281*5%)</f>
        <v>2040.1000000000001</v>
      </c>
    </row>
    <row r="282" spans="1:15">
      <c r="A282" s="4" t="s">
        <v>625</v>
      </c>
      <c r="B282" s="5" t="s">
        <v>126</v>
      </c>
      <c r="C282" s="5" t="s">
        <v>141</v>
      </c>
      <c r="D282" s="5" t="s">
        <v>28</v>
      </c>
      <c r="E282" s="5">
        <v>24</v>
      </c>
      <c r="F282" s="5" t="s">
        <v>43</v>
      </c>
      <c r="G282" s="5" t="s">
        <v>102</v>
      </c>
      <c r="H282" s="6">
        <v>44198</v>
      </c>
      <c r="I282" s="5">
        <v>117454</v>
      </c>
      <c r="J282" s="5" t="s">
        <v>67</v>
      </c>
      <c r="K282" s="5" t="s">
        <v>626</v>
      </c>
      <c r="L282" s="15" t="s">
        <v>39</v>
      </c>
      <c r="M282" s="14" t="str">
        <f>_xlfn.XLOOKUP(F282,Department!$A$2:$A$6,Department!$B$2:$B$6)</f>
        <v>Marketing</v>
      </c>
      <c r="N282" s="22">
        <f>_xlfn.XLOOKUP(A282,Performance!$A$2:$A$501,Performance!$C$2:$C$501)</f>
        <v>1</v>
      </c>
      <c r="O282" s="19" cm="1">
        <f t="array" ref="O282">_xlfn.IFS(N282=5,I282*15%,N282=4,I282*10%,N282=3,I282*7%,N282&lt;3,I282*5%)</f>
        <v>5872.7000000000007</v>
      </c>
    </row>
    <row r="283" spans="1:15">
      <c r="A283" s="4" t="s">
        <v>627</v>
      </c>
      <c r="B283" s="5" t="s">
        <v>126</v>
      </c>
      <c r="C283" s="5" t="s">
        <v>93</v>
      </c>
      <c r="D283" s="5" t="s">
        <v>28</v>
      </c>
      <c r="E283" s="5">
        <v>26</v>
      </c>
      <c r="F283" s="5" t="s">
        <v>35</v>
      </c>
      <c r="G283" s="5" t="s">
        <v>36</v>
      </c>
      <c r="H283" s="6">
        <v>44440</v>
      </c>
      <c r="I283" s="5">
        <v>48830</v>
      </c>
      <c r="J283" s="5" t="s">
        <v>67</v>
      </c>
      <c r="K283" s="5" t="s">
        <v>628</v>
      </c>
      <c r="L283" s="15" t="s">
        <v>24</v>
      </c>
      <c r="M283" s="14" t="str">
        <f>_xlfn.XLOOKUP(F283,Department!$A$2:$A$6,Department!$B$2:$B$6)</f>
        <v>Sales</v>
      </c>
      <c r="N283" s="22">
        <f>_xlfn.XLOOKUP(A283,Performance!$A$2:$A$501,Performance!$C$2:$C$501)</f>
        <v>1</v>
      </c>
      <c r="O283" s="19" cm="1">
        <f t="array" ref="O283">_xlfn.IFS(N283=5,I283*15%,N283=4,I283*10%,N283=3,I283*7%,N283&lt;3,I283*5%)</f>
        <v>2441.5</v>
      </c>
    </row>
    <row r="284" spans="1:15">
      <c r="A284" s="4" t="s">
        <v>629</v>
      </c>
      <c r="B284" s="5" t="s">
        <v>61</v>
      </c>
      <c r="C284" s="5" t="s">
        <v>27</v>
      </c>
      <c r="D284" s="5" t="s">
        <v>28</v>
      </c>
      <c r="E284" s="5">
        <v>36</v>
      </c>
      <c r="F284" s="5" t="s">
        <v>54</v>
      </c>
      <c r="G284" s="5" t="s">
        <v>21</v>
      </c>
      <c r="H284" s="6">
        <v>44479</v>
      </c>
      <c r="I284" s="5">
        <v>45532</v>
      </c>
      <c r="J284" s="5" t="s">
        <v>81</v>
      </c>
      <c r="K284" s="5" t="s">
        <v>630</v>
      </c>
      <c r="L284" s="15" t="s">
        <v>39</v>
      </c>
      <c r="M284" s="14" t="str">
        <f>_xlfn.XLOOKUP(F284,Department!$A$2:$A$6,Department!$B$2:$B$6)</f>
        <v>Finance</v>
      </c>
      <c r="N284" s="22">
        <f>_xlfn.XLOOKUP(A284,Performance!$A$2:$A$501,Performance!$C$2:$C$501)</f>
        <v>5</v>
      </c>
      <c r="O284" s="19" cm="1">
        <f t="array" ref="O284">_xlfn.IFS(N284=5,I284*15%,N284=4,I284*10%,N284=3,I284*7%,N284&lt;3,I284*5%)</f>
        <v>6829.8</v>
      </c>
    </row>
    <row r="285" spans="1:15">
      <c r="A285" s="4" t="s">
        <v>631</v>
      </c>
      <c r="B285" s="5" t="s">
        <v>48</v>
      </c>
      <c r="C285" s="5" t="s">
        <v>93</v>
      </c>
      <c r="D285" s="5" t="s">
        <v>28</v>
      </c>
      <c r="E285" s="5">
        <v>43</v>
      </c>
      <c r="F285" s="5" t="s">
        <v>43</v>
      </c>
      <c r="G285" s="5" t="s">
        <v>44</v>
      </c>
      <c r="H285" s="6">
        <v>44155</v>
      </c>
      <c r="I285" s="5">
        <v>44771</v>
      </c>
      <c r="J285" s="5" t="s">
        <v>67</v>
      </c>
      <c r="K285" s="5" t="s">
        <v>632</v>
      </c>
      <c r="L285" s="15" t="s">
        <v>24</v>
      </c>
      <c r="M285" s="14" t="str">
        <f>_xlfn.XLOOKUP(F285,Department!$A$2:$A$6,Department!$B$2:$B$6)</f>
        <v>Marketing</v>
      </c>
      <c r="N285" s="22">
        <f>_xlfn.XLOOKUP(A285,Performance!$A$2:$A$501,Performance!$C$2:$C$501)</f>
        <v>2</v>
      </c>
      <c r="O285" s="19" cm="1">
        <f t="array" ref="O285">_xlfn.IFS(N285=5,I285*15%,N285=4,I285*10%,N285=3,I285*7%,N285&lt;3,I285*5%)</f>
        <v>2238.5500000000002</v>
      </c>
    </row>
    <row r="286" spans="1:15">
      <c r="A286" s="4" t="s">
        <v>633</v>
      </c>
      <c r="B286" s="5" t="s">
        <v>58</v>
      </c>
      <c r="C286" s="5" t="s">
        <v>49</v>
      </c>
      <c r="D286" s="5" t="s">
        <v>19</v>
      </c>
      <c r="E286" s="5">
        <v>27</v>
      </c>
      <c r="F286" s="5" t="s">
        <v>43</v>
      </c>
      <c r="G286" s="5" t="s">
        <v>21</v>
      </c>
      <c r="H286" s="6">
        <v>45441</v>
      </c>
      <c r="I286" s="5">
        <v>46998</v>
      </c>
      <c r="J286" s="5" t="s">
        <v>62</v>
      </c>
      <c r="K286" s="5" t="s">
        <v>634</v>
      </c>
      <c r="L286" s="15" t="s">
        <v>39</v>
      </c>
      <c r="M286" s="14" t="str">
        <f>_xlfn.XLOOKUP(F286,Department!$A$2:$A$6,Department!$B$2:$B$6)</f>
        <v>Marketing</v>
      </c>
      <c r="N286" s="22">
        <f>_xlfn.XLOOKUP(A286,Performance!$A$2:$A$501,Performance!$C$2:$C$501)</f>
        <v>3</v>
      </c>
      <c r="O286" s="19" cm="1">
        <f t="array" ref="O286">_xlfn.IFS(N286=5,I286*15%,N286=4,I286*10%,N286=3,I286*7%,N286&lt;3,I286*5%)</f>
        <v>3289.86</v>
      </c>
    </row>
    <row r="287" spans="1:15">
      <c r="A287" s="4" t="s">
        <v>635</v>
      </c>
      <c r="B287" s="5" t="s">
        <v>74</v>
      </c>
      <c r="C287" s="5" t="s">
        <v>49</v>
      </c>
      <c r="D287" s="5" t="s">
        <v>19</v>
      </c>
      <c r="E287" s="5">
        <v>47</v>
      </c>
      <c r="F287" s="5" t="s">
        <v>35</v>
      </c>
      <c r="G287" s="5" t="s">
        <v>30</v>
      </c>
      <c r="H287" s="6">
        <v>43568</v>
      </c>
      <c r="I287" s="5">
        <v>106837</v>
      </c>
      <c r="J287" s="5" t="s">
        <v>81</v>
      </c>
      <c r="K287" s="5" t="s">
        <v>636</v>
      </c>
      <c r="L287" s="15" t="s">
        <v>39</v>
      </c>
      <c r="M287" s="14" t="str">
        <f>_xlfn.XLOOKUP(F287,Department!$A$2:$A$6,Department!$B$2:$B$6)</f>
        <v>Sales</v>
      </c>
      <c r="N287" s="22">
        <f>_xlfn.XLOOKUP(A287,Performance!$A$2:$A$501,Performance!$C$2:$C$501)</f>
        <v>3</v>
      </c>
      <c r="O287" s="19" cm="1">
        <f t="array" ref="O287">_xlfn.IFS(N287=5,I287*15%,N287=4,I287*10%,N287=3,I287*7%,N287&lt;3,I287*5%)</f>
        <v>7478.5900000000011</v>
      </c>
    </row>
    <row r="288" spans="1:15">
      <c r="A288" s="4" t="s">
        <v>637</v>
      </c>
      <c r="B288" s="5" t="s">
        <v>61</v>
      </c>
      <c r="C288" s="5" t="s">
        <v>117</v>
      </c>
      <c r="D288" s="5" t="s">
        <v>19</v>
      </c>
      <c r="E288" s="5">
        <v>52</v>
      </c>
      <c r="F288" s="5" t="s">
        <v>35</v>
      </c>
      <c r="G288" s="5" t="s">
        <v>102</v>
      </c>
      <c r="H288" s="6">
        <v>44091</v>
      </c>
      <c r="I288" s="5">
        <v>97878</v>
      </c>
      <c r="J288" s="5" t="s">
        <v>67</v>
      </c>
      <c r="K288" s="5" t="s">
        <v>638</v>
      </c>
      <c r="L288" s="15" t="s">
        <v>39</v>
      </c>
      <c r="M288" s="14" t="str">
        <f>_xlfn.XLOOKUP(F288,Department!$A$2:$A$6,Department!$B$2:$B$6)</f>
        <v>Sales</v>
      </c>
      <c r="N288" s="22">
        <f>_xlfn.XLOOKUP(A288,Performance!$A$2:$A$501,Performance!$C$2:$C$501)</f>
        <v>1</v>
      </c>
      <c r="O288" s="19" cm="1">
        <f t="array" ref="O288">_xlfn.IFS(N288=5,I288*15%,N288=4,I288*10%,N288=3,I288*7%,N288&lt;3,I288*5%)</f>
        <v>4893.9000000000005</v>
      </c>
    </row>
    <row r="289" spans="1:15">
      <c r="A289" s="4" t="s">
        <v>639</v>
      </c>
      <c r="B289" s="5" t="s">
        <v>58</v>
      </c>
      <c r="C289" s="5" t="s">
        <v>93</v>
      </c>
      <c r="D289" s="5" t="s">
        <v>19</v>
      </c>
      <c r="E289" s="5">
        <v>52</v>
      </c>
      <c r="F289" s="5" t="s">
        <v>35</v>
      </c>
      <c r="G289" s="5" t="s">
        <v>102</v>
      </c>
      <c r="H289" s="6">
        <v>44577</v>
      </c>
      <c r="I289" s="5">
        <v>42401</v>
      </c>
      <c r="J289" s="5" t="s">
        <v>67</v>
      </c>
      <c r="K289" s="5" t="s">
        <v>640</v>
      </c>
      <c r="L289" s="15" t="s">
        <v>39</v>
      </c>
      <c r="M289" s="14" t="str">
        <f>_xlfn.XLOOKUP(F289,Department!$A$2:$A$6,Department!$B$2:$B$6)</f>
        <v>Sales</v>
      </c>
      <c r="N289" s="22">
        <f>_xlfn.XLOOKUP(A289,Performance!$A$2:$A$501,Performance!$C$2:$C$501)</f>
        <v>4</v>
      </c>
      <c r="O289" s="19" cm="1">
        <f t="array" ref="O289">_xlfn.IFS(N289=5,I289*15%,N289=4,I289*10%,N289=3,I289*7%,N289&lt;3,I289*5%)</f>
        <v>4240.1000000000004</v>
      </c>
    </row>
    <row r="290" spans="1:15">
      <c r="A290" s="4" t="s">
        <v>641</v>
      </c>
      <c r="B290" s="5" t="s">
        <v>53</v>
      </c>
      <c r="C290" s="5" t="s">
        <v>141</v>
      </c>
      <c r="D290" s="5" t="s">
        <v>19</v>
      </c>
      <c r="E290" s="5">
        <v>59</v>
      </c>
      <c r="F290" s="5" t="s">
        <v>35</v>
      </c>
      <c r="G290" s="5" t="s">
        <v>30</v>
      </c>
      <c r="H290" s="6">
        <v>44290</v>
      </c>
      <c r="I290" s="5">
        <v>88760</v>
      </c>
      <c r="J290" s="5" t="s">
        <v>22</v>
      </c>
      <c r="K290" s="5" t="s">
        <v>642</v>
      </c>
      <c r="L290" s="15" t="s">
        <v>24</v>
      </c>
      <c r="M290" s="14" t="str">
        <f>_xlfn.XLOOKUP(F290,Department!$A$2:$A$6,Department!$B$2:$B$6)</f>
        <v>Sales</v>
      </c>
      <c r="N290" s="22">
        <f>_xlfn.XLOOKUP(A290,Performance!$A$2:$A$501,Performance!$C$2:$C$501)</f>
        <v>1</v>
      </c>
      <c r="O290" s="19" cm="1">
        <f t="array" ref="O290">_xlfn.IFS(N290=5,I290*15%,N290=4,I290*10%,N290=3,I290*7%,N290&lt;3,I290*5%)</f>
        <v>4438</v>
      </c>
    </row>
    <row r="291" spans="1:15">
      <c r="A291" s="4" t="s">
        <v>643</v>
      </c>
      <c r="B291" s="5" t="s">
        <v>92</v>
      </c>
      <c r="C291" s="5" t="s">
        <v>66</v>
      </c>
      <c r="D291" s="5" t="s">
        <v>28</v>
      </c>
      <c r="E291" s="5">
        <v>43</v>
      </c>
      <c r="F291" s="5" t="s">
        <v>43</v>
      </c>
      <c r="G291" s="5" t="s">
        <v>21</v>
      </c>
      <c r="H291" s="6">
        <v>44159</v>
      </c>
      <c r="I291" s="5">
        <v>55436</v>
      </c>
      <c r="J291" s="5" t="s">
        <v>81</v>
      </c>
      <c r="K291" s="5" t="s">
        <v>644</v>
      </c>
      <c r="L291" s="15" t="s">
        <v>24</v>
      </c>
      <c r="M291" s="14" t="str">
        <f>_xlfn.XLOOKUP(F291,Department!$A$2:$A$6,Department!$B$2:$B$6)</f>
        <v>Marketing</v>
      </c>
      <c r="N291" s="22">
        <f>_xlfn.XLOOKUP(A291,Performance!$A$2:$A$501,Performance!$C$2:$C$501)</f>
        <v>5</v>
      </c>
      <c r="O291" s="19" cm="1">
        <f t="array" ref="O291">_xlfn.IFS(N291=5,I291*15%,N291=4,I291*10%,N291=3,I291*7%,N291&lt;3,I291*5%)</f>
        <v>8315.4</v>
      </c>
    </row>
    <row r="292" spans="1:15">
      <c r="A292" s="4" t="s">
        <v>645</v>
      </c>
      <c r="B292" s="5" t="s">
        <v>61</v>
      </c>
      <c r="C292" s="5" t="s">
        <v>49</v>
      </c>
      <c r="D292" s="5" t="s">
        <v>19</v>
      </c>
      <c r="E292" s="5">
        <v>55</v>
      </c>
      <c r="F292" s="5" t="s">
        <v>35</v>
      </c>
      <c r="G292" s="5" t="s">
        <v>102</v>
      </c>
      <c r="H292" s="6">
        <v>44008</v>
      </c>
      <c r="I292" s="5">
        <v>84404</v>
      </c>
      <c r="J292" s="5" t="s">
        <v>22</v>
      </c>
      <c r="K292" s="5" t="s">
        <v>646</v>
      </c>
      <c r="L292" s="15" t="s">
        <v>39</v>
      </c>
      <c r="M292" s="14" t="str">
        <f>_xlfn.XLOOKUP(F292,Department!$A$2:$A$6,Department!$B$2:$B$6)</f>
        <v>Sales</v>
      </c>
      <c r="N292" s="22">
        <f>_xlfn.XLOOKUP(A292,Performance!$A$2:$A$501,Performance!$C$2:$C$501)</f>
        <v>3</v>
      </c>
      <c r="O292" s="19" cm="1">
        <f t="array" ref="O292">_xlfn.IFS(N292=5,I292*15%,N292=4,I292*10%,N292=3,I292*7%,N292&lt;3,I292*5%)</f>
        <v>5908.2800000000007</v>
      </c>
    </row>
    <row r="293" spans="1:15">
      <c r="A293" s="4" t="s">
        <v>647</v>
      </c>
      <c r="B293" s="5" t="s">
        <v>126</v>
      </c>
      <c r="C293" s="5" t="s">
        <v>117</v>
      </c>
      <c r="D293" s="5" t="s">
        <v>28</v>
      </c>
      <c r="E293" s="5">
        <v>24</v>
      </c>
      <c r="F293" s="5" t="s">
        <v>43</v>
      </c>
      <c r="G293" s="5" t="s">
        <v>30</v>
      </c>
      <c r="H293" s="6">
        <v>44331</v>
      </c>
      <c r="I293" s="5">
        <v>83157</v>
      </c>
      <c r="J293" s="5" t="s">
        <v>22</v>
      </c>
      <c r="K293" s="5" t="s">
        <v>648</v>
      </c>
      <c r="L293" s="15" t="s">
        <v>39</v>
      </c>
      <c r="M293" s="14" t="str">
        <f>_xlfn.XLOOKUP(F293,Department!$A$2:$A$6,Department!$B$2:$B$6)</f>
        <v>Marketing</v>
      </c>
      <c r="N293" s="22">
        <f>_xlfn.XLOOKUP(A293,Performance!$A$2:$A$501,Performance!$C$2:$C$501)</f>
        <v>3</v>
      </c>
      <c r="O293" s="19" cm="1">
        <f t="array" ref="O293">_xlfn.IFS(N293=5,I293*15%,N293=4,I293*10%,N293=3,I293*7%,N293&lt;3,I293*5%)</f>
        <v>5820.9900000000007</v>
      </c>
    </row>
    <row r="294" spans="1:15">
      <c r="A294" s="4" t="s">
        <v>649</v>
      </c>
      <c r="B294" s="5" t="s">
        <v>42</v>
      </c>
      <c r="C294" s="5" t="s">
        <v>49</v>
      </c>
      <c r="D294" s="5" t="s">
        <v>28</v>
      </c>
      <c r="E294" s="5">
        <v>50</v>
      </c>
      <c r="F294" s="5" t="s">
        <v>35</v>
      </c>
      <c r="G294" s="5" t="s">
        <v>30</v>
      </c>
      <c r="H294" s="6">
        <v>45136</v>
      </c>
      <c r="I294" s="5">
        <v>49330</v>
      </c>
      <c r="J294" s="5" t="s">
        <v>67</v>
      </c>
      <c r="K294" s="5" t="s">
        <v>650</v>
      </c>
      <c r="L294" s="15" t="s">
        <v>24</v>
      </c>
      <c r="M294" s="14" t="str">
        <f>_xlfn.XLOOKUP(F294,Department!$A$2:$A$6,Department!$B$2:$B$6)</f>
        <v>Sales</v>
      </c>
      <c r="N294" s="22">
        <f>_xlfn.XLOOKUP(A294,Performance!$A$2:$A$501,Performance!$C$2:$C$501)</f>
        <v>5</v>
      </c>
      <c r="O294" s="19" cm="1">
        <f t="array" ref="O294">_xlfn.IFS(N294=5,I294*15%,N294=4,I294*10%,N294=3,I294*7%,N294&lt;3,I294*5%)</f>
        <v>7399.5</v>
      </c>
    </row>
    <row r="295" spans="1:15">
      <c r="A295" s="4" t="s">
        <v>651</v>
      </c>
      <c r="B295" s="5" t="s">
        <v>17</v>
      </c>
      <c r="C295" s="5" t="s">
        <v>49</v>
      </c>
      <c r="D295" s="5" t="s">
        <v>28</v>
      </c>
      <c r="E295" s="5">
        <v>40</v>
      </c>
      <c r="F295" s="5" t="s">
        <v>29</v>
      </c>
      <c r="G295" s="5" t="s">
        <v>44</v>
      </c>
      <c r="H295" s="6">
        <v>43236</v>
      </c>
      <c r="I295" s="5">
        <v>89213</v>
      </c>
      <c r="J295" s="5" t="s">
        <v>37</v>
      </c>
      <c r="K295" s="5" t="s">
        <v>652</v>
      </c>
      <c r="L295" s="15" t="s">
        <v>24</v>
      </c>
      <c r="M295" s="14" t="str">
        <f>_xlfn.XLOOKUP(F295,Department!$A$2:$A$6,Department!$B$2:$B$6)</f>
        <v>IT</v>
      </c>
      <c r="N295" s="22">
        <f>_xlfn.XLOOKUP(A295,Performance!$A$2:$A$501,Performance!$C$2:$C$501)</f>
        <v>3</v>
      </c>
      <c r="O295" s="19" cm="1">
        <f t="array" ref="O295">_xlfn.IFS(N295=5,I295*15%,N295=4,I295*10%,N295=3,I295*7%,N295&lt;3,I295*5%)</f>
        <v>6244.9100000000008</v>
      </c>
    </row>
    <row r="296" spans="1:15">
      <c r="A296" s="4" t="s">
        <v>653</v>
      </c>
      <c r="B296" s="5" t="s">
        <v>126</v>
      </c>
      <c r="C296" s="5" t="s">
        <v>66</v>
      </c>
      <c r="D296" s="5" t="s">
        <v>28</v>
      </c>
      <c r="E296" s="5">
        <v>29</v>
      </c>
      <c r="F296" s="5" t="s">
        <v>20</v>
      </c>
      <c r="G296" s="5" t="s">
        <v>36</v>
      </c>
      <c r="H296" s="6">
        <v>44672</v>
      </c>
      <c r="I296" s="5">
        <v>75306</v>
      </c>
      <c r="J296" s="5" t="s">
        <v>67</v>
      </c>
      <c r="K296" s="5" t="s">
        <v>654</v>
      </c>
      <c r="L296" s="15" t="s">
        <v>39</v>
      </c>
      <c r="M296" s="14" t="str">
        <f>_xlfn.XLOOKUP(F296,Department!$A$2:$A$6,Department!$B$2:$B$6)</f>
        <v>HR</v>
      </c>
      <c r="N296" s="22">
        <f>_xlfn.XLOOKUP(A296,Performance!$A$2:$A$501,Performance!$C$2:$C$501)</f>
        <v>3</v>
      </c>
      <c r="O296" s="19" cm="1">
        <f t="array" ref="O296">_xlfn.IFS(N296=5,I296*15%,N296=4,I296*10%,N296=3,I296*7%,N296&lt;3,I296*5%)</f>
        <v>5271.42</v>
      </c>
    </row>
    <row r="297" spans="1:15">
      <c r="A297" s="4" t="s">
        <v>655</v>
      </c>
      <c r="B297" s="5" t="s">
        <v>34</v>
      </c>
      <c r="C297" s="5" t="s">
        <v>93</v>
      </c>
      <c r="D297" s="5" t="s">
        <v>19</v>
      </c>
      <c r="E297" s="5">
        <v>33</v>
      </c>
      <c r="F297" s="5" t="s">
        <v>29</v>
      </c>
      <c r="G297" s="5" t="s">
        <v>30</v>
      </c>
      <c r="H297" s="6">
        <v>43428</v>
      </c>
      <c r="I297" s="5">
        <v>88151</v>
      </c>
      <c r="J297" s="5" t="s">
        <v>81</v>
      </c>
      <c r="K297" s="5" t="s">
        <v>656</v>
      </c>
      <c r="L297" s="15" t="s">
        <v>39</v>
      </c>
      <c r="M297" s="14" t="str">
        <f>_xlfn.XLOOKUP(F297,Department!$A$2:$A$6,Department!$B$2:$B$6)</f>
        <v>IT</v>
      </c>
      <c r="N297" s="22">
        <f>_xlfn.XLOOKUP(A297,Performance!$A$2:$A$501,Performance!$C$2:$C$501)</f>
        <v>3</v>
      </c>
      <c r="O297" s="19" cm="1">
        <f t="array" ref="O297">_xlfn.IFS(N297=5,I297*15%,N297=4,I297*10%,N297=3,I297*7%,N297&lt;3,I297*5%)</f>
        <v>6170.5700000000006</v>
      </c>
    </row>
    <row r="298" spans="1:15">
      <c r="A298" s="4" t="s">
        <v>657</v>
      </c>
      <c r="B298" s="5" t="s">
        <v>17</v>
      </c>
      <c r="C298" s="5" t="s">
        <v>80</v>
      </c>
      <c r="D298" s="5" t="s">
        <v>28</v>
      </c>
      <c r="E298" s="5">
        <v>36</v>
      </c>
      <c r="F298" s="5" t="s">
        <v>35</v>
      </c>
      <c r="G298" s="5" t="s">
        <v>36</v>
      </c>
      <c r="H298" s="6">
        <v>45144</v>
      </c>
      <c r="I298" s="5">
        <v>112274</v>
      </c>
      <c r="J298" s="5" t="s">
        <v>62</v>
      </c>
      <c r="K298" s="5" t="s">
        <v>658</v>
      </c>
      <c r="L298" s="15" t="s">
        <v>39</v>
      </c>
      <c r="M298" s="14" t="str">
        <f>_xlfn.XLOOKUP(F298,Department!$A$2:$A$6,Department!$B$2:$B$6)</f>
        <v>Sales</v>
      </c>
      <c r="N298" s="22">
        <f>_xlfn.XLOOKUP(A298,Performance!$A$2:$A$501,Performance!$C$2:$C$501)</f>
        <v>3</v>
      </c>
      <c r="O298" s="19" cm="1">
        <f t="array" ref="O298">_xlfn.IFS(N298=5,I298*15%,N298=4,I298*10%,N298=3,I298*7%,N298&lt;3,I298*5%)</f>
        <v>7859.1800000000012</v>
      </c>
    </row>
    <row r="299" spans="1:15">
      <c r="A299" s="4" t="s">
        <v>659</v>
      </c>
      <c r="B299" s="5" t="s">
        <v>74</v>
      </c>
      <c r="C299" s="5" t="s">
        <v>18</v>
      </c>
      <c r="D299" s="5" t="s">
        <v>19</v>
      </c>
      <c r="E299" s="5">
        <v>39</v>
      </c>
      <c r="F299" s="5" t="s">
        <v>20</v>
      </c>
      <c r="G299" s="5" t="s">
        <v>44</v>
      </c>
      <c r="H299" s="6">
        <v>44096</v>
      </c>
      <c r="I299" s="5">
        <v>55507</v>
      </c>
      <c r="J299" s="5" t="s">
        <v>81</v>
      </c>
      <c r="K299" s="5" t="s">
        <v>660</v>
      </c>
      <c r="L299" s="15" t="s">
        <v>24</v>
      </c>
      <c r="M299" s="14" t="str">
        <f>_xlfn.XLOOKUP(F299,Department!$A$2:$A$6,Department!$B$2:$B$6)</f>
        <v>HR</v>
      </c>
      <c r="N299" s="22">
        <f>_xlfn.XLOOKUP(A299,Performance!$A$2:$A$501,Performance!$C$2:$C$501)</f>
        <v>3</v>
      </c>
      <c r="O299" s="19" cm="1">
        <f t="array" ref="O299">_xlfn.IFS(N299=5,I299*15%,N299=4,I299*10%,N299=3,I299*7%,N299&lt;3,I299*5%)</f>
        <v>3885.4900000000002</v>
      </c>
    </row>
    <row r="300" spans="1:15">
      <c r="A300" s="4" t="s">
        <v>661</v>
      </c>
      <c r="B300" s="5" t="s">
        <v>34</v>
      </c>
      <c r="C300" s="5" t="s">
        <v>93</v>
      </c>
      <c r="D300" s="5" t="s">
        <v>19</v>
      </c>
      <c r="E300" s="5">
        <v>24</v>
      </c>
      <c r="F300" s="5" t="s">
        <v>54</v>
      </c>
      <c r="G300" s="5" t="s">
        <v>21</v>
      </c>
      <c r="H300" s="6">
        <v>45217</v>
      </c>
      <c r="I300" s="5">
        <v>66638</v>
      </c>
      <c r="J300" s="5" t="s">
        <v>67</v>
      </c>
      <c r="K300" s="5" t="s">
        <v>662</v>
      </c>
      <c r="L300" s="15" t="s">
        <v>24</v>
      </c>
      <c r="M300" s="14" t="str">
        <f>_xlfn.XLOOKUP(F300,Department!$A$2:$A$6,Department!$B$2:$B$6)</f>
        <v>Finance</v>
      </c>
      <c r="N300" s="22">
        <f>_xlfn.XLOOKUP(A300,Performance!$A$2:$A$501,Performance!$C$2:$C$501)</f>
        <v>5</v>
      </c>
      <c r="O300" s="19" cm="1">
        <f t="array" ref="O300">_xlfn.IFS(N300=5,I300*15%,N300=4,I300*10%,N300=3,I300*7%,N300&lt;3,I300*5%)</f>
        <v>9995.6999999999989</v>
      </c>
    </row>
    <row r="301" spans="1:15">
      <c r="A301" s="4" t="s">
        <v>663</v>
      </c>
      <c r="B301" s="5" t="s">
        <v>48</v>
      </c>
      <c r="C301" s="5" t="s">
        <v>80</v>
      </c>
      <c r="D301" s="5" t="s">
        <v>19</v>
      </c>
      <c r="E301" s="5">
        <v>51</v>
      </c>
      <c r="F301" s="5" t="s">
        <v>20</v>
      </c>
      <c r="G301" s="5" t="s">
        <v>102</v>
      </c>
      <c r="H301" s="6">
        <v>44061</v>
      </c>
      <c r="I301" s="5">
        <v>43356</v>
      </c>
      <c r="J301" s="5" t="s">
        <v>67</v>
      </c>
      <c r="K301" s="5" t="s">
        <v>664</v>
      </c>
      <c r="L301" s="15" t="s">
        <v>24</v>
      </c>
      <c r="M301" s="14" t="str">
        <f>_xlfn.XLOOKUP(F301,Department!$A$2:$A$6,Department!$B$2:$B$6)</f>
        <v>HR</v>
      </c>
      <c r="N301" s="22">
        <f>_xlfn.XLOOKUP(A301,Performance!$A$2:$A$501,Performance!$C$2:$C$501)</f>
        <v>1</v>
      </c>
      <c r="O301" s="19" cm="1">
        <f t="array" ref="O301">_xlfn.IFS(N301=5,I301*15%,N301=4,I301*10%,N301=3,I301*7%,N301&lt;3,I301*5%)</f>
        <v>2167.8000000000002</v>
      </c>
    </row>
    <row r="302" spans="1:15">
      <c r="A302" s="4" t="s">
        <v>665</v>
      </c>
      <c r="B302" s="5" t="s">
        <v>42</v>
      </c>
      <c r="C302" s="5" t="s">
        <v>117</v>
      </c>
      <c r="D302" s="5" t="s">
        <v>19</v>
      </c>
      <c r="E302" s="5">
        <v>44</v>
      </c>
      <c r="F302" s="5" t="s">
        <v>35</v>
      </c>
      <c r="G302" s="5" t="s">
        <v>44</v>
      </c>
      <c r="H302" s="6">
        <v>45341</v>
      </c>
      <c r="I302" s="5">
        <v>82425</v>
      </c>
      <c r="J302" s="5" t="s">
        <v>81</v>
      </c>
      <c r="K302" s="5" t="s">
        <v>666</v>
      </c>
      <c r="L302" s="15" t="s">
        <v>24</v>
      </c>
      <c r="M302" s="14" t="str">
        <f>_xlfn.XLOOKUP(F302,Department!$A$2:$A$6,Department!$B$2:$B$6)</f>
        <v>Sales</v>
      </c>
      <c r="N302" s="22">
        <f>_xlfn.XLOOKUP(A302,Performance!$A$2:$A$501,Performance!$C$2:$C$501)</f>
        <v>4</v>
      </c>
      <c r="O302" s="19" cm="1">
        <f t="array" ref="O302">_xlfn.IFS(N302=5,I302*15%,N302=4,I302*10%,N302=3,I302*7%,N302&lt;3,I302*5%)</f>
        <v>8242.5</v>
      </c>
    </row>
    <row r="303" spans="1:15">
      <c r="A303" s="4" t="s">
        <v>667</v>
      </c>
      <c r="B303" s="5" t="s">
        <v>48</v>
      </c>
      <c r="C303" s="5" t="s">
        <v>27</v>
      </c>
      <c r="D303" s="5" t="s">
        <v>19</v>
      </c>
      <c r="E303" s="5">
        <v>23</v>
      </c>
      <c r="F303" s="5" t="s">
        <v>43</v>
      </c>
      <c r="G303" s="5" t="s">
        <v>44</v>
      </c>
      <c r="H303" s="6">
        <v>43125</v>
      </c>
      <c r="I303" s="5">
        <v>79670</v>
      </c>
      <c r="J303" s="5" t="s">
        <v>81</v>
      </c>
      <c r="K303" s="5" t="s">
        <v>668</v>
      </c>
      <c r="L303" s="15" t="s">
        <v>39</v>
      </c>
      <c r="M303" s="14" t="str">
        <f>_xlfn.XLOOKUP(F303,Department!$A$2:$A$6,Department!$B$2:$B$6)</f>
        <v>Marketing</v>
      </c>
      <c r="N303" s="22">
        <f>_xlfn.XLOOKUP(A303,Performance!$A$2:$A$501,Performance!$C$2:$C$501)</f>
        <v>2</v>
      </c>
      <c r="O303" s="19" cm="1">
        <f t="array" ref="O303">_xlfn.IFS(N303=5,I303*15%,N303=4,I303*10%,N303=3,I303*7%,N303&lt;3,I303*5%)</f>
        <v>3983.5</v>
      </c>
    </row>
    <row r="304" spans="1:15">
      <c r="A304" s="4" t="s">
        <v>669</v>
      </c>
      <c r="B304" s="5" t="s">
        <v>17</v>
      </c>
      <c r="C304" s="5" t="s">
        <v>18</v>
      </c>
      <c r="D304" s="5" t="s">
        <v>28</v>
      </c>
      <c r="E304" s="5">
        <v>58</v>
      </c>
      <c r="F304" s="5" t="s">
        <v>54</v>
      </c>
      <c r="G304" s="5" t="s">
        <v>36</v>
      </c>
      <c r="H304" s="6">
        <v>43806</v>
      </c>
      <c r="I304" s="5">
        <v>85427</v>
      </c>
      <c r="J304" s="5" t="s">
        <v>67</v>
      </c>
      <c r="K304" s="5" t="s">
        <v>670</v>
      </c>
      <c r="L304" s="15" t="s">
        <v>39</v>
      </c>
      <c r="M304" s="14" t="str">
        <f>_xlfn.XLOOKUP(F304,Department!$A$2:$A$6,Department!$B$2:$B$6)</f>
        <v>Finance</v>
      </c>
      <c r="N304" s="22">
        <f>_xlfn.XLOOKUP(A304,Performance!$A$2:$A$501,Performance!$C$2:$C$501)</f>
        <v>1</v>
      </c>
      <c r="O304" s="19" cm="1">
        <f t="array" ref="O304">_xlfn.IFS(N304=5,I304*15%,N304=4,I304*10%,N304=3,I304*7%,N304&lt;3,I304*5%)</f>
        <v>4271.3500000000004</v>
      </c>
    </row>
    <row r="305" spans="1:15">
      <c r="A305" s="4" t="s">
        <v>671</v>
      </c>
      <c r="B305" s="5" t="s">
        <v>126</v>
      </c>
      <c r="C305" s="5" t="s">
        <v>93</v>
      </c>
      <c r="D305" s="5" t="s">
        <v>19</v>
      </c>
      <c r="E305" s="5">
        <v>25</v>
      </c>
      <c r="F305" s="5" t="s">
        <v>29</v>
      </c>
      <c r="G305" s="5" t="s">
        <v>102</v>
      </c>
      <c r="H305" s="6">
        <v>43656</v>
      </c>
      <c r="I305" s="5">
        <v>76975</v>
      </c>
      <c r="J305" s="5" t="s">
        <v>37</v>
      </c>
      <c r="K305" s="5" t="s">
        <v>672</v>
      </c>
      <c r="L305" s="15" t="s">
        <v>24</v>
      </c>
      <c r="M305" s="14" t="str">
        <f>_xlfn.XLOOKUP(F305,Department!$A$2:$A$6,Department!$B$2:$B$6)</f>
        <v>IT</v>
      </c>
      <c r="N305" s="22">
        <f>_xlfn.XLOOKUP(A305,Performance!$A$2:$A$501,Performance!$C$2:$C$501)</f>
        <v>5</v>
      </c>
      <c r="O305" s="19" cm="1">
        <f t="array" ref="O305">_xlfn.IFS(N305=5,I305*15%,N305=4,I305*10%,N305=3,I305*7%,N305&lt;3,I305*5%)</f>
        <v>11546.25</v>
      </c>
    </row>
    <row r="306" spans="1:15">
      <c r="A306" s="4" t="s">
        <v>673</v>
      </c>
      <c r="B306" s="5" t="s">
        <v>42</v>
      </c>
      <c r="C306" s="5" t="s">
        <v>49</v>
      </c>
      <c r="D306" s="5" t="s">
        <v>19</v>
      </c>
      <c r="E306" s="5">
        <v>40</v>
      </c>
      <c r="F306" s="5" t="s">
        <v>20</v>
      </c>
      <c r="G306" s="5" t="s">
        <v>44</v>
      </c>
      <c r="H306" s="6">
        <v>43553</v>
      </c>
      <c r="I306" s="5">
        <v>52019</v>
      </c>
      <c r="J306" s="5" t="s">
        <v>81</v>
      </c>
      <c r="K306" s="5" t="s">
        <v>674</v>
      </c>
      <c r="L306" s="15" t="s">
        <v>24</v>
      </c>
      <c r="M306" s="14" t="str">
        <f>_xlfn.XLOOKUP(F306,Department!$A$2:$A$6,Department!$B$2:$B$6)</f>
        <v>HR</v>
      </c>
      <c r="N306" s="22">
        <f>_xlfn.XLOOKUP(A306,Performance!$A$2:$A$501,Performance!$C$2:$C$501)</f>
        <v>2</v>
      </c>
      <c r="O306" s="19" cm="1">
        <f t="array" ref="O306">_xlfn.IFS(N306=5,I306*15%,N306=4,I306*10%,N306=3,I306*7%,N306&lt;3,I306*5%)</f>
        <v>2600.9500000000003</v>
      </c>
    </row>
    <row r="307" spans="1:15">
      <c r="A307" s="4" t="s">
        <v>675</v>
      </c>
      <c r="B307" s="5" t="s">
        <v>61</v>
      </c>
      <c r="C307" s="5" t="s">
        <v>117</v>
      </c>
      <c r="D307" s="5" t="s">
        <v>19</v>
      </c>
      <c r="E307" s="5">
        <v>22</v>
      </c>
      <c r="F307" s="5" t="s">
        <v>20</v>
      </c>
      <c r="G307" s="5" t="s">
        <v>102</v>
      </c>
      <c r="H307" s="6">
        <v>44337</v>
      </c>
      <c r="I307" s="5">
        <v>89336</v>
      </c>
      <c r="J307" s="5" t="s">
        <v>67</v>
      </c>
      <c r="K307" s="5" t="s">
        <v>676</v>
      </c>
      <c r="L307" s="15" t="s">
        <v>24</v>
      </c>
      <c r="M307" s="14" t="str">
        <f>_xlfn.XLOOKUP(F307,Department!$A$2:$A$6,Department!$B$2:$B$6)</f>
        <v>HR</v>
      </c>
      <c r="N307" s="22">
        <f>_xlfn.XLOOKUP(A307,Performance!$A$2:$A$501,Performance!$C$2:$C$501)</f>
        <v>2</v>
      </c>
      <c r="O307" s="19" cm="1">
        <f t="array" ref="O307">_xlfn.IFS(N307=5,I307*15%,N307=4,I307*10%,N307=3,I307*7%,N307&lt;3,I307*5%)</f>
        <v>4466.8</v>
      </c>
    </row>
    <row r="308" spans="1:15">
      <c r="A308" s="4" t="s">
        <v>677</v>
      </c>
      <c r="B308" s="5" t="s">
        <v>42</v>
      </c>
      <c r="C308" s="5" t="s">
        <v>80</v>
      </c>
      <c r="D308" s="5" t="s">
        <v>28</v>
      </c>
      <c r="E308" s="5">
        <v>41</v>
      </c>
      <c r="F308" s="5" t="s">
        <v>54</v>
      </c>
      <c r="G308" s="5" t="s">
        <v>36</v>
      </c>
      <c r="H308" s="6">
        <v>45179</v>
      </c>
      <c r="I308" s="5">
        <v>81363</v>
      </c>
      <c r="J308" s="5" t="s">
        <v>62</v>
      </c>
      <c r="K308" s="5" t="s">
        <v>678</v>
      </c>
      <c r="L308" s="15" t="s">
        <v>39</v>
      </c>
      <c r="M308" s="14" t="str">
        <f>_xlfn.XLOOKUP(F308,Department!$A$2:$A$6,Department!$B$2:$B$6)</f>
        <v>Finance</v>
      </c>
      <c r="N308" s="22">
        <f>_xlfn.XLOOKUP(A308,Performance!$A$2:$A$501,Performance!$C$2:$C$501)</f>
        <v>2</v>
      </c>
      <c r="O308" s="19" cm="1">
        <f t="array" ref="O308">_xlfn.IFS(N308=5,I308*15%,N308=4,I308*10%,N308=3,I308*7%,N308&lt;3,I308*5%)</f>
        <v>4068.15</v>
      </c>
    </row>
    <row r="309" spans="1:15">
      <c r="A309" s="4" t="s">
        <v>679</v>
      </c>
      <c r="B309" s="5" t="s">
        <v>53</v>
      </c>
      <c r="C309" s="5" t="s">
        <v>84</v>
      </c>
      <c r="D309" s="5" t="s">
        <v>28</v>
      </c>
      <c r="E309" s="5">
        <v>45</v>
      </c>
      <c r="F309" s="5" t="s">
        <v>54</v>
      </c>
      <c r="G309" s="5" t="s">
        <v>21</v>
      </c>
      <c r="H309" s="6">
        <v>43363</v>
      </c>
      <c r="I309" s="5">
        <v>74751</v>
      </c>
      <c r="J309" s="5" t="s">
        <v>62</v>
      </c>
      <c r="K309" s="5" t="s">
        <v>680</v>
      </c>
      <c r="L309" s="15" t="s">
        <v>24</v>
      </c>
      <c r="M309" s="14" t="str">
        <f>_xlfn.XLOOKUP(F309,Department!$A$2:$A$6,Department!$B$2:$B$6)</f>
        <v>Finance</v>
      </c>
      <c r="N309" s="22">
        <f>_xlfn.XLOOKUP(A309,Performance!$A$2:$A$501,Performance!$C$2:$C$501)</f>
        <v>3</v>
      </c>
      <c r="O309" s="19" cm="1">
        <f t="array" ref="O309">_xlfn.IFS(N309=5,I309*15%,N309=4,I309*10%,N309=3,I309*7%,N309&lt;3,I309*5%)</f>
        <v>5232.5700000000006</v>
      </c>
    </row>
    <row r="310" spans="1:15">
      <c r="A310" s="4" t="s">
        <v>681</v>
      </c>
      <c r="B310" s="5" t="s">
        <v>126</v>
      </c>
      <c r="C310" s="5" t="s">
        <v>66</v>
      </c>
      <c r="D310" s="5" t="s">
        <v>19</v>
      </c>
      <c r="E310" s="5">
        <v>55</v>
      </c>
      <c r="F310" s="5" t="s">
        <v>54</v>
      </c>
      <c r="G310" s="5" t="s">
        <v>44</v>
      </c>
      <c r="H310" s="6">
        <v>44546</v>
      </c>
      <c r="I310" s="5">
        <v>75014</v>
      </c>
      <c r="J310" s="5" t="s">
        <v>67</v>
      </c>
      <c r="K310" s="5" t="s">
        <v>682</v>
      </c>
      <c r="L310" s="15" t="s">
        <v>24</v>
      </c>
      <c r="M310" s="14" t="str">
        <f>_xlfn.XLOOKUP(F310,Department!$A$2:$A$6,Department!$B$2:$B$6)</f>
        <v>Finance</v>
      </c>
      <c r="N310" s="22">
        <f>_xlfn.XLOOKUP(A310,Performance!$A$2:$A$501,Performance!$C$2:$C$501)</f>
        <v>1</v>
      </c>
      <c r="O310" s="19" cm="1">
        <f t="array" ref="O310">_xlfn.IFS(N310=5,I310*15%,N310=4,I310*10%,N310=3,I310*7%,N310&lt;3,I310*5%)</f>
        <v>3750.7000000000003</v>
      </c>
    </row>
    <row r="311" spans="1:15">
      <c r="A311" s="4" t="s">
        <v>683</v>
      </c>
      <c r="B311" s="5" t="s">
        <v>58</v>
      </c>
      <c r="C311" s="5" t="s">
        <v>66</v>
      </c>
      <c r="D311" s="5" t="s">
        <v>19</v>
      </c>
      <c r="E311" s="5">
        <v>55</v>
      </c>
      <c r="F311" s="5" t="s">
        <v>43</v>
      </c>
      <c r="G311" s="5" t="s">
        <v>30</v>
      </c>
      <c r="H311" s="6">
        <v>44608</v>
      </c>
      <c r="I311" s="5">
        <v>98004</v>
      </c>
      <c r="J311" s="5" t="s">
        <v>62</v>
      </c>
      <c r="K311" s="5" t="s">
        <v>684</v>
      </c>
      <c r="L311" s="15" t="s">
        <v>39</v>
      </c>
      <c r="M311" s="14" t="str">
        <f>_xlfn.XLOOKUP(F311,Department!$A$2:$A$6,Department!$B$2:$B$6)</f>
        <v>Marketing</v>
      </c>
      <c r="N311" s="22">
        <f>_xlfn.XLOOKUP(A311,Performance!$A$2:$A$501,Performance!$C$2:$C$501)</f>
        <v>3</v>
      </c>
      <c r="O311" s="19" cm="1">
        <f t="array" ref="O311">_xlfn.IFS(N311=5,I311*15%,N311=4,I311*10%,N311=3,I311*7%,N311&lt;3,I311*5%)</f>
        <v>6860.2800000000007</v>
      </c>
    </row>
    <row r="312" spans="1:15">
      <c r="A312" s="4" t="s">
        <v>685</v>
      </c>
      <c r="B312" s="5" t="s">
        <v>58</v>
      </c>
      <c r="C312" s="5" t="s">
        <v>27</v>
      </c>
      <c r="D312" s="5" t="s">
        <v>19</v>
      </c>
      <c r="E312" s="5">
        <v>27</v>
      </c>
      <c r="F312" s="5" t="s">
        <v>54</v>
      </c>
      <c r="G312" s="5" t="s">
        <v>21</v>
      </c>
      <c r="H312" s="6">
        <v>43322</v>
      </c>
      <c r="I312" s="5">
        <v>86048</v>
      </c>
      <c r="J312" s="5" t="s">
        <v>22</v>
      </c>
      <c r="K312" s="5" t="s">
        <v>686</v>
      </c>
      <c r="L312" s="15" t="s">
        <v>24</v>
      </c>
      <c r="M312" s="14" t="str">
        <f>_xlfn.XLOOKUP(F312,Department!$A$2:$A$6,Department!$B$2:$B$6)</f>
        <v>Finance</v>
      </c>
      <c r="N312" s="22">
        <f>_xlfn.XLOOKUP(A312,Performance!$A$2:$A$501,Performance!$C$2:$C$501)</f>
        <v>2</v>
      </c>
      <c r="O312" s="19" cm="1">
        <f t="array" ref="O312">_xlfn.IFS(N312=5,I312*15%,N312=4,I312*10%,N312=3,I312*7%,N312&lt;3,I312*5%)</f>
        <v>4302.4000000000005</v>
      </c>
    </row>
    <row r="313" spans="1:15">
      <c r="A313" s="4" t="s">
        <v>687</v>
      </c>
      <c r="B313" s="5" t="s">
        <v>126</v>
      </c>
      <c r="C313" s="5" t="s">
        <v>141</v>
      </c>
      <c r="D313" s="5" t="s">
        <v>28</v>
      </c>
      <c r="E313" s="5">
        <v>47</v>
      </c>
      <c r="F313" s="5" t="s">
        <v>35</v>
      </c>
      <c r="G313" s="5" t="s">
        <v>36</v>
      </c>
      <c r="H313" s="6">
        <v>43587</v>
      </c>
      <c r="I313" s="5">
        <v>105072</v>
      </c>
      <c r="J313" s="5" t="s">
        <v>37</v>
      </c>
      <c r="K313" s="5" t="s">
        <v>688</v>
      </c>
      <c r="L313" s="15" t="s">
        <v>39</v>
      </c>
      <c r="M313" s="14" t="str">
        <f>_xlfn.XLOOKUP(F313,Department!$A$2:$A$6,Department!$B$2:$B$6)</f>
        <v>Sales</v>
      </c>
      <c r="N313" s="22">
        <f>_xlfn.XLOOKUP(A313,Performance!$A$2:$A$501,Performance!$C$2:$C$501)</f>
        <v>4</v>
      </c>
      <c r="O313" s="19" cm="1">
        <f t="array" ref="O313">_xlfn.IFS(N313=5,I313*15%,N313=4,I313*10%,N313=3,I313*7%,N313&lt;3,I313*5%)</f>
        <v>10507.2</v>
      </c>
    </row>
    <row r="314" spans="1:15">
      <c r="A314" s="4" t="s">
        <v>689</v>
      </c>
      <c r="B314" s="5" t="s">
        <v>48</v>
      </c>
      <c r="C314" s="5" t="s">
        <v>141</v>
      </c>
      <c r="D314" s="5" t="s">
        <v>28</v>
      </c>
      <c r="E314" s="5">
        <v>24</v>
      </c>
      <c r="F314" s="5" t="s">
        <v>43</v>
      </c>
      <c r="G314" s="5" t="s">
        <v>21</v>
      </c>
      <c r="H314" s="6">
        <v>45169</v>
      </c>
      <c r="I314" s="5">
        <v>54389</v>
      </c>
      <c r="J314" s="5" t="s">
        <v>37</v>
      </c>
      <c r="K314" s="5" t="s">
        <v>690</v>
      </c>
      <c r="L314" s="15" t="s">
        <v>39</v>
      </c>
      <c r="M314" s="14" t="str">
        <f>_xlfn.XLOOKUP(F314,Department!$A$2:$A$6,Department!$B$2:$B$6)</f>
        <v>Marketing</v>
      </c>
      <c r="N314" s="22">
        <f>_xlfn.XLOOKUP(A314,Performance!$A$2:$A$501,Performance!$C$2:$C$501)</f>
        <v>5</v>
      </c>
      <c r="O314" s="19" cm="1">
        <f t="array" ref="O314">_xlfn.IFS(N314=5,I314*15%,N314=4,I314*10%,N314=3,I314*7%,N314&lt;3,I314*5%)</f>
        <v>8158.3499999999995</v>
      </c>
    </row>
    <row r="315" spans="1:15">
      <c r="A315" s="4" t="s">
        <v>691</v>
      </c>
      <c r="B315" s="5" t="s">
        <v>34</v>
      </c>
      <c r="C315" s="5" t="s">
        <v>27</v>
      </c>
      <c r="D315" s="5" t="s">
        <v>19</v>
      </c>
      <c r="E315" s="5">
        <v>58</v>
      </c>
      <c r="F315" s="5" t="s">
        <v>54</v>
      </c>
      <c r="G315" s="5" t="s">
        <v>21</v>
      </c>
      <c r="H315" s="6">
        <v>43164</v>
      </c>
      <c r="I315" s="5">
        <v>48029</v>
      </c>
      <c r="J315" s="5" t="s">
        <v>37</v>
      </c>
      <c r="K315" s="5" t="s">
        <v>692</v>
      </c>
      <c r="L315" s="15" t="s">
        <v>24</v>
      </c>
      <c r="M315" s="14" t="str">
        <f>_xlfn.XLOOKUP(F315,Department!$A$2:$A$6,Department!$B$2:$B$6)</f>
        <v>Finance</v>
      </c>
      <c r="N315" s="22">
        <f>_xlfn.XLOOKUP(A315,Performance!$A$2:$A$501,Performance!$C$2:$C$501)</f>
        <v>3</v>
      </c>
      <c r="O315" s="19" cm="1">
        <f t="array" ref="O315">_xlfn.IFS(N315=5,I315*15%,N315=4,I315*10%,N315=3,I315*7%,N315&lt;3,I315*5%)</f>
        <v>3362.03</v>
      </c>
    </row>
    <row r="316" spans="1:15">
      <c r="A316" s="4" t="s">
        <v>693</v>
      </c>
      <c r="B316" s="5" t="s">
        <v>17</v>
      </c>
      <c r="C316" s="5" t="s">
        <v>141</v>
      </c>
      <c r="D316" s="5" t="s">
        <v>19</v>
      </c>
      <c r="E316" s="5">
        <v>45</v>
      </c>
      <c r="F316" s="5" t="s">
        <v>54</v>
      </c>
      <c r="G316" s="5" t="s">
        <v>21</v>
      </c>
      <c r="H316" s="6">
        <v>44014</v>
      </c>
      <c r="I316" s="5">
        <v>98879</v>
      </c>
      <c r="J316" s="5" t="s">
        <v>67</v>
      </c>
      <c r="K316" s="5" t="s">
        <v>694</v>
      </c>
      <c r="L316" s="15" t="s">
        <v>24</v>
      </c>
      <c r="M316" s="14" t="str">
        <f>_xlfn.XLOOKUP(F316,Department!$A$2:$A$6,Department!$B$2:$B$6)</f>
        <v>Finance</v>
      </c>
      <c r="N316" s="22">
        <f>_xlfn.XLOOKUP(A316,Performance!$A$2:$A$501,Performance!$C$2:$C$501)</f>
        <v>1</v>
      </c>
      <c r="O316" s="19" cm="1">
        <f t="array" ref="O316">_xlfn.IFS(N316=5,I316*15%,N316=4,I316*10%,N316=3,I316*7%,N316&lt;3,I316*5%)</f>
        <v>4943.9500000000007</v>
      </c>
    </row>
    <row r="317" spans="1:15">
      <c r="A317" s="4" t="s">
        <v>695</v>
      </c>
      <c r="B317" s="5" t="s">
        <v>58</v>
      </c>
      <c r="C317" s="5" t="s">
        <v>117</v>
      </c>
      <c r="D317" s="5" t="s">
        <v>19</v>
      </c>
      <c r="E317" s="5">
        <v>41</v>
      </c>
      <c r="F317" s="5" t="s">
        <v>43</v>
      </c>
      <c r="G317" s="5" t="s">
        <v>44</v>
      </c>
      <c r="H317" s="6">
        <v>43729</v>
      </c>
      <c r="I317" s="5">
        <v>41158</v>
      </c>
      <c r="J317" s="5" t="s">
        <v>22</v>
      </c>
      <c r="K317" s="5" t="s">
        <v>696</v>
      </c>
      <c r="L317" s="15" t="s">
        <v>39</v>
      </c>
      <c r="M317" s="14" t="str">
        <f>_xlfn.XLOOKUP(F317,Department!$A$2:$A$6,Department!$B$2:$B$6)</f>
        <v>Marketing</v>
      </c>
      <c r="N317" s="22">
        <f>_xlfn.XLOOKUP(A317,Performance!$A$2:$A$501,Performance!$C$2:$C$501)</f>
        <v>5</v>
      </c>
      <c r="O317" s="19" cm="1">
        <f t="array" ref="O317">_xlfn.IFS(N317=5,I317*15%,N317=4,I317*10%,N317=3,I317*7%,N317&lt;3,I317*5%)</f>
        <v>6173.7</v>
      </c>
    </row>
    <row r="318" spans="1:15">
      <c r="A318" s="4" t="s">
        <v>697</v>
      </c>
      <c r="B318" s="5" t="s">
        <v>58</v>
      </c>
      <c r="C318" s="5" t="s">
        <v>27</v>
      </c>
      <c r="D318" s="5" t="s">
        <v>28</v>
      </c>
      <c r="E318" s="5">
        <v>31</v>
      </c>
      <c r="F318" s="5" t="s">
        <v>35</v>
      </c>
      <c r="G318" s="5" t="s">
        <v>30</v>
      </c>
      <c r="H318" s="6">
        <v>43474</v>
      </c>
      <c r="I318" s="5">
        <v>57027</v>
      </c>
      <c r="J318" s="5" t="s">
        <v>37</v>
      </c>
      <c r="K318" s="5" t="s">
        <v>698</v>
      </c>
      <c r="L318" s="15" t="s">
        <v>39</v>
      </c>
      <c r="M318" s="14" t="str">
        <f>_xlfn.XLOOKUP(F318,Department!$A$2:$A$6,Department!$B$2:$B$6)</f>
        <v>Sales</v>
      </c>
      <c r="N318" s="22">
        <f>_xlfn.XLOOKUP(A318,Performance!$A$2:$A$501,Performance!$C$2:$C$501)</f>
        <v>2</v>
      </c>
      <c r="O318" s="19" cm="1">
        <f t="array" ref="O318">_xlfn.IFS(N318=5,I318*15%,N318=4,I318*10%,N318=3,I318*7%,N318&lt;3,I318*5%)</f>
        <v>2851.3500000000004</v>
      </c>
    </row>
    <row r="319" spans="1:15">
      <c r="A319" s="4" t="s">
        <v>699</v>
      </c>
      <c r="B319" s="5" t="s">
        <v>126</v>
      </c>
      <c r="C319" s="5" t="s">
        <v>117</v>
      </c>
      <c r="D319" s="5" t="s">
        <v>19</v>
      </c>
      <c r="E319" s="5">
        <v>24</v>
      </c>
      <c r="F319" s="5" t="s">
        <v>35</v>
      </c>
      <c r="G319" s="5" t="s">
        <v>30</v>
      </c>
      <c r="H319" s="6">
        <v>43449</v>
      </c>
      <c r="I319" s="5">
        <v>56782</v>
      </c>
      <c r="J319" s="5" t="s">
        <v>37</v>
      </c>
      <c r="K319" s="5" t="s">
        <v>700</v>
      </c>
      <c r="L319" s="15" t="s">
        <v>24</v>
      </c>
      <c r="M319" s="14" t="str">
        <f>_xlfn.XLOOKUP(F319,Department!$A$2:$A$6,Department!$B$2:$B$6)</f>
        <v>Sales</v>
      </c>
      <c r="N319" s="22">
        <f>_xlfn.XLOOKUP(A319,Performance!$A$2:$A$501,Performance!$C$2:$C$501)</f>
        <v>2</v>
      </c>
      <c r="O319" s="19" cm="1">
        <f t="array" ref="O319">_xlfn.IFS(N319=5,I319*15%,N319=4,I319*10%,N319=3,I319*7%,N319&lt;3,I319*5%)</f>
        <v>2839.1000000000004</v>
      </c>
    </row>
    <row r="320" spans="1:15">
      <c r="A320" s="4" t="s">
        <v>701</v>
      </c>
      <c r="B320" s="5" t="s">
        <v>42</v>
      </c>
      <c r="C320" s="5" t="s">
        <v>93</v>
      </c>
      <c r="D320" s="5" t="s">
        <v>19</v>
      </c>
      <c r="E320" s="5">
        <v>53</v>
      </c>
      <c r="F320" s="5" t="s">
        <v>35</v>
      </c>
      <c r="G320" s="5" t="s">
        <v>21</v>
      </c>
      <c r="H320" s="6">
        <v>44038</v>
      </c>
      <c r="I320" s="5">
        <v>50653</v>
      </c>
      <c r="J320" s="5" t="s">
        <v>22</v>
      </c>
      <c r="K320" s="5" t="s">
        <v>702</v>
      </c>
      <c r="L320" s="15" t="s">
        <v>39</v>
      </c>
      <c r="M320" s="14" t="str">
        <f>_xlfn.XLOOKUP(F320,Department!$A$2:$A$6,Department!$B$2:$B$6)</f>
        <v>Sales</v>
      </c>
      <c r="N320" s="22">
        <f>_xlfn.XLOOKUP(A320,Performance!$A$2:$A$501,Performance!$C$2:$C$501)</f>
        <v>3</v>
      </c>
      <c r="O320" s="19" cm="1">
        <f t="array" ref="O320">_xlfn.IFS(N320=5,I320*15%,N320=4,I320*10%,N320=3,I320*7%,N320&lt;3,I320*5%)</f>
        <v>3545.7100000000005</v>
      </c>
    </row>
    <row r="321" spans="1:15">
      <c r="A321" s="4" t="s">
        <v>703</v>
      </c>
      <c r="B321" s="5" t="s">
        <v>42</v>
      </c>
      <c r="C321" s="5" t="s">
        <v>84</v>
      </c>
      <c r="D321" s="5" t="s">
        <v>19</v>
      </c>
      <c r="E321" s="5">
        <v>37</v>
      </c>
      <c r="F321" s="5" t="s">
        <v>20</v>
      </c>
      <c r="G321" s="5" t="s">
        <v>44</v>
      </c>
      <c r="H321" s="6">
        <v>44316</v>
      </c>
      <c r="I321" s="5">
        <v>104915</v>
      </c>
      <c r="J321" s="5" t="s">
        <v>81</v>
      </c>
      <c r="K321" s="5" t="s">
        <v>704</v>
      </c>
      <c r="L321" s="15" t="s">
        <v>39</v>
      </c>
      <c r="M321" s="14" t="str">
        <f>_xlfn.XLOOKUP(F321,Department!$A$2:$A$6,Department!$B$2:$B$6)</f>
        <v>HR</v>
      </c>
      <c r="N321" s="22">
        <f>_xlfn.XLOOKUP(A321,Performance!$A$2:$A$501,Performance!$C$2:$C$501)</f>
        <v>2</v>
      </c>
      <c r="O321" s="19" cm="1">
        <f t="array" ref="O321">_xlfn.IFS(N321=5,I321*15%,N321=4,I321*10%,N321=3,I321*7%,N321&lt;3,I321*5%)</f>
        <v>5245.75</v>
      </c>
    </row>
    <row r="322" spans="1:15">
      <c r="A322" s="4" t="s">
        <v>705</v>
      </c>
      <c r="B322" s="5" t="s">
        <v>48</v>
      </c>
      <c r="C322" s="5" t="s">
        <v>93</v>
      </c>
      <c r="D322" s="5" t="s">
        <v>28</v>
      </c>
      <c r="E322" s="5">
        <v>43</v>
      </c>
      <c r="F322" s="5" t="s">
        <v>35</v>
      </c>
      <c r="G322" s="5" t="s">
        <v>44</v>
      </c>
      <c r="H322" s="6">
        <v>44814</v>
      </c>
      <c r="I322" s="5">
        <v>87776</v>
      </c>
      <c r="J322" s="5" t="s">
        <v>81</v>
      </c>
      <c r="K322" s="5" t="s">
        <v>706</v>
      </c>
      <c r="L322" s="15" t="s">
        <v>39</v>
      </c>
      <c r="M322" s="14" t="str">
        <f>_xlfn.XLOOKUP(F322,Department!$A$2:$A$6,Department!$B$2:$B$6)</f>
        <v>Sales</v>
      </c>
      <c r="N322" s="22">
        <f>_xlfn.XLOOKUP(A322,Performance!$A$2:$A$501,Performance!$C$2:$C$501)</f>
        <v>5</v>
      </c>
      <c r="O322" s="19" cm="1">
        <f t="array" ref="O322">_xlfn.IFS(N322=5,I322*15%,N322=4,I322*10%,N322=3,I322*7%,N322&lt;3,I322*5%)</f>
        <v>13166.4</v>
      </c>
    </row>
    <row r="323" spans="1:15">
      <c r="A323" s="4" t="s">
        <v>707</v>
      </c>
      <c r="B323" s="5" t="s">
        <v>61</v>
      </c>
      <c r="C323" s="5" t="s">
        <v>117</v>
      </c>
      <c r="D323" s="5" t="s">
        <v>19</v>
      </c>
      <c r="E323" s="5">
        <v>49</v>
      </c>
      <c r="F323" s="5" t="s">
        <v>43</v>
      </c>
      <c r="G323" s="5" t="s">
        <v>36</v>
      </c>
      <c r="H323" s="6">
        <v>43460</v>
      </c>
      <c r="I323" s="5">
        <v>52338</v>
      </c>
      <c r="J323" s="5" t="s">
        <v>62</v>
      </c>
      <c r="K323" s="5" t="s">
        <v>708</v>
      </c>
      <c r="L323" s="15" t="s">
        <v>39</v>
      </c>
      <c r="M323" s="14" t="str">
        <f>_xlfn.XLOOKUP(F323,Department!$A$2:$A$6,Department!$B$2:$B$6)</f>
        <v>Marketing</v>
      </c>
      <c r="N323" s="22">
        <f>_xlfn.XLOOKUP(A323,Performance!$A$2:$A$501,Performance!$C$2:$C$501)</f>
        <v>3</v>
      </c>
      <c r="O323" s="19" cm="1">
        <f t="array" ref="O323">_xlfn.IFS(N323=5,I323*15%,N323=4,I323*10%,N323=3,I323*7%,N323&lt;3,I323*5%)</f>
        <v>3663.6600000000003</v>
      </c>
    </row>
    <row r="324" spans="1:15">
      <c r="A324" s="4" t="s">
        <v>709</v>
      </c>
      <c r="B324" s="5" t="s">
        <v>34</v>
      </c>
      <c r="C324" s="5" t="s">
        <v>49</v>
      </c>
      <c r="D324" s="5" t="s">
        <v>19</v>
      </c>
      <c r="E324" s="5">
        <v>53</v>
      </c>
      <c r="F324" s="5" t="s">
        <v>43</v>
      </c>
      <c r="G324" s="5" t="s">
        <v>36</v>
      </c>
      <c r="H324" s="6">
        <v>44324</v>
      </c>
      <c r="I324" s="5">
        <v>45630</v>
      </c>
      <c r="J324" s="5" t="s">
        <v>67</v>
      </c>
      <c r="K324" s="5" t="s">
        <v>710</v>
      </c>
      <c r="L324" s="15" t="s">
        <v>39</v>
      </c>
      <c r="M324" s="14" t="str">
        <f>_xlfn.XLOOKUP(F324,Department!$A$2:$A$6,Department!$B$2:$B$6)</f>
        <v>Marketing</v>
      </c>
      <c r="N324" s="22">
        <f>_xlfn.XLOOKUP(A324,Performance!$A$2:$A$501,Performance!$C$2:$C$501)</f>
        <v>3</v>
      </c>
      <c r="O324" s="19" cm="1">
        <f t="array" ref="O324">_xlfn.IFS(N324=5,I324*15%,N324=4,I324*10%,N324=3,I324*7%,N324&lt;3,I324*5%)</f>
        <v>3194.1000000000004</v>
      </c>
    </row>
    <row r="325" spans="1:15">
      <c r="A325" s="4" t="s">
        <v>711</v>
      </c>
      <c r="B325" s="5" t="s">
        <v>42</v>
      </c>
      <c r="C325" s="5" t="s">
        <v>49</v>
      </c>
      <c r="D325" s="5" t="s">
        <v>28</v>
      </c>
      <c r="E325" s="5">
        <v>44</v>
      </c>
      <c r="F325" s="5" t="s">
        <v>43</v>
      </c>
      <c r="G325" s="5" t="s">
        <v>36</v>
      </c>
      <c r="H325" s="6">
        <v>44658</v>
      </c>
      <c r="I325" s="5">
        <v>80403</v>
      </c>
      <c r="J325" s="5" t="s">
        <v>62</v>
      </c>
      <c r="K325" s="5" t="s">
        <v>712</v>
      </c>
      <c r="L325" s="15" t="s">
        <v>24</v>
      </c>
      <c r="M325" s="14" t="str">
        <f>_xlfn.XLOOKUP(F325,Department!$A$2:$A$6,Department!$B$2:$B$6)</f>
        <v>Marketing</v>
      </c>
      <c r="N325" s="22">
        <f>_xlfn.XLOOKUP(A325,Performance!$A$2:$A$501,Performance!$C$2:$C$501)</f>
        <v>4</v>
      </c>
      <c r="O325" s="19" cm="1">
        <f t="array" ref="O325">_xlfn.IFS(N325=5,I325*15%,N325=4,I325*10%,N325=3,I325*7%,N325&lt;3,I325*5%)</f>
        <v>8040.3</v>
      </c>
    </row>
    <row r="326" spans="1:15">
      <c r="A326" s="4" t="s">
        <v>713</v>
      </c>
      <c r="B326" s="5" t="s">
        <v>48</v>
      </c>
      <c r="C326" s="5" t="s">
        <v>49</v>
      </c>
      <c r="D326" s="5" t="s">
        <v>28</v>
      </c>
      <c r="E326" s="5">
        <v>51</v>
      </c>
      <c r="F326" s="5" t="s">
        <v>43</v>
      </c>
      <c r="G326" s="5" t="s">
        <v>30</v>
      </c>
      <c r="H326" s="6">
        <v>43531</v>
      </c>
      <c r="I326" s="5">
        <v>82902</v>
      </c>
      <c r="J326" s="5" t="s">
        <v>81</v>
      </c>
      <c r="K326" s="5" t="s">
        <v>714</v>
      </c>
      <c r="L326" s="15" t="s">
        <v>39</v>
      </c>
      <c r="M326" s="14" t="str">
        <f>_xlfn.XLOOKUP(F326,Department!$A$2:$A$6,Department!$B$2:$B$6)</f>
        <v>Marketing</v>
      </c>
      <c r="N326" s="22">
        <f>_xlfn.XLOOKUP(A326,Performance!$A$2:$A$501,Performance!$C$2:$C$501)</f>
        <v>1</v>
      </c>
      <c r="O326" s="19" cm="1">
        <f t="array" ref="O326">_xlfn.IFS(N326=5,I326*15%,N326=4,I326*10%,N326=3,I326*7%,N326&lt;3,I326*5%)</f>
        <v>4145.1000000000004</v>
      </c>
    </row>
    <row r="327" spans="1:15">
      <c r="A327" s="4" t="s">
        <v>715</v>
      </c>
      <c r="B327" s="5" t="s">
        <v>17</v>
      </c>
      <c r="C327" s="5" t="s">
        <v>141</v>
      </c>
      <c r="D327" s="5" t="s">
        <v>28</v>
      </c>
      <c r="E327" s="5">
        <v>46</v>
      </c>
      <c r="F327" s="5" t="s">
        <v>43</v>
      </c>
      <c r="G327" s="5" t="s">
        <v>102</v>
      </c>
      <c r="H327" s="6">
        <v>43510</v>
      </c>
      <c r="I327" s="5">
        <v>89841</v>
      </c>
      <c r="J327" s="5" t="s">
        <v>81</v>
      </c>
      <c r="K327" s="5" t="s">
        <v>716</v>
      </c>
      <c r="L327" s="15" t="s">
        <v>24</v>
      </c>
      <c r="M327" s="14" t="str">
        <f>_xlfn.XLOOKUP(F327,Department!$A$2:$A$6,Department!$B$2:$B$6)</f>
        <v>Marketing</v>
      </c>
      <c r="N327" s="22">
        <f>_xlfn.XLOOKUP(A327,Performance!$A$2:$A$501,Performance!$C$2:$C$501)</f>
        <v>1</v>
      </c>
      <c r="O327" s="19" cm="1">
        <f t="array" ref="O327">_xlfn.IFS(N327=5,I327*15%,N327=4,I327*10%,N327=3,I327*7%,N327&lt;3,I327*5%)</f>
        <v>4492.05</v>
      </c>
    </row>
    <row r="328" spans="1:15">
      <c r="A328" s="4" t="s">
        <v>717</v>
      </c>
      <c r="B328" s="5" t="s">
        <v>58</v>
      </c>
      <c r="C328" s="5" t="s">
        <v>89</v>
      </c>
      <c r="D328" s="5" t="s">
        <v>28</v>
      </c>
      <c r="E328" s="5">
        <v>36</v>
      </c>
      <c r="F328" s="5" t="s">
        <v>29</v>
      </c>
      <c r="G328" s="5" t="s">
        <v>30</v>
      </c>
      <c r="H328" s="6">
        <v>45057</v>
      </c>
      <c r="I328" s="5">
        <v>112396</v>
      </c>
      <c r="J328" s="5" t="s">
        <v>62</v>
      </c>
      <c r="K328" s="5" t="s">
        <v>718</v>
      </c>
      <c r="L328" s="15" t="s">
        <v>24</v>
      </c>
      <c r="M328" s="14" t="str">
        <f>_xlfn.XLOOKUP(F328,Department!$A$2:$A$6,Department!$B$2:$B$6)</f>
        <v>IT</v>
      </c>
      <c r="N328" s="22">
        <f>_xlfn.XLOOKUP(A328,Performance!$A$2:$A$501,Performance!$C$2:$C$501)</f>
        <v>5</v>
      </c>
      <c r="O328" s="19" cm="1">
        <f t="array" ref="O328">_xlfn.IFS(N328=5,I328*15%,N328=4,I328*10%,N328=3,I328*7%,N328&lt;3,I328*5%)</f>
        <v>16859.399999999998</v>
      </c>
    </row>
    <row r="329" spans="1:15">
      <c r="A329" s="4" t="s">
        <v>719</v>
      </c>
      <c r="B329" s="5" t="s">
        <v>58</v>
      </c>
      <c r="C329" s="5" t="s">
        <v>27</v>
      </c>
      <c r="D329" s="5" t="s">
        <v>28</v>
      </c>
      <c r="E329" s="5">
        <v>39</v>
      </c>
      <c r="F329" s="5" t="s">
        <v>20</v>
      </c>
      <c r="G329" s="5" t="s">
        <v>102</v>
      </c>
      <c r="H329" s="6">
        <v>44850</v>
      </c>
      <c r="I329" s="5">
        <v>91433</v>
      </c>
      <c r="J329" s="5" t="s">
        <v>81</v>
      </c>
      <c r="K329" s="5" t="s">
        <v>720</v>
      </c>
      <c r="L329" s="15" t="s">
        <v>39</v>
      </c>
      <c r="M329" s="14" t="str">
        <f>_xlfn.XLOOKUP(F329,Department!$A$2:$A$6,Department!$B$2:$B$6)</f>
        <v>HR</v>
      </c>
      <c r="N329" s="22">
        <f>_xlfn.XLOOKUP(A329,Performance!$A$2:$A$501,Performance!$C$2:$C$501)</f>
        <v>5</v>
      </c>
      <c r="O329" s="19" cm="1">
        <f t="array" ref="O329">_xlfn.IFS(N329=5,I329*15%,N329=4,I329*10%,N329=3,I329*7%,N329&lt;3,I329*5%)</f>
        <v>13714.949999999999</v>
      </c>
    </row>
    <row r="330" spans="1:15">
      <c r="A330" s="4" t="s">
        <v>721</v>
      </c>
      <c r="B330" s="5" t="s">
        <v>53</v>
      </c>
      <c r="C330" s="5" t="s">
        <v>93</v>
      </c>
      <c r="D330" s="5" t="s">
        <v>19</v>
      </c>
      <c r="E330" s="5">
        <v>58</v>
      </c>
      <c r="F330" s="5" t="s">
        <v>43</v>
      </c>
      <c r="G330" s="5" t="s">
        <v>36</v>
      </c>
      <c r="H330" s="6">
        <v>44282</v>
      </c>
      <c r="I330" s="5">
        <v>75628</v>
      </c>
      <c r="J330" s="5" t="s">
        <v>62</v>
      </c>
      <c r="K330" s="5" t="s">
        <v>722</v>
      </c>
      <c r="L330" s="15" t="s">
        <v>24</v>
      </c>
      <c r="M330" s="14" t="str">
        <f>_xlfn.XLOOKUP(F330,Department!$A$2:$A$6,Department!$B$2:$B$6)</f>
        <v>Marketing</v>
      </c>
      <c r="N330" s="22">
        <f>_xlfn.XLOOKUP(A330,Performance!$A$2:$A$501,Performance!$C$2:$C$501)</f>
        <v>5</v>
      </c>
      <c r="O330" s="19" cm="1">
        <f t="array" ref="O330">_xlfn.IFS(N330=5,I330*15%,N330=4,I330*10%,N330=3,I330*7%,N330&lt;3,I330*5%)</f>
        <v>11344.199999999999</v>
      </c>
    </row>
    <row r="331" spans="1:15">
      <c r="A331" s="4" t="s">
        <v>723</v>
      </c>
      <c r="B331" s="5" t="s">
        <v>17</v>
      </c>
      <c r="C331" s="5" t="s">
        <v>49</v>
      </c>
      <c r="D331" s="5" t="s">
        <v>19</v>
      </c>
      <c r="E331" s="5">
        <v>56</v>
      </c>
      <c r="F331" s="5" t="s">
        <v>54</v>
      </c>
      <c r="G331" s="5" t="s">
        <v>21</v>
      </c>
      <c r="H331" s="6">
        <v>45005</v>
      </c>
      <c r="I331" s="5">
        <v>68036</v>
      </c>
      <c r="J331" s="5" t="s">
        <v>81</v>
      </c>
      <c r="K331" s="5" t="s">
        <v>724</v>
      </c>
      <c r="L331" s="15" t="s">
        <v>39</v>
      </c>
      <c r="M331" s="14" t="str">
        <f>_xlfn.XLOOKUP(F331,Department!$A$2:$A$6,Department!$B$2:$B$6)</f>
        <v>Finance</v>
      </c>
      <c r="N331" s="22">
        <f>_xlfn.XLOOKUP(A331,Performance!$A$2:$A$501,Performance!$C$2:$C$501)</f>
        <v>1</v>
      </c>
      <c r="O331" s="19" cm="1">
        <f t="array" ref="O331">_xlfn.IFS(N331=5,I331*15%,N331=4,I331*10%,N331=3,I331*7%,N331&lt;3,I331*5%)</f>
        <v>3401.8</v>
      </c>
    </row>
    <row r="332" spans="1:15">
      <c r="A332" s="4" t="s">
        <v>725</v>
      </c>
      <c r="B332" s="5" t="s">
        <v>92</v>
      </c>
      <c r="C332" s="5" t="s">
        <v>80</v>
      </c>
      <c r="D332" s="5" t="s">
        <v>28</v>
      </c>
      <c r="E332" s="5">
        <v>50</v>
      </c>
      <c r="F332" s="5" t="s">
        <v>20</v>
      </c>
      <c r="G332" s="5" t="s">
        <v>102</v>
      </c>
      <c r="H332" s="6">
        <v>44682</v>
      </c>
      <c r="I332" s="5">
        <v>61746</v>
      </c>
      <c r="J332" s="5" t="s">
        <v>67</v>
      </c>
      <c r="K332" s="5" t="s">
        <v>726</v>
      </c>
      <c r="L332" s="15" t="s">
        <v>39</v>
      </c>
      <c r="M332" s="14" t="str">
        <f>_xlfn.XLOOKUP(F332,Department!$A$2:$A$6,Department!$B$2:$B$6)</f>
        <v>HR</v>
      </c>
      <c r="N332" s="22">
        <f>_xlfn.XLOOKUP(A332,Performance!$A$2:$A$501,Performance!$C$2:$C$501)</f>
        <v>1</v>
      </c>
      <c r="O332" s="19" cm="1">
        <f t="array" ref="O332">_xlfn.IFS(N332=5,I332*15%,N332=4,I332*10%,N332=3,I332*7%,N332&lt;3,I332*5%)</f>
        <v>3087.3</v>
      </c>
    </row>
    <row r="333" spans="1:15">
      <c r="A333" s="4" t="s">
        <v>727</v>
      </c>
      <c r="B333" s="5" t="s">
        <v>126</v>
      </c>
      <c r="C333" s="5" t="s">
        <v>66</v>
      </c>
      <c r="D333" s="5" t="s">
        <v>19</v>
      </c>
      <c r="E333" s="5">
        <v>26</v>
      </c>
      <c r="F333" s="5" t="s">
        <v>20</v>
      </c>
      <c r="G333" s="5" t="s">
        <v>102</v>
      </c>
      <c r="H333" s="6">
        <v>44769</v>
      </c>
      <c r="I333" s="5">
        <v>47221</v>
      </c>
      <c r="J333" s="5" t="s">
        <v>62</v>
      </c>
      <c r="K333" s="5" t="s">
        <v>728</v>
      </c>
      <c r="L333" s="15" t="s">
        <v>39</v>
      </c>
      <c r="M333" s="14" t="str">
        <f>_xlfn.XLOOKUP(F333,Department!$A$2:$A$6,Department!$B$2:$B$6)</f>
        <v>HR</v>
      </c>
      <c r="N333" s="22">
        <f>_xlfn.XLOOKUP(A333,Performance!$A$2:$A$501,Performance!$C$2:$C$501)</f>
        <v>5</v>
      </c>
      <c r="O333" s="19" cm="1">
        <f t="array" ref="O333">_xlfn.IFS(N333=5,I333*15%,N333=4,I333*10%,N333=3,I333*7%,N333&lt;3,I333*5%)</f>
        <v>7083.15</v>
      </c>
    </row>
    <row r="334" spans="1:15">
      <c r="A334" s="4" t="s">
        <v>729</v>
      </c>
      <c r="B334" s="5" t="s">
        <v>74</v>
      </c>
      <c r="C334" s="5" t="s">
        <v>141</v>
      </c>
      <c r="D334" s="5" t="s">
        <v>19</v>
      </c>
      <c r="E334" s="5">
        <v>32</v>
      </c>
      <c r="F334" s="5" t="s">
        <v>35</v>
      </c>
      <c r="G334" s="5" t="s">
        <v>102</v>
      </c>
      <c r="H334" s="6">
        <v>44994</v>
      </c>
      <c r="I334" s="5">
        <v>75595</v>
      </c>
      <c r="J334" s="5" t="s">
        <v>22</v>
      </c>
      <c r="K334" s="5" t="s">
        <v>730</v>
      </c>
      <c r="L334" s="15" t="s">
        <v>24</v>
      </c>
      <c r="M334" s="14" t="str">
        <f>_xlfn.XLOOKUP(F334,Department!$A$2:$A$6,Department!$B$2:$B$6)</f>
        <v>Sales</v>
      </c>
      <c r="N334" s="22">
        <f>_xlfn.XLOOKUP(A334,Performance!$A$2:$A$501,Performance!$C$2:$C$501)</f>
        <v>3</v>
      </c>
      <c r="O334" s="19" cm="1">
        <f t="array" ref="O334">_xlfn.IFS(N334=5,I334*15%,N334=4,I334*10%,N334=3,I334*7%,N334&lt;3,I334*5%)</f>
        <v>5291.6500000000005</v>
      </c>
    </row>
    <row r="335" spans="1:15">
      <c r="A335" s="4" t="s">
        <v>731</v>
      </c>
      <c r="B335" s="5" t="s">
        <v>42</v>
      </c>
      <c r="C335" s="5" t="s">
        <v>84</v>
      </c>
      <c r="D335" s="5" t="s">
        <v>19</v>
      </c>
      <c r="E335" s="5">
        <v>46</v>
      </c>
      <c r="F335" s="5" t="s">
        <v>54</v>
      </c>
      <c r="G335" s="5" t="s">
        <v>21</v>
      </c>
      <c r="H335" s="6">
        <v>43512</v>
      </c>
      <c r="I335" s="5">
        <v>104179</v>
      </c>
      <c r="J335" s="5" t="s">
        <v>37</v>
      </c>
      <c r="K335" s="5" t="s">
        <v>732</v>
      </c>
      <c r="L335" s="15" t="s">
        <v>39</v>
      </c>
      <c r="M335" s="14" t="str">
        <f>_xlfn.XLOOKUP(F335,Department!$A$2:$A$6,Department!$B$2:$B$6)</f>
        <v>Finance</v>
      </c>
      <c r="N335" s="22">
        <f>_xlfn.XLOOKUP(A335,Performance!$A$2:$A$501,Performance!$C$2:$C$501)</f>
        <v>3</v>
      </c>
      <c r="O335" s="19" cm="1">
        <f t="array" ref="O335">_xlfn.IFS(N335=5,I335*15%,N335=4,I335*10%,N335=3,I335*7%,N335&lt;3,I335*5%)</f>
        <v>7292.5300000000007</v>
      </c>
    </row>
    <row r="336" spans="1:15">
      <c r="A336" s="4" t="s">
        <v>733</v>
      </c>
      <c r="B336" s="5" t="s">
        <v>48</v>
      </c>
      <c r="C336" s="5" t="s">
        <v>117</v>
      </c>
      <c r="D336" s="5" t="s">
        <v>19</v>
      </c>
      <c r="E336" s="5">
        <v>37</v>
      </c>
      <c r="F336" s="5" t="s">
        <v>20</v>
      </c>
      <c r="G336" s="5" t="s">
        <v>102</v>
      </c>
      <c r="H336" s="6">
        <v>45305</v>
      </c>
      <c r="I336" s="5">
        <v>46212</v>
      </c>
      <c r="J336" s="5" t="s">
        <v>22</v>
      </c>
      <c r="K336" s="5" t="s">
        <v>734</v>
      </c>
      <c r="L336" s="15" t="s">
        <v>24</v>
      </c>
      <c r="M336" s="14" t="str">
        <f>_xlfn.XLOOKUP(F336,Department!$A$2:$A$6,Department!$B$2:$B$6)</f>
        <v>HR</v>
      </c>
      <c r="N336" s="22">
        <f>_xlfn.XLOOKUP(A336,Performance!$A$2:$A$501,Performance!$C$2:$C$501)</f>
        <v>1</v>
      </c>
      <c r="O336" s="19" cm="1">
        <f t="array" ref="O336">_xlfn.IFS(N336=5,I336*15%,N336=4,I336*10%,N336=3,I336*7%,N336&lt;3,I336*5%)</f>
        <v>2310.6</v>
      </c>
    </row>
    <row r="337" spans="1:15">
      <c r="A337" s="4" t="s">
        <v>735</v>
      </c>
      <c r="B337" s="5" t="s">
        <v>61</v>
      </c>
      <c r="C337" s="5" t="s">
        <v>89</v>
      </c>
      <c r="D337" s="5" t="s">
        <v>28</v>
      </c>
      <c r="E337" s="5">
        <v>47</v>
      </c>
      <c r="F337" s="5" t="s">
        <v>43</v>
      </c>
      <c r="G337" s="5" t="s">
        <v>44</v>
      </c>
      <c r="H337" s="6">
        <v>44071</v>
      </c>
      <c r="I337" s="5">
        <v>39091</v>
      </c>
      <c r="J337" s="5" t="s">
        <v>81</v>
      </c>
      <c r="K337" s="5" t="s">
        <v>736</v>
      </c>
      <c r="L337" s="15" t="s">
        <v>24</v>
      </c>
      <c r="M337" s="14" t="str">
        <f>_xlfn.XLOOKUP(F337,Department!$A$2:$A$6,Department!$B$2:$B$6)</f>
        <v>Marketing</v>
      </c>
      <c r="N337" s="22">
        <f>_xlfn.XLOOKUP(A337,Performance!$A$2:$A$501,Performance!$C$2:$C$501)</f>
        <v>2</v>
      </c>
      <c r="O337" s="19" cm="1">
        <f t="array" ref="O337">_xlfn.IFS(N337=5,I337*15%,N337=4,I337*10%,N337=3,I337*7%,N337&lt;3,I337*5%)</f>
        <v>1954.5500000000002</v>
      </c>
    </row>
    <row r="338" spans="1:15">
      <c r="A338" s="4" t="s">
        <v>737</v>
      </c>
      <c r="B338" s="5" t="s">
        <v>34</v>
      </c>
      <c r="C338" s="5" t="s">
        <v>84</v>
      </c>
      <c r="D338" s="5" t="s">
        <v>28</v>
      </c>
      <c r="E338" s="5">
        <v>43</v>
      </c>
      <c r="F338" s="5" t="s">
        <v>35</v>
      </c>
      <c r="G338" s="5" t="s">
        <v>44</v>
      </c>
      <c r="H338" s="6">
        <v>45515</v>
      </c>
      <c r="I338" s="5">
        <v>73436</v>
      </c>
      <c r="J338" s="5" t="s">
        <v>62</v>
      </c>
      <c r="K338" s="5" t="s">
        <v>738</v>
      </c>
      <c r="L338" s="15" t="s">
        <v>39</v>
      </c>
      <c r="M338" s="14" t="str">
        <f>_xlfn.XLOOKUP(F338,Department!$A$2:$A$6,Department!$B$2:$B$6)</f>
        <v>Sales</v>
      </c>
      <c r="N338" s="22">
        <f>_xlfn.XLOOKUP(A338,Performance!$A$2:$A$501,Performance!$C$2:$C$501)</f>
        <v>1</v>
      </c>
      <c r="O338" s="19" cm="1">
        <f t="array" ref="O338">_xlfn.IFS(N338=5,I338*15%,N338=4,I338*10%,N338=3,I338*7%,N338&lt;3,I338*5%)</f>
        <v>3671.8</v>
      </c>
    </row>
    <row r="339" spans="1:15">
      <c r="A339" s="4" t="s">
        <v>739</v>
      </c>
      <c r="B339" s="5" t="s">
        <v>126</v>
      </c>
      <c r="C339" s="5" t="s">
        <v>80</v>
      </c>
      <c r="D339" s="5" t="s">
        <v>19</v>
      </c>
      <c r="E339" s="5">
        <v>57</v>
      </c>
      <c r="F339" s="5" t="s">
        <v>29</v>
      </c>
      <c r="G339" s="5" t="s">
        <v>44</v>
      </c>
      <c r="H339" s="6">
        <v>43945</v>
      </c>
      <c r="I339" s="5">
        <v>62199</v>
      </c>
      <c r="J339" s="5" t="s">
        <v>62</v>
      </c>
      <c r="K339" s="5" t="s">
        <v>740</v>
      </c>
      <c r="L339" s="15" t="s">
        <v>24</v>
      </c>
      <c r="M339" s="14" t="str">
        <f>_xlfn.XLOOKUP(F339,Department!$A$2:$A$6,Department!$B$2:$B$6)</f>
        <v>IT</v>
      </c>
      <c r="N339" s="22">
        <f>_xlfn.XLOOKUP(A339,Performance!$A$2:$A$501,Performance!$C$2:$C$501)</f>
        <v>1</v>
      </c>
      <c r="O339" s="19" cm="1">
        <f t="array" ref="O339">_xlfn.IFS(N339=5,I339*15%,N339=4,I339*10%,N339=3,I339*7%,N339&lt;3,I339*5%)</f>
        <v>3109.9500000000003</v>
      </c>
    </row>
    <row r="340" spans="1:15">
      <c r="A340" s="4" t="s">
        <v>741</v>
      </c>
      <c r="B340" s="5" t="s">
        <v>58</v>
      </c>
      <c r="C340" s="5" t="s">
        <v>93</v>
      </c>
      <c r="D340" s="5" t="s">
        <v>28</v>
      </c>
      <c r="E340" s="5">
        <v>41</v>
      </c>
      <c r="F340" s="5" t="s">
        <v>54</v>
      </c>
      <c r="G340" s="5" t="s">
        <v>30</v>
      </c>
      <c r="H340" s="6">
        <v>45464</v>
      </c>
      <c r="I340" s="5">
        <v>53338</v>
      </c>
      <c r="J340" s="5" t="s">
        <v>37</v>
      </c>
      <c r="K340" s="5" t="s">
        <v>742</v>
      </c>
      <c r="L340" s="15" t="s">
        <v>24</v>
      </c>
      <c r="M340" s="14" t="str">
        <f>_xlfn.XLOOKUP(F340,Department!$A$2:$A$6,Department!$B$2:$B$6)</f>
        <v>Finance</v>
      </c>
      <c r="N340" s="22">
        <f>_xlfn.XLOOKUP(A340,Performance!$A$2:$A$501,Performance!$C$2:$C$501)</f>
        <v>3</v>
      </c>
      <c r="O340" s="19" cm="1">
        <f t="array" ref="O340">_xlfn.IFS(N340=5,I340*15%,N340=4,I340*10%,N340=3,I340*7%,N340&lt;3,I340*5%)</f>
        <v>3733.6600000000003</v>
      </c>
    </row>
    <row r="341" spans="1:15">
      <c r="A341" s="4" t="s">
        <v>743</v>
      </c>
      <c r="B341" s="5" t="s">
        <v>92</v>
      </c>
      <c r="C341" s="5" t="s">
        <v>49</v>
      </c>
      <c r="D341" s="5" t="s">
        <v>19</v>
      </c>
      <c r="E341" s="5">
        <v>38</v>
      </c>
      <c r="F341" s="5" t="s">
        <v>29</v>
      </c>
      <c r="G341" s="5" t="s">
        <v>102</v>
      </c>
      <c r="H341" s="6">
        <v>43288</v>
      </c>
      <c r="I341" s="5">
        <v>64542</v>
      </c>
      <c r="J341" s="5" t="s">
        <v>67</v>
      </c>
      <c r="K341" s="5" t="s">
        <v>744</v>
      </c>
      <c r="L341" s="15" t="s">
        <v>24</v>
      </c>
      <c r="M341" s="14" t="str">
        <f>_xlfn.XLOOKUP(F341,Department!$A$2:$A$6,Department!$B$2:$B$6)</f>
        <v>IT</v>
      </c>
      <c r="N341" s="22">
        <f>_xlfn.XLOOKUP(A341,Performance!$A$2:$A$501,Performance!$C$2:$C$501)</f>
        <v>3</v>
      </c>
      <c r="O341" s="19" cm="1">
        <f t="array" ref="O341">_xlfn.IFS(N341=5,I341*15%,N341=4,I341*10%,N341=3,I341*7%,N341&lt;3,I341*5%)</f>
        <v>4517.9400000000005</v>
      </c>
    </row>
    <row r="342" spans="1:15">
      <c r="A342" s="4" t="s">
        <v>745</v>
      </c>
      <c r="B342" s="5" t="s">
        <v>61</v>
      </c>
      <c r="C342" s="5" t="s">
        <v>117</v>
      </c>
      <c r="D342" s="5" t="s">
        <v>19</v>
      </c>
      <c r="E342" s="5">
        <v>59</v>
      </c>
      <c r="F342" s="5" t="s">
        <v>35</v>
      </c>
      <c r="G342" s="5" t="s">
        <v>102</v>
      </c>
      <c r="H342" s="6">
        <v>45440</v>
      </c>
      <c r="I342" s="5">
        <v>38117</v>
      </c>
      <c r="J342" s="5" t="s">
        <v>37</v>
      </c>
      <c r="K342" s="5" t="s">
        <v>746</v>
      </c>
      <c r="L342" s="15" t="s">
        <v>24</v>
      </c>
      <c r="M342" s="14" t="str">
        <f>_xlfn.XLOOKUP(F342,Department!$A$2:$A$6,Department!$B$2:$B$6)</f>
        <v>Sales</v>
      </c>
      <c r="N342" s="22">
        <f>_xlfn.XLOOKUP(A342,Performance!$A$2:$A$501,Performance!$C$2:$C$501)</f>
        <v>2</v>
      </c>
      <c r="O342" s="19" cm="1">
        <f t="array" ref="O342">_xlfn.IFS(N342=5,I342*15%,N342=4,I342*10%,N342=3,I342*7%,N342&lt;3,I342*5%)</f>
        <v>1905.8500000000001</v>
      </c>
    </row>
    <row r="343" spans="1:15">
      <c r="A343" s="4" t="s">
        <v>747</v>
      </c>
      <c r="B343" s="5" t="s">
        <v>34</v>
      </c>
      <c r="C343" s="5" t="s">
        <v>84</v>
      </c>
      <c r="D343" s="5" t="s">
        <v>28</v>
      </c>
      <c r="E343" s="5">
        <v>25</v>
      </c>
      <c r="F343" s="5" t="s">
        <v>20</v>
      </c>
      <c r="G343" s="5" t="s">
        <v>102</v>
      </c>
      <c r="H343" s="6">
        <v>45388</v>
      </c>
      <c r="I343" s="5">
        <v>101879</v>
      </c>
      <c r="J343" s="5" t="s">
        <v>22</v>
      </c>
      <c r="K343" s="5" t="s">
        <v>748</v>
      </c>
      <c r="L343" s="15" t="s">
        <v>24</v>
      </c>
      <c r="M343" s="14" t="str">
        <f>_xlfn.XLOOKUP(F343,Department!$A$2:$A$6,Department!$B$2:$B$6)</f>
        <v>HR</v>
      </c>
      <c r="N343" s="22">
        <f>_xlfn.XLOOKUP(A343,Performance!$A$2:$A$501,Performance!$C$2:$C$501)</f>
        <v>5</v>
      </c>
      <c r="O343" s="19" cm="1">
        <f t="array" ref="O343">_xlfn.IFS(N343=5,I343*15%,N343=4,I343*10%,N343=3,I343*7%,N343&lt;3,I343*5%)</f>
        <v>15281.849999999999</v>
      </c>
    </row>
    <row r="344" spans="1:15">
      <c r="A344" s="4" t="s">
        <v>749</v>
      </c>
      <c r="B344" s="5" t="s">
        <v>74</v>
      </c>
      <c r="C344" s="5" t="s">
        <v>27</v>
      </c>
      <c r="D344" s="5" t="s">
        <v>28</v>
      </c>
      <c r="E344" s="5">
        <v>43</v>
      </c>
      <c r="F344" s="5" t="s">
        <v>29</v>
      </c>
      <c r="G344" s="5" t="s">
        <v>102</v>
      </c>
      <c r="H344" s="6">
        <v>43859</v>
      </c>
      <c r="I344" s="5">
        <v>78777</v>
      </c>
      <c r="J344" s="5" t="s">
        <v>67</v>
      </c>
      <c r="K344" s="5" t="s">
        <v>750</v>
      </c>
      <c r="L344" s="15" t="s">
        <v>24</v>
      </c>
      <c r="M344" s="14" t="str">
        <f>_xlfn.XLOOKUP(F344,Department!$A$2:$A$6,Department!$B$2:$B$6)</f>
        <v>IT</v>
      </c>
      <c r="N344" s="22">
        <f>_xlfn.XLOOKUP(A344,Performance!$A$2:$A$501,Performance!$C$2:$C$501)</f>
        <v>4</v>
      </c>
      <c r="O344" s="19" cm="1">
        <f t="array" ref="O344">_xlfn.IFS(N344=5,I344*15%,N344=4,I344*10%,N344=3,I344*7%,N344&lt;3,I344*5%)</f>
        <v>7877.7000000000007</v>
      </c>
    </row>
    <row r="345" spans="1:15">
      <c r="A345" s="4" t="s">
        <v>751</v>
      </c>
      <c r="B345" s="5" t="s">
        <v>34</v>
      </c>
      <c r="C345" s="5" t="s">
        <v>93</v>
      </c>
      <c r="D345" s="5" t="s">
        <v>19</v>
      </c>
      <c r="E345" s="5">
        <v>33</v>
      </c>
      <c r="F345" s="5" t="s">
        <v>20</v>
      </c>
      <c r="G345" s="5" t="s">
        <v>102</v>
      </c>
      <c r="H345" s="6">
        <v>44908</v>
      </c>
      <c r="I345" s="5">
        <v>43206</v>
      </c>
      <c r="J345" s="5" t="s">
        <v>67</v>
      </c>
      <c r="K345" s="5" t="s">
        <v>752</v>
      </c>
      <c r="L345" s="15" t="s">
        <v>39</v>
      </c>
      <c r="M345" s="14" t="str">
        <f>_xlfn.XLOOKUP(F345,Department!$A$2:$A$6,Department!$B$2:$B$6)</f>
        <v>HR</v>
      </c>
      <c r="N345" s="22">
        <f>_xlfn.XLOOKUP(A345,Performance!$A$2:$A$501,Performance!$C$2:$C$501)</f>
        <v>5</v>
      </c>
      <c r="O345" s="19" cm="1">
        <f t="array" ref="O345">_xlfn.IFS(N345=5,I345*15%,N345=4,I345*10%,N345=3,I345*7%,N345&lt;3,I345*5%)</f>
        <v>6480.9</v>
      </c>
    </row>
    <row r="346" spans="1:15">
      <c r="A346" s="4" t="s">
        <v>753</v>
      </c>
      <c r="B346" s="5" t="s">
        <v>74</v>
      </c>
      <c r="C346" s="5" t="s">
        <v>89</v>
      </c>
      <c r="D346" s="5" t="s">
        <v>19</v>
      </c>
      <c r="E346" s="5">
        <v>42</v>
      </c>
      <c r="F346" s="5" t="s">
        <v>54</v>
      </c>
      <c r="G346" s="5" t="s">
        <v>30</v>
      </c>
      <c r="H346" s="6">
        <v>43760</v>
      </c>
      <c r="I346" s="5">
        <v>80745</v>
      </c>
      <c r="J346" s="5" t="s">
        <v>81</v>
      </c>
      <c r="K346" s="5" t="s">
        <v>754</v>
      </c>
      <c r="L346" s="15" t="s">
        <v>39</v>
      </c>
      <c r="M346" s="14" t="str">
        <f>_xlfn.XLOOKUP(F346,Department!$A$2:$A$6,Department!$B$2:$B$6)</f>
        <v>Finance</v>
      </c>
      <c r="N346" s="22">
        <f>_xlfn.XLOOKUP(A346,Performance!$A$2:$A$501,Performance!$C$2:$C$501)</f>
        <v>2</v>
      </c>
      <c r="O346" s="19" cm="1">
        <f t="array" ref="O346">_xlfn.IFS(N346=5,I346*15%,N346=4,I346*10%,N346=3,I346*7%,N346&lt;3,I346*5%)</f>
        <v>4037.25</v>
      </c>
    </row>
    <row r="347" spans="1:15">
      <c r="A347" s="4" t="s">
        <v>755</v>
      </c>
      <c r="B347" s="5" t="s">
        <v>48</v>
      </c>
      <c r="C347" s="5" t="s">
        <v>84</v>
      </c>
      <c r="D347" s="5" t="s">
        <v>28</v>
      </c>
      <c r="E347" s="5">
        <v>24</v>
      </c>
      <c r="F347" s="5" t="s">
        <v>54</v>
      </c>
      <c r="G347" s="5" t="s">
        <v>102</v>
      </c>
      <c r="H347" s="6">
        <v>44755</v>
      </c>
      <c r="I347" s="5">
        <v>67559</v>
      </c>
      <c r="J347" s="5" t="s">
        <v>37</v>
      </c>
      <c r="K347" s="5" t="s">
        <v>756</v>
      </c>
      <c r="L347" s="15" t="s">
        <v>24</v>
      </c>
      <c r="M347" s="14" t="str">
        <f>_xlfn.XLOOKUP(F347,Department!$A$2:$A$6,Department!$B$2:$B$6)</f>
        <v>Finance</v>
      </c>
      <c r="N347" s="22">
        <f>_xlfn.XLOOKUP(A347,Performance!$A$2:$A$501,Performance!$C$2:$C$501)</f>
        <v>3</v>
      </c>
      <c r="O347" s="19" cm="1">
        <f t="array" ref="O347">_xlfn.IFS(N347=5,I347*15%,N347=4,I347*10%,N347=3,I347*7%,N347&lt;3,I347*5%)</f>
        <v>4729.13</v>
      </c>
    </row>
    <row r="348" spans="1:15">
      <c r="A348" s="4" t="s">
        <v>757</v>
      </c>
      <c r="B348" s="5" t="s">
        <v>61</v>
      </c>
      <c r="C348" s="5" t="s">
        <v>80</v>
      </c>
      <c r="D348" s="5" t="s">
        <v>28</v>
      </c>
      <c r="E348" s="5">
        <v>47</v>
      </c>
      <c r="F348" s="5" t="s">
        <v>43</v>
      </c>
      <c r="G348" s="5" t="s">
        <v>30</v>
      </c>
      <c r="H348" s="6">
        <v>43853</v>
      </c>
      <c r="I348" s="5">
        <v>106379</v>
      </c>
      <c r="J348" s="5" t="s">
        <v>37</v>
      </c>
      <c r="K348" s="5" t="s">
        <v>758</v>
      </c>
      <c r="L348" s="15" t="s">
        <v>24</v>
      </c>
      <c r="M348" s="14" t="str">
        <f>_xlfn.XLOOKUP(F348,Department!$A$2:$A$6,Department!$B$2:$B$6)</f>
        <v>Marketing</v>
      </c>
      <c r="N348" s="22">
        <f>_xlfn.XLOOKUP(A348,Performance!$A$2:$A$501,Performance!$C$2:$C$501)</f>
        <v>1</v>
      </c>
      <c r="O348" s="19" cm="1">
        <f t="array" ref="O348">_xlfn.IFS(N348=5,I348*15%,N348=4,I348*10%,N348=3,I348*7%,N348&lt;3,I348*5%)</f>
        <v>5318.9500000000007</v>
      </c>
    </row>
    <row r="349" spans="1:15">
      <c r="A349" s="4" t="s">
        <v>759</v>
      </c>
      <c r="B349" s="5" t="s">
        <v>17</v>
      </c>
      <c r="C349" s="5" t="s">
        <v>66</v>
      </c>
      <c r="D349" s="5" t="s">
        <v>28</v>
      </c>
      <c r="E349" s="5">
        <v>30</v>
      </c>
      <c r="F349" s="5" t="s">
        <v>35</v>
      </c>
      <c r="G349" s="5" t="s">
        <v>30</v>
      </c>
      <c r="H349" s="6">
        <v>45385</v>
      </c>
      <c r="I349" s="5">
        <v>103395</v>
      </c>
      <c r="J349" s="5" t="s">
        <v>22</v>
      </c>
      <c r="K349" s="5" t="s">
        <v>760</v>
      </c>
      <c r="L349" s="15" t="s">
        <v>39</v>
      </c>
      <c r="M349" s="14" t="str">
        <f>_xlfn.XLOOKUP(F349,Department!$A$2:$A$6,Department!$B$2:$B$6)</f>
        <v>Sales</v>
      </c>
      <c r="N349" s="22">
        <f>_xlfn.XLOOKUP(A349,Performance!$A$2:$A$501,Performance!$C$2:$C$501)</f>
        <v>2</v>
      </c>
      <c r="O349" s="19" cm="1">
        <f t="array" ref="O349">_xlfn.IFS(N349=5,I349*15%,N349=4,I349*10%,N349=3,I349*7%,N349&lt;3,I349*5%)</f>
        <v>5169.75</v>
      </c>
    </row>
    <row r="350" spans="1:15">
      <c r="A350" s="4" t="s">
        <v>761</v>
      </c>
      <c r="B350" s="5" t="s">
        <v>92</v>
      </c>
      <c r="C350" s="5" t="s">
        <v>117</v>
      </c>
      <c r="D350" s="5" t="s">
        <v>19</v>
      </c>
      <c r="E350" s="5">
        <v>33</v>
      </c>
      <c r="F350" s="5" t="s">
        <v>43</v>
      </c>
      <c r="G350" s="5" t="s">
        <v>36</v>
      </c>
      <c r="H350" s="6">
        <v>43239</v>
      </c>
      <c r="I350" s="5">
        <v>76025</v>
      </c>
      <c r="J350" s="5" t="s">
        <v>37</v>
      </c>
      <c r="K350" s="5" t="s">
        <v>762</v>
      </c>
      <c r="L350" s="15" t="s">
        <v>39</v>
      </c>
      <c r="M350" s="14" t="str">
        <f>_xlfn.XLOOKUP(F350,Department!$A$2:$A$6,Department!$B$2:$B$6)</f>
        <v>Marketing</v>
      </c>
      <c r="N350" s="22">
        <f>_xlfn.XLOOKUP(A350,Performance!$A$2:$A$501,Performance!$C$2:$C$501)</f>
        <v>3</v>
      </c>
      <c r="O350" s="19" cm="1">
        <f t="array" ref="O350">_xlfn.IFS(N350=5,I350*15%,N350=4,I350*10%,N350=3,I350*7%,N350&lt;3,I350*5%)</f>
        <v>5321.7500000000009</v>
      </c>
    </row>
    <row r="351" spans="1:15">
      <c r="A351" s="4" t="s">
        <v>763</v>
      </c>
      <c r="B351" s="5" t="s">
        <v>53</v>
      </c>
      <c r="C351" s="5" t="s">
        <v>18</v>
      </c>
      <c r="D351" s="5" t="s">
        <v>19</v>
      </c>
      <c r="E351" s="5">
        <v>33</v>
      </c>
      <c r="F351" s="5" t="s">
        <v>35</v>
      </c>
      <c r="G351" s="5" t="s">
        <v>21</v>
      </c>
      <c r="H351" s="6">
        <v>44281</v>
      </c>
      <c r="I351" s="5">
        <v>69952</v>
      </c>
      <c r="J351" s="5" t="s">
        <v>62</v>
      </c>
      <c r="K351" s="5" t="s">
        <v>764</v>
      </c>
      <c r="L351" s="15" t="s">
        <v>39</v>
      </c>
      <c r="M351" s="14" t="str">
        <f>_xlfn.XLOOKUP(F351,Department!$A$2:$A$6,Department!$B$2:$B$6)</f>
        <v>Sales</v>
      </c>
      <c r="N351" s="22">
        <f>_xlfn.XLOOKUP(A351,Performance!$A$2:$A$501,Performance!$C$2:$C$501)</f>
        <v>4</v>
      </c>
      <c r="O351" s="19" cm="1">
        <f t="array" ref="O351">_xlfn.IFS(N351=5,I351*15%,N351=4,I351*10%,N351=3,I351*7%,N351&lt;3,I351*5%)</f>
        <v>6995.2000000000007</v>
      </c>
    </row>
    <row r="352" spans="1:15">
      <c r="A352" s="4" t="s">
        <v>765</v>
      </c>
      <c r="B352" s="5" t="s">
        <v>53</v>
      </c>
      <c r="C352" s="5" t="s">
        <v>49</v>
      </c>
      <c r="D352" s="5" t="s">
        <v>19</v>
      </c>
      <c r="E352" s="5">
        <v>42</v>
      </c>
      <c r="F352" s="5" t="s">
        <v>20</v>
      </c>
      <c r="G352" s="5" t="s">
        <v>30</v>
      </c>
      <c r="H352" s="6">
        <v>45557</v>
      </c>
      <c r="I352" s="5">
        <v>108637</v>
      </c>
      <c r="J352" s="5" t="s">
        <v>37</v>
      </c>
      <c r="K352" s="5" t="s">
        <v>766</v>
      </c>
      <c r="L352" s="15" t="s">
        <v>39</v>
      </c>
      <c r="M352" s="14" t="str">
        <f>_xlfn.XLOOKUP(F352,Department!$A$2:$A$6,Department!$B$2:$B$6)</f>
        <v>HR</v>
      </c>
      <c r="N352" s="22">
        <f>_xlfn.XLOOKUP(A352,Performance!$A$2:$A$501,Performance!$C$2:$C$501)</f>
        <v>2</v>
      </c>
      <c r="O352" s="19" cm="1">
        <f t="array" ref="O352">_xlfn.IFS(N352=5,I352*15%,N352=4,I352*10%,N352=3,I352*7%,N352&lt;3,I352*5%)</f>
        <v>5431.85</v>
      </c>
    </row>
    <row r="353" spans="1:15">
      <c r="A353" s="4" t="s">
        <v>767</v>
      </c>
      <c r="B353" s="5" t="s">
        <v>48</v>
      </c>
      <c r="C353" s="5" t="s">
        <v>89</v>
      </c>
      <c r="D353" s="5" t="s">
        <v>19</v>
      </c>
      <c r="E353" s="5">
        <v>27</v>
      </c>
      <c r="F353" s="5" t="s">
        <v>35</v>
      </c>
      <c r="G353" s="5" t="s">
        <v>36</v>
      </c>
      <c r="H353" s="6">
        <v>43621</v>
      </c>
      <c r="I353" s="5">
        <v>65699</v>
      </c>
      <c r="J353" s="5" t="s">
        <v>37</v>
      </c>
      <c r="K353" s="5" t="s">
        <v>768</v>
      </c>
      <c r="L353" s="15" t="s">
        <v>24</v>
      </c>
      <c r="M353" s="14" t="str">
        <f>_xlfn.XLOOKUP(F353,Department!$A$2:$A$6,Department!$B$2:$B$6)</f>
        <v>Sales</v>
      </c>
      <c r="N353" s="22">
        <f>_xlfn.XLOOKUP(A353,Performance!$A$2:$A$501,Performance!$C$2:$C$501)</f>
        <v>2</v>
      </c>
      <c r="O353" s="19" cm="1">
        <f t="array" ref="O353">_xlfn.IFS(N353=5,I353*15%,N353=4,I353*10%,N353=3,I353*7%,N353&lt;3,I353*5%)</f>
        <v>3284.9500000000003</v>
      </c>
    </row>
    <row r="354" spans="1:15">
      <c r="A354" s="4" t="s">
        <v>769</v>
      </c>
      <c r="B354" s="5" t="s">
        <v>126</v>
      </c>
      <c r="C354" s="5" t="s">
        <v>66</v>
      </c>
      <c r="D354" s="5" t="s">
        <v>28</v>
      </c>
      <c r="E354" s="5">
        <v>50</v>
      </c>
      <c r="F354" s="5" t="s">
        <v>20</v>
      </c>
      <c r="G354" s="5" t="s">
        <v>44</v>
      </c>
      <c r="H354" s="6">
        <v>44795</v>
      </c>
      <c r="I354" s="5">
        <v>90340</v>
      </c>
      <c r="J354" s="5" t="s">
        <v>22</v>
      </c>
      <c r="K354" s="5" t="s">
        <v>770</v>
      </c>
      <c r="L354" s="15" t="s">
        <v>24</v>
      </c>
      <c r="M354" s="14" t="str">
        <f>_xlfn.XLOOKUP(F354,Department!$A$2:$A$6,Department!$B$2:$B$6)</f>
        <v>HR</v>
      </c>
      <c r="N354" s="22">
        <f>_xlfn.XLOOKUP(A354,Performance!$A$2:$A$501,Performance!$C$2:$C$501)</f>
        <v>1</v>
      </c>
      <c r="O354" s="19" cm="1">
        <f t="array" ref="O354">_xlfn.IFS(N354=5,I354*15%,N354=4,I354*10%,N354=3,I354*7%,N354&lt;3,I354*5%)</f>
        <v>4517</v>
      </c>
    </row>
    <row r="355" spans="1:15">
      <c r="A355" s="4" t="s">
        <v>771</v>
      </c>
      <c r="B355" s="5" t="s">
        <v>74</v>
      </c>
      <c r="C355" s="5" t="s">
        <v>93</v>
      </c>
      <c r="D355" s="5" t="s">
        <v>19</v>
      </c>
      <c r="E355" s="5">
        <v>31</v>
      </c>
      <c r="F355" s="5" t="s">
        <v>29</v>
      </c>
      <c r="G355" s="5" t="s">
        <v>44</v>
      </c>
      <c r="H355" s="6">
        <v>45108</v>
      </c>
      <c r="I355" s="5">
        <v>114818</v>
      </c>
      <c r="J355" s="5" t="s">
        <v>37</v>
      </c>
      <c r="K355" s="5" t="s">
        <v>772</v>
      </c>
      <c r="L355" s="15" t="s">
        <v>39</v>
      </c>
      <c r="M355" s="14" t="str">
        <f>_xlfn.XLOOKUP(F355,Department!$A$2:$A$6,Department!$B$2:$B$6)</f>
        <v>IT</v>
      </c>
      <c r="N355" s="22">
        <f>_xlfn.XLOOKUP(A355,Performance!$A$2:$A$501,Performance!$C$2:$C$501)</f>
        <v>1</v>
      </c>
      <c r="O355" s="19" cm="1">
        <f t="array" ref="O355">_xlfn.IFS(N355=5,I355*15%,N355=4,I355*10%,N355=3,I355*7%,N355&lt;3,I355*5%)</f>
        <v>5740.9000000000005</v>
      </c>
    </row>
    <row r="356" spans="1:15">
      <c r="A356" s="4" t="s">
        <v>773</v>
      </c>
      <c r="B356" s="5" t="s">
        <v>58</v>
      </c>
      <c r="C356" s="5" t="s">
        <v>18</v>
      </c>
      <c r="D356" s="5" t="s">
        <v>19</v>
      </c>
      <c r="E356" s="5">
        <v>39</v>
      </c>
      <c r="F356" s="5" t="s">
        <v>35</v>
      </c>
      <c r="G356" s="5" t="s">
        <v>102</v>
      </c>
      <c r="H356" s="6">
        <v>43324</v>
      </c>
      <c r="I356" s="5">
        <v>82417</v>
      </c>
      <c r="J356" s="5" t="s">
        <v>37</v>
      </c>
      <c r="K356" s="5" t="s">
        <v>774</v>
      </c>
      <c r="L356" s="15" t="s">
        <v>39</v>
      </c>
      <c r="M356" s="14" t="str">
        <f>_xlfn.XLOOKUP(F356,Department!$A$2:$A$6,Department!$B$2:$B$6)</f>
        <v>Sales</v>
      </c>
      <c r="N356" s="22">
        <f>_xlfn.XLOOKUP(A356,Performance!$A$2:$A$501,Performance!$C$2:$C$501)</f>
        <v>5</v>
      </c>
      <c r="O356" s="19" cm="1">
        <f t="array" ref="O356">_xlfn.IFS(N356=5,I356*15%,N356=4,I356*10%,N356=3,I356*7%,N356&lt;3,I356*5%)</f>
        <v>12362.55</v>
      </c>
    </row>
    <row r="357" spans="1:15">
      <c r="A357" s="4" t="s">
        <v>775</v>
      </c>
      <c r="B357" s="5" t="s">
        <v>58</v>
      </c>
      <c r="C357" s="5" t="s">
        <v>89</v>
      </c>
      <c r="D357" s="5" t="s">
        <v>28</v>
      </c>
      <c r="E357" s="5">
        <v>38</v>
      </c>
      <c r="F357" s="5" t="s">
        <v>43</v>
      </c>
      <c r="G357" s="5" t="s">
        <v>21</v>
      </c>
      <c r="H357" s="6">
        <v>44709</v>
      </c>
      <c r="I357" s="5">
        <v>116569</v>
      </c>
      <c r="J357" s="5" t="s">
        <v>81</v>
      </c>
      <c r="K357" s="5" t="s">
        <v>776</v>
      </c>
      <c r="L357" s="15" t="s">
        <v>24</v>
      </c>
      <c r="M357" s="14" t="str">
        <f>_xlfn.XLOOKUP(F357,Department!$A$2:$A$6,Department!$B$2:$B$6)</f>
        <v>Marketing</v>
      </c>
      <c r="N357" s="22">
        <f>_xlfn.XLOOKUP(A357,Performance!$A$2:$A$501,Performance!$C$2:$C$501)</f>
        <v>1</v>
      </c>
      <c r="O357" s="19" cm="1">
        <f t="array" ref="O357">_xlfn.IFS(N357=5,I357*15%,N357=4,I357*10%,N357=3,I357*7%,N357&lt;3,I357*5%)</f>
        <v>5828.4500000000007</v>
      </c>
    </row>
    <row r="358" spans="1:15">
      <c r="A358" s="4" t="s">
        <v>777</v>
      </c>
      <c r="B358" s="5" t="s">
        <v>61</v>
      </c>
      <c r="C358" s="5" t="s">
        <v>84</v>
      </c>
      <c r="D358" s="5" t="s">
        <v>28</v>
      </c>
      <c r="E358" s="5">
        <v>37</v>
      </c>
      <c r="F358" s="5" t="s">
        <v>54</v>
      </c>
      <c r="G358" s="5" t="s">
        <v>30</v>
      </c>
      <c r="H358" s="6">
        <v>43626</v>
      </c>
      <c r="I358" s="5">
        <v>98489</v>
      </c>
      <c r="J358" s="5" t="s">
        <v>62</v>
      </c>
      <c r="K358" s="5" t="s">
        <v>778</v>
      </c>
      <c r="L358" s="15" t="s">
        <v>39</v>
      </c>
      <c r="M358" s="14" t="str">
        <f>_xlfn.XLOOKUP(F358,Department!$A$2:$A$6,Department!$B$2:$B$6)</f>
        <v>Finance</v>
      </c>
      <c r="N358" s="22">
        <f>_xlfn.XLOOKUP(A358,Performance!$A$2:$A$501,Performance!$C$2:$C$501)</f>
        <v>4</v>
      </c>
      <c r="O358" s="19" cm="1">
        <f t="array" ref="O358">_xlfn.IFS(N358=5,I358*15%,N358=4,I358*10%,N358=3,I358*7%,N358&lt;3,I358*5%)</f>
        <v>9848.9000000000015</v>
      </c>
    </row>
    <row r="359" spans="1:15">
      <c r="A359" s="4" t="s">
        <v>779</v>
      </c>
      <c r="B359" s="5" t="s">
        <v>61</v>
      </c>
      <c r="C359" s="5" t="s">
        <v>93</v>
      </c>
      <c r="D359" s="5" t="s">
        <v>19</v>
      </c>
      <c r="E359" s="5">
        <v>58</v>
      </c>
      <c r="F359" s="5" t="s">
        <v>35</v>
      </c>
      <c r="G359" s="5" t="s">
        <v>30</v>
      </c>
      <c r="H359" s="6">
        <v>43382</v>
      </c>
      <c r="I359" s="5">
        <v>60665</v>
      </c>
      <c r="J359" s="5" t="s">
        <v>62</v>
      </c>
      <c r="K359" s="5" t="s">
        <v>780</v>
      </c>
      <c r="L359" s="15" t="s">
        <v>39</v>
      </c>
      <c r="M359" s="14" t="str">
        <f>_xlfn.XLOOKUP(F359,Department!$A$2:$A$6,Department!$B$2:$B$6)</f>
        <v>Sales</v>
      </c>
      <c r="N359" s="22">
        <f>_xlfn.XLOOKUP(A359,Performance!$A$2:$A$501,Performance!$C$2:$C$501)</f>
        <v>5</v>
      </c>
      <c r="O359" s="19" cm="1">
        <f t="array" ref="O359">_xlfn.IFS(N359=5,I359*15%,N359=4,I359*10%,N359=3,I359*7%,N359&lt;3,I359*5%)</f>
        <v>9099.75</v>
      </c>
    </row>
    <row r="360" spans="1:15">
      <c r="A360" s="4" t="s">
        <v>781</v>
      </c>
      <c r="B360" s="5" t="s">
        <v>34</v>
      </c>
      <c r="C360" s="5" t="s">
        <v>117</v>
      </c>
      <c r="D360" s="5" t="s">
        <v>28</v>
      </c>
      <c r="E360" s="5">
        <v>59</v>
      </c>
      <c r="F360" s="5" t="s">
        <v>29</v>
      </c>
      <c r="G360" s="5" t="s">
        <v>44</v>
      </c>
      <c r="H360" s="6">
        <v>44261</v>
      </c>
      <c r="I360" s="5">
        <v>91685</v>
      </c>
      <c r="J360" s="5" t="s">
        <v>22</v>
      </c>
      <c r="K360" s="5" t="s">
        <v>782</v>
      </c>
      <c r="L360" s="15" t="s">
        <v>39</v>
      </c>
      <c r="M360" s="14" t="str">
        <f>_xlfn.XLOOKUP(F360,Department!$A$2:$A$6,Department!$B$2:$B$6)</f>
        <v>IT</v>
      </c>
      <c r="N360" s="22">
        <f>_xlfn.XLOOKUP(A360,Performance!$A$2:$A$501,Performance!$C$2:$C$501)</f>
        <v>3</v>
      </c>
      <c r="O360" s="19" cm="1">
        <f t="array" ref="O360">_xlfn.IFS(N360=5,I360*15%,N360=4,I360*10%,N360=3,I360*7%,N360&lt;3,I360*5%)</f>
        <v>6417.9500000000007</v>
      </c>
    </row>
    <row r="361" spans="1:15">
      <c r="A361" s="4" t="s">
        <v>783</v>
      </c>
      <c r="B361" s="5" t="s">
        <v>61</v>
      </c>
      <c r="C361" s="5" t="s">
        <v>117</v>
      </c>
      <c r="D361" s="5" t="s">
        <v>19</v>
      </c>
      <c r="E361" s="5">
        <v>55</v>
      </c>
      <c r="F361" s="5" t="s">
        <v>54</v>
      </c>
      <c r="G361" s="5" t="s">
        <v>102</v>
      </c>
      <c r="H361" s="6">
        <v>44344</v>
      </c>
      <c r="I361" s="5">
        <v>76843</v>
      </c>
      <c r="J361" s="5" t="s">
        <v>62</v>
      </c>
      <c r="K361" s="5" t="s">
        <v>784</v>
      </c>
      <c r="L361" s="15" t="s">
        <v>24</v>
      </c>
      <c r="M361" s="14" t="str">
        <f>_xlfn.XLOOKUP(F361,Department!$A$2:$A$6,Department!$B$2:$B$6)</f>
        <v>Finance</v>
      </c>
      <c r="N361" s="22">
        <f>_xlfn.XLOOKUP(A361,Performance!$A$2:$A$501,Performance!$C$2:$C$501)</f>
        <v>3</v>
      </c>
      <c r="O361" s="19" cm="1">
        <f t="array" ref="O361">_xlfn.IFS(N361=5,I361*15%,N361=4,I361*10%,N361=3,I361*7%,N361&lt;3,I361*5%)</f>
        <v>5379.01</v>
      </c>
    </row>
    <row r="362" spans="1:15">
      <c r="A362" s="4" t="s">
        <v>785</v>
      </c>
      <c r="B362" s="5" t="s">
        <v>61</v>
      </c>
      <c r="C362" s="5" t="s">
        <v>18</v>
      </c>
      <c r="D362" s="5" t="s">
        <v>28</v>
      </c>
      <c r="E362" s="5">
        <v>35</v>
      </c>
      <c r="F362" s="5" t="s">
        <v>43</v>
      </c>
      <c r="G362" s="5" t="s">
        <v>44</v>
      </c>
      <c r="H362" s="6">
        <v>45231</v>
      </c>
      <c r="I362" s="5">
        <v>91860</v>
      </c>
      <c r="J362" s="5" t="s">
        <v>62</v>
      </c>
      <c r="K362" s="5" t="s">
        <v>786</v>
      </c>
      <c r="L362" s="15" t="s">
        <v>24</v>
      </c>
      <c r="M362" s="14" t="str">
        <f>_xlfn.XLOOKUP(F362,Department!$A$2:$A$6,Department!$B$2:$B$6)</f>
        <v>Marketing</v>
      </c>
      <c r="N362" s="22">
        <f>_xlfn.XLOOKUP(A362,Performance!$A$2:$A$501,Performance!$C$2:$C$501)</f>
        <v>4</v>
      </c>
      <c r="O362" s="19" cm="1">
        <f t="array" ref="O362">_xlfn.IFS(N362=5,I362*15%,N362=4,I362*10%,N362=3,I362*7%,N362&lt;3,I362*5%)</f>
        <v>9186</v>
      </c>
    </row>
    <row r="363" spans="1:15">
      <c r="A363" s="4" t="s">
        <v>787</v>
      </c>
      <c r="B363" s="5" t="s">
        <v>74</v>
      </c>
      <c r="C363" s="5" t="s">
        <v>18</v>
      </c>
      <c r="D363" s="5" t="s">
        <v>28</v>
      </c>
      <c r="E363" s="5">
        <v>60</v>
      </c>
      <c r="F363" s="5" t="s">
        <v>20</v>
      </c>
      <c r="G363" s="5" t="s">
        <v>21</v>
      </c>
      <c r="H363" s="6">
        <v>45444</v>
      </c>
      <c r="I363" s="5">
        <v>117041</v>
      </c>
      <c r="J363" s="5" t="s">
        <v>22</v>
      </c>
      <c r="K363" s="5" t="s">
        <v>788</v>
      </c>
      <c r="L363" s="15" t="s">
        <v>39</v>
      </c>
      <c r="M363" s="14" t="str">
        <f>_xlfn.XLOOKUP(F363,Department!$A$2:$A$6,Department!$B$2:$B$6)</f>
        <v>HR</v>
      </c>
      <c r="N363" s="22">
        <f>_xlfn.XLOOKUP(A363,Performance!$A$2:$A$501,Performance!$C$2:$C$501)</f>
        <v>5</v>
      </c>
      <c r="O363" s="19" cm="1">
        <f t="array" ref="O363">_xlfn.IFS(N363=5,I363*15%,N363=4,I363*10%,N363=3,I363*7%,N363&lt;3,I363*5%)</f>
        <v>17556.149999999998</v>
      </c>
    </row>
    <row r="364" spans="1:15">
      <c r="A364" s="4" t="s">
        <v>789</v>
      </c>
      <c r="B364" s="5" t="s">
        <v>17</v>
      </c>
      <c r="C364" s="5" t="s">
        <v>18</v>
      </c>
      <c r="D364" s="5" t="s">
        <v>28</v>
      </c>
      <c r="E364" s="5">
        <v>45</v>
      </c>
      <c r="F364" s="5" t="s">
        <v>35</v>
      </c>
      <c r="G364" s="5" t="s">
        <v>102</v>
      </c>
      <c r="H364" s="6">
        <v>43571</v>
      </c>
      <c r="I364" s="5">
        <v>93769</v>
      </c>
      <c r="J364" s="5" t="s">
        <v>81</v>
      </c>
      <c r="K364" s="5" t="s">
        <v>790</v>
      </c>
      <c r="L364" s="15" t="s">
        <v>24</v>
      </c>
      <c r="M364" s="14" t="str">
        <f>_xlfn.XLOOKUP(F364,Department!$A$2:$A$6,Department!$B$2:$B$6)</f>
        <v>Sales</v>
      </c>
      <c r="N364" s="22">
        <f>_xlfn.XLOOKUP(A364,Performance!$A$2:$A$501,Performance!$C$2:$C$501)</f>
        <v>5</v>
      </c>
      <c r="O364" s="19" cm="1">
        <f t="array" ref="O364">_xlfn.IFS(N364=5,I364*15%,N364=4,I364*10%,N364=3,I364*7%,N364&lt;3,I364*5%)</f>
        <v>14065.35</v>
      </c>
    </row>
    <row r="365" spans="1:15">
      <c r="A365" s="4" t="s">
        <v>791</v>
      </c>
      <c r="B365" s="5" t="s">
        <v>126</v>
      </c>
      <c r="C365" s="5" t="s">
        <v>141</v>
      </c>
      <c r="D365" s="5" t="s">
        <v>28</v>
      </c>
      <c r="E365" s="5">
        <v>37</v>
      </c>
      <c r="F365" s="5" t="s">
        <v>54</v>
      </c>
      <c r="G365" s="5" t="s">
        <v>102</v>
      </c>
      <c r="H365" s="6">
        <v>43785</v>
      </c>
      <c r="I365" s="5">
        <v>43224</v>
      </c>
      <c r="J365" s="5" t="s">
        <v>37</v>
      </c>
      <c r="K365" s="5" t="s">
        <v>792</v>
      </c>
      <c r="L365" s="15" t="s">
        <v>24</v>
      </c>
      <c r="M365" s="14" t="str">
        <f>_xlfn.XLOOKUP(F365,Department!$A$2:$A$6,Department!$B$2:$B$6)</f>
        <v>Finance</v>
      </c>
      <c r="N365" s="22">
        <f>_xlfn.XLOOKUP(A365,Performance!$A$2:$A$501,Performance!$C$2:$C$501)</f>
        <v>3</v>
      </c>
      <c r="O365" s="19" cm="1">
        <f t="array" ref="O365">_xlfn.IFS(N365=5,I365*15%,N365=4,I365*10%,N365=3,I365*7%,N365&lt;3,I365*5%)</f>
        <v>3025.6800000000003</v>
      </c>
    </row>
    <row r="366" spans="1:15">
      <c r="A366" s="4" t="s">
        <v>793</v>
      </c>
      <c r="B366" s="5" t="s">
        <v>126</v>
      </c>
      <c r="C366" s="5" t="s">
        <v>18</v>
      </c>
      <c r="D366" s="5" t="s">
        <v>28</v>
      </c>
      <c r="E366" s="5">
        <v>43</v>
      </c>
      <c r="F366" s="5" t="s">
        <v>54</v>
      </c>
      <c r="G366" s="5" t="s">
        <v>30</v>
      </c>
      <c r="H366" s="6">
        <v>43699</v>
      </c>
      <c r="I366" s="5">
        <v>101866</v>
      </c>
      <c r="J366" s="5" t="s">
        <v>81</v>
      </c>
      <c r="K366" s="5" t="s">
        <v>794</v>
      </c>
      <c r="L366" s="15" t="s">
        <v>39</v>
      </c>
      <c r="M366" s="14" t="str">
        <f>_xlfn.XLOOKUP(F366,Department!$A$2:$A$6,Department!$B$2:$B$6)</f>
        <v>Finance</v>
      </c>
      <c r="N366" s="22">
        <f>_xlfn.XLOOKUP(A366,Performance!$A$2:$A$501,Performance!$C$2:$C$501)</f>
        <v>3</v>
      </c>
      <c r="O366" s="19" cm="1">
        <f t="array" ref="O366">_xlfn.IFS(N366=5,I366*15%,N366=4,I366*10%,N366=3,I366*7%,N366&lt;3,I366*5%)</f>
        <v>7130.6200000000008</v>
      </c>
    </row>
    <row r="367" spans="1:15">
      <c r="A367" s="4" t="s">
        <v>795</v>
      </c>
      <c r="B367" s="5" t="s">
        <v>53</v>
      </c>
      <c r="C367" s="5" t="s">
        <v>93</v>
      </c>
      <c r="D367" s="5" t="s">
        <v>19</v>
      </c>
      <c r="E367" s="5">
        <v>56</v>
      </c>
      <c r="F367" s="5" t="s">
        <v>43</v>
      </c>
      <c r="G367" s="5" t="s">
        <v>44</v>
      </c>
      <c r="H367" s="6">
        <v>45240</v>
      </c>
      <c r="I367" s="5">
        <v>101636</v>
      </c>
      <c r="J367" s="5" t="s">
        <v>81</v>
      </c>
      <c r="K367" s="5" t="s">
        <v>796</v>
      </c>
      <c r="L367" s="15" t="s">
        <v>39</v>
      </c>
      <c r="M367" s="14" t="str">
        <f>_xlfn.XLOOKUP(F367,Department!$A$2:$A$6,Department!$B$2:$B$6)</f>
        <v>Marketing</v>
      </c>
      <c r="N367" s="22">
        <f>_xlfn.XLOOKUP(A367,Performance!$A$2:$A$501,Performance!$C$2:$C$501)</f>
        <v>3</v>
      </c>
      <c r="O367" s="19" cm="1">
        <f t="array" ref="O367">_xlfn.IFS(N367=5,I367*15%,N367=4,I367*10%,N367=3,I367*7%,N367&lt;3,I367*5%)</f>
        <v>7114.52</v>
      </c>
    </row>
    <row r="368" spans="1:15">
      <c r="A368" s="4" t="s">
        <v>797</v>
      </c>
      <c r="B368" s="5" t="s">
        <v>58</v>
      </c>
      <c r="C368" s="5" t="s">
        <v>80</v>
      </c>
      <c r="D368" s="5" t="s">
        <v>28</v>
      </c>
      <c r="E368" s="5">
        <v>42</v>
      </c>
      <c r="F368" s="5" t="s">
        <v>29</v>
      </c>
      <c r="G368" s="5" t="s">
        <v>21</v>
      </c>
      <c r="H368" s="6">
        <v>43599</v>
      </c>
      <c r="I368" s="5">
        <v>106833</v>
      </c>
      <c r="J368" s="5" t="s">
        <v>22</v>
      </c>
      <c r="K368" s="5" t="s">
        <v>798</v>
      </c>
      <c r="L368" s="15" t="s">
        <v>39</v>
      </c>
      <c r="M368" s="14" t="str">
        <f>_xlfn.XLOOKUP(F368,Department!$A$2:$A$6,Department!$B$2:$B$6)</f>
        <v>IT</v>
      </c>
      <c r="N368" s="22">
        <f>_xlfn.XLOOKUP(A368,Performance!$A$2:$A$501,Performance!$C$2:$C$501)</f>
        <v>5</v>
      </c>
      <c r="O368" s="19" cm="1">
        <f t="array" ref="O368">_xlfn.IFS(N368=5,I368*15%,N368=4,I368*10%,N368=3,I368*7%,N368&lt;3,I368*5%)</f>
        <v>16024.949999999999</v>
      </c>
    </row>
    <row r="369" spans="1:15">
      <c r="A369" s="4" t="s">
        <v>799</v>
      </c>
      <c r="B369" s="5" t="s">
        <v>34</v>
      </c>
      <c r="C369" s="5" t="s">
        <v>49</v>
      </c>
      <c r="D369" s="5" t="s">
        <v>19</v>
      </c>
      <c r="E369" s="5">
        <v>42</v>
      </c>
      <c r="F369" s="5" t="s">
        <v>20</v>
      </c>
      <c r="G369" s="5" t="s">
        <v>36</v>
      </c>
      <c r="H369" s="6">
        <v>43280</v>
      </c>
      <c r="I369" s="5">
        <v>75163</v>
      </c>
      <c r="J369" s="5" t="s">
        <v>37</v>
      </c>
      <c r="K369" s="5" t="s">
        <v>800</v>
      </c>
      <c r="L369" s="15" t="s">
        <v>24</v>
      </c>
      <c r="M369" s="14" t="str">
        <f>_xlfn.XLOOKUP(F369,Department!$A$2:$A$6,Department!$B$2:$B$6)</f>
        <v>HR</v>
      </c>
      <c r="N369" s="22">
        <f>_xlfn.XLOOKUP(A369,Performance!$A$2:$A$501,Performance!$C$2:$C$501)</f>
        <v>2</v>
      </c>
      <c r="O369" s="19" cm="1">
        <f t="array" ref="O369">_xlfn.IFS(N369=5,I369*15%,N369=4,I369*10%,N369=3,I369*7%,N369&lt;3,I369*5%)</f>
        <v>3758.15</v>
      </c>
    </row>
    <row r="370" spans="1:15">
      <c r="A370" s="4" t="s">
        <v>801</v>
      </c>
      <c r="B370" s="5" t="s">
        <v>61</v>
      </c>
      <c r="C370" s="5" t="s">
        <v>117</v>
      </c>
      <c r="D370" s="5" t="s">
        <v>28</v>
      </c>
      <c r="E370" s="5">
        <v>41</v>
      </c>
      <c r="F370" s="5" t="s">
        <v>54</v>
      </c>
      <c r="G370" s="5" t="s">
        <v>30</v>
      </c>
      <c r="H370" s="6">
        <v>43299</v>
      </c>
      <c r="I370" s="5">
        <v>86763</v>
      </c>
      <c r="J370" s="5" t="s">
        <v>62</v>
      </c>
      <c r="K370" s="5" t="s">
        <v>802</v>
      </c>
      <c r="L370" s="15" t="s">
        <v>39</v>
      </c>
      <c r="M370" s="14" t="str">
        <f>_xlfn.XLOOKUP(F370,Department!$A$2:$A$6,Department!$B$2:$B$6)</f>
        <v>Finance</v>
      </c>
      <c r="N370" s="22">
        <f>_xlfn.XLOOKUP(A370,Performance!$A$2:$A$501,Performance!$C$2:$C$501)</f>
        <v>5</v>
      </c>
      <c r="O370" s="19" cm="1">
        <f t="array" ref="O370">_xlfn.IFS(N370=5,I370*15%,N370=4,I370*10%,N370=3,I370*7%,N370&lt;3,I370*5%)</f>
        <v>13014.449999999999</v>
      </c>
    </row>
    <row r="371" spans="1:15">
      <c r="A371" s="4" t="s">
        <v>803</v>
      </c>
      <c r="B371" s="5" t="s">
        <v>92</v>
      </c>
      <c r="C371" s="5" t="s">
        <v>117</v>
      </c>
      <c r="D371" s="5" t="s">
        <v>19</v>
      </c>
      <c r="E371" s="5">
        <v>49</v>
      </c>
      <c r="F371" s="5" t="s">
        <v>54</v>
      </c>
      <c r="G371" s="5" t="s">
        <v>44</v>
      </c>
      <c r="H371" s="6">
        <v>44073</v>
      </c>
      <c r="I371" s="5">
        <v>54974</v>
      </c>
      <c r="J371" s="5" t="s">
        <v>81</v>
      </c>
      <c r="K371" s="5" t="s">
        <v>804</v>
      </c>
      <c r="L371" s="15" t="s">
        <v>39</v>
      </c>
      <c r="M371" s="14" t="str">
        <f>_xlfn.XLOOKUP(F371,Department!$A$2:$A$6,Department!$B$2:$B$6)</f>
        <v>Finance</v>
      </c>
      <c r="N371" s="22">
        <f>_xlfn.XLOOKUP(A371,Performance!$A$2:$A$501,Performance!$C$2:$C$501)</f>
        <v>2</v>
      </c>
      <c r="O371" s="19" cm="1">
        <f t="array" ref="O371">_xlfn.IFS(N371=5,I371*15%,N371=4,I371*10%,N371=3,I371*7%,N371&lt;3,I371*5%)</f>
        <v>2748.7000000000003</v>
      </c>
    </row>
    <row r="372" spans="1:15">
      <c r="A372" s="4" t="s">
        <v>805</v>
      </c>
      <c r="B372" s="5" t="s">
        <v>126</v>
      </c>
      <c r="C372" s="5" t="s">
        <v>66</v>
      </c>
      <c r="D372" s="5" t="s">
        <v>19</v>
      </c>
      <c r="E372" s="5">
        <v>30</v>
      </c>
      <c r="F372" s="5" t="s">
        <v>35</v>
      </c>
      <c r="G372" s="5" t="s">
        <v>36</v>
      </c>
      <c r="H372" s="6">
        <v>44944</v>
      </c>
      <c r="I372" s="5">
        <v>74728</v>
      </c>
      <c r="J372" s="5" t="s">
        <v>22</v>
      </c>
      <c r="K372" s="5" t="s">
        <v>806</v>
      </c>
      <c r="L372" s="15" t="s">
        <v>39</v>
      </c>
      <c r="M372" s="14" t="str">
        <f>_xlfn.XLOOKUP(F372,Department!$A$2:$A$6,Department!$B$2:$B$6)</f>
        <v>Sales</v>
      </c>
      <c r="N372" s="22">
        <f>_xlfn.XLOOKUP(A372,Performance!$A$2:$A$501,Performance!$C$2:$C$501)</f>
        <v>4</v>
      </c>
      <c r="O372" s="19" cm="1">
        <f t="array" ref="O372">_xlfn.IFS(N372=5,I372*15%,N372=4,I372*10%,N372=3,I372*7%,N372&lt;3,I372*5%)</f>
        <v>7472.8</v>
      </c>
    </row>
    <row r="373" spans="1:15">
      <c r="A373" s="4" t="s">
        <v>807</v>
      </c>
      <c r="B373" s="5" t="s">
        <v>17</v>
      </c>
      <c r="C373" s="5" t="s">
        <v>117</v>
      </c>
      <c r="D373" s="5" t="s">
        <v>28</v>
      </c>
      <c r="E373" s="5">
        <v>58</v>
      </c>
      <c r="F373" s="5" t="s">
        <v>35</v>
      </c>
      <c r="G373" s="5" t="s">
        <v>44</v>
      </c>
      <c r="H373" s="6">
        <v>44212</v>
      </c>
      <c r="I373" s="5">
        <v>88207</v>
      </c>
      <c r="J373" s="5" t="s">
        <v>81</v>
      </c>
      <c r="K373" s="5" t="s">
        <v>808</v>
      </c>
      <c r="L373" s="15" t="s">
        <v>39</v>
      </c>
      <c r="M373" s="14" t="str">
        <f>_xlfn.XLOOKUP(F373,Department!$A$2:$A$6,Department!$B$2:$B$6)</f>
        <v>Sales</v>
      </c>
      <c r="N373" s="22">
        <f>_xlfn.XLOOKUP(A373,Performance!$A$2:$A$501,Performance!$C$2:$C$501)</f>
        <v>1</v>
      </c>
      <c r="O373" s="19" cm="1">
        <f t="array" ref="O373">_xlfn.IFS(N373=5,I373*15%,N373=4,I373*10%,N373=3,I373*7%,N373&lt;3,I373*5%)</f>
        <v>4410.3500000000004</v>
      </c>
    </row>
    <row r="374" spans="1:15">
      <c r="A374" s="4" t="s">
        <v>809</v>
      </c>
      <c r="B374" s="5" t="s">
        <v>34</v>
      </c>
      <c r="C374" s="5" t="s">
        <v>80</v>
      </c>
      <c r="D374" s="5" t="s">
        <v>28</v>
      </c>
      <c r="E374" s="5">
        <v>56</v>
      </c>
      <c r="F374" s="5" t="s">
        <v>43</v>
      </c>
      <c r="G374" s="5" t="s">
        <v>44</v>
      </c>
      <c r="H374" s="6">
        <v>44828</v>
      </c>
      <c r="I374" s="5">
        <v>96878</v>
      </c>
      <c r="J374" s="5" t="s">
        <v>62</v>
      </c>
      <c r="K374" s="5" t="s">
        <v>810</v>
      </c>
      <c r="L374" s="15" t="s">
        <v>24</v>
      </c>
      <c r="M374" s="14" t="str">
        <f>_xlfn.XLOOKUP(F374,Department!$A$2:$A$6,Department!$B$2:$B$6)</f>
        <v>Marketing</v>
      </c>
      <c r="N374" s="22">
        <f>_xlfn.XLOOKUP(A374,Performance!$A$2:$A$501,Performance!$C$2:$C$501)</f>
        <v>5</v>
      </c>
      <c r="O374" s="19" cm="1">
        <f t="array" ref="O374">_xlfn.IFS(N374=5,I374*15%,N374=4,I374*10%,N374=3,I374*7%,N374&lt;3,I374*5%)</f>
        <v>14531.699999999999</v>
      </c>
    </row>
    <row r="375" spans="1:15">
      <c r="A375" s="4" t="s">
        <v>811</v>
      </c>
      <c r="B375" s="5" t="s">
        <v>58</v>
      </c>
      <c r="C375" s="5" t="s">
        <v>89</v>
      </c>
      <c r="D375" s="5" t="s">
        <v>19</v>
      </c>
      <c r="E375" s="5">
        <v>27</v>
      </c>
      <c r="F375" s="5" t="s">
        <v>29</v>
      </c>
      <c r="G375" s="5" t="s">
        <v>44</v>
      </c>
      <c r="H375" s="6">
        <v>44111</v>
      </c>
      <c r="I375" s="5">
        <v>49341</v>
      </c>
      <c r="J375" s="5" t="s">
        <v>62</v>
      </c>
      <c r="K375" s="5" t="s">
        <v>812</v>
      </c>
      <c r="L375" s="15" t="s">
        <v>39</v>
      </c>
      <c r="M375" s="14" t="str">
        <f>_xlfn.XLOOKUP(F375,Department!$A$2:$A$6,Department!$B$2:$B$6)</f>
        <v>IT</v>
      </c>
      <c r="N375" s="22">
        <f>_xlfn.XLOOKUP(A375,Performance!$A$2:$A$501,Performance!$C$2:$C$501)</f>
        <v>5</v>
      </c>
      <c r="O375" s="19" cm="1">
        <f t="array" ref="O375">_xlfn.IFS(N375=5,I375*15%,N375=4,I375*10%,N375=3,I375*7%,N375&lt;3,I375*5%)</f>
        <v>7401.15</v>
      </c>
    </row>
    <row r="376" spans="1:15">
      <c r="A376" s="4" t="s">
        <v>813</v>
      </c>
      <c r="B376" s="5" t="s">
        <v>17</v>
      </c>
      <c r="C376" s="5" t="s">
        <v>141</v>
      </c>
      <c r="D376" s="5" t="s">
        <v>19</v>
      </c>
      <c r="E376" s="5">
        <v>57</v>
      </c>
      <c r="F376" s="5" t="s">
        <v>43</v>
      </c>
      <c r="G376" s="5" t="s">
        <v>30</v>
      </c>
      <c r="H376" s="6">
        <v>45211</v>
      </c>
      <c r="I376" s="5">
        <v>87757</v>
      </c>
      <c r="J376" s="5" t="s">
        <v>22</v>
      </c>
      <c r="K376" s="5" t="s">
        <v>814</v>
      </c>
      <c r="L376" s="15" t="s">
        <v>24</v>
      </c>
      <c r="M376" s="14" t="str">
        <f>_xlfn.XLOOKUP(F376,Department!$A$2:$A$6,Department!$B$2:$B$6)</f>
        <v>Marketing</v>
      </c>
      <c r="N376" s="22">
        <f>_xlfn.XLOOKUP(A376,Performance!$A$2:$A$501,Performance!$C$2:$C$501)</f>
        <v>3</v>
      </c>
      <c r="O376" s="19" cm="1">
        <f t="array" ref="O376">_xlfn.IFS(N376=5,I376*15%,N376=4,I376*10%,N376=3,I376*7%,N376&lt;3,I376*5%)</f>
        <v>6142.9900000000007</v>
      </c>
    </row>
    <row r="377" spans="1:15">
      <c r="A377" s="4" t="s">
        <v>815</v>
      </c>
      <c r="B377" s="5" t="s">
        <v>92</v>
      </c>
      <c r="C377" s="5" t="s">
        <v>18</v>
      </c>
      <c r="D377" s="5" t="s">
        <v>19</v>
      </c>
      <c r="E377" s="5">
        <v>28</v>
      </c>
      <c r="F377" s="5" t="s">
        <v>54</v>
      </c>
      <c r="G377" s="5" t="s">
        <v>21</v>
      </c>
      <c r="H377" s="6">
        <v>45553</v>
      </c>
      <c r="I377" s="5">
        <v>113590</v>
      </c>
      <c r="J377" s="5" t="s">
        <v>22</v>
      </c>
      <c r="K377" s="5" t="s">
        <v>816</v>
      </c>
      <c r="L377" s="15" t="s">
        <v>39</v>
      </c>
      <c r="M377" s="14" t="str">
        <f>_xlfn.XLOOKUP(F377,Department!$A$2:$A$6,Department!$B$2:$B$6)</f>
        <v>Finance</v>
      </c>
      <c r="N377" s="22">
        <f>_xlfn.XLOOKUP(A377,Performance!$A$2:$A$501,Performance!$C$2:$C$501)</f>
        <v>3</v>
      </c>
      <c r="O377" s="19" cm="1">
        <f t="array" ref="O377">_xlfn.IFS(N377=5,I377*15%,N377=4,I377*10%,N377=3,I377*7%,N377&lt;3,I377*5%)</f>
        <v>7951.3000000000011</v>
      </c>
    </row>
    <row r="378" spans="1:15">
      <c r="A378" s="4" t="s">
        <v>817</v>
      </c>
      <c r="B378" s="5" t="s">
        <v>58</v>
      </c>
      <c r="C378" s="5" t="s">
        <v>89</v>
      </c>
      <c r="D378" s="5" t="s">
        <v>19</v>
      </c>
      <c r="E378" s="5">
        <v>37</v>
      </c>
      <c r="F378" s="5" t="s">
        <v>20</v>
      </c>
      <c r="G378" s="5" t="s">
        <v>36</v>
      </c>
      <c r="H378" s="6">
        <v>45408</v>
      </c>
      <c r="I378" s="5">
        <v>82897</v>
      </c>
      <c r="J378" s="5" t="s">
        <v>37</v>
      </c>
      <c r="K378" s="5" t="s">
        <v>818</v>
      </c>
      <c r="L378" s="15" t="s">
        <v>24</v>
      </c>
      <c r="M378" s="14" t="str">
        <f>_xlfn.XLOOKUP(F378,Department!$A$2:$A$6,Department!$B$2:$B$6)</f>
        <v>HR</v>
      </c>
      <c r="N378" s="22">
        <f>_xlfn.XLOOKUP(A378,Performance!$A$2:$A$501,Performance!$C$2:$C$501)</f>
        <v>1</v>
      </c>
      <c r="O378" s="19" cm="1">
        <f t="array" ref="O378">_xlfn.IFS(N378=5,I378*15%,N378=4,I378*10%,N378=3,I378*7%,N378&lt;3,I378*5%)</f>
        <v>4144.8500000000004</v>
      </c>
    </row>
    <row r="379" spans="1:15">
      <c r="A379" s="4" t="s">
        <v>819</v>
      </c>
      <c r="B379" s="5" t="s">
        <v>92</v>
      </c>
      <c r="C379" s="5" t="s">
        <v>89</v>
      </c>
      <c r="D379" s="5" t="s">
        <v>19</v>
      </c>
      <c r="E379" s="5">
        <v>37</v>
      </c>
      <c r="F379" s="5" t="s">
        <v>29</v>
      </c>
      <c r="G379" s="5" t="s">
        <v>36</v>
      </c>
      <c r="H379" s="6">
        <v>45396</v>
      </c>
      <c r="I379" s="5">
        <v>69652</v>
      </c>
      <c r="J379" s="5" t="s">
        <v>67</v>
      </c>
      <c r="K379" s="5" t="s">
        <v>820</v>
      </c>
      <c r="L379" s="15" t="s">
        <v>39</v>
      </c>
      <c r="M379" s="14" t="str">
        <f>_xlfn.XLOOKUP(F379,Department!$A$2:$A$6,Department!$B$2:$B$6)</f>
        <v>IT</v>
      </c>
      <c r="N379" s="22">
        <f>_xlfn.XLOOKUP(A379,Performance!$A$2:$A$501,Performance!$C$2:$C$501)</f>
        <v>3</v>
      </c>
      <c r="O379" s="19" cm="1">
        <f t="array" ref="O379">_xlfn.IFS(N379=5,I379*15%,N379=4,I379*10%,N379=3,I379*7%,N379&lt;3,I379*5%)</f>
        <v>4875.6400000000003</v>
      </c>
    </row>
    <row r="380" spans="1:15">
      <c r="A380" s="4" t="s">
        <v>821</v>
      </c>
      <c r="B380" s="5" t="s">
        <v>61</v>
      </c>
      <c r="C380" s="5" t="s">
        <v>18</v>
      </c>
      <c r="D380" s="5" t="s">
        <v>19</v>
      </c>
      <c r="E380" s="5">
        <v>22</v>
      </c>
      <c r="F380" s="5" t="s">
        <v>29</v>
      </c>
      <c r="G380" s="5" t="s">
        <v>102</v>
      </c>
      <c r="H380" s="6">
        <v>43913</v>
      </c>
      <c r="I380" s="5">
        <v>92754</v>
      </c>
      <c r="J380" s="5" t="s">
        <v>22</v>
      </c>
      <c r="K380" s="5" t="s">
        <v>822</v>
      </c>
      <c r="L380" s="15" t="s">
        <v>24</v>
      </c>
      <c r="M380" s="14" t="str">
        <f>_xlfn.XLOOKUP(F380,Department!$A$2:$A$6,Department!$B$2:$B$6)</f>
        <v>IT</v>
      </c>
      <c r="N380" s="22">
        <f>_xlfn.XLOOKUP(A380,Performance!$A$2:$A$501,Performance!$C$2:$C$501)</f>
        <v>3</v>
      </c>
      <c r="O380" s="19" cm="1">
        <f t="array" ref="O380">_xlfn.IFS(N380=5,I380*15%,N380=4,I380*10%,N380=3,I380*7%,N380&lt;3,I380*5%)</f>
        <v>6492.7800000000007</v>
      </c>
    </row>
    <row r="381" spans="1:15">
      <c r="A381" s="4" t="s">
        <v>823</v>
      </c>
      <c r="B381" s="5" t="s">
        <v>53</v>
      </c>
      <c r="C381" s="5" t="s">
        <v>18</v>
      </c>
      <c r="D381" s="5" t="s">
        <v>28</v>
      </c>
      <c r="E381" s="5">
        <v>24</v>
      </c>
      <c r="F381" s="5" t="s">
        <v>29</v>
      </c>
      <c r="G381" s="5" t="s">
        <v>21</v>
      </c>
      <c r="H381" s="6">
        <v>45066</v>
      </c>
      <c r="I381" s="5">
        <v>65180</v>
      </c>
      <c r="J381" s="5" t="s">
        <v>67</v>
      </c>
      <c r="K381" s="5" t="s">
        <v>824</v>
      </c>
      <c r="L381" s="15" t="s">
        <v>24</v>
      </c>
      <c r="M381" s="14" t="str">
        <f>_xlfn.XLOOKUP(F381,Department!$A$2:$A$6,Department!$B$2:$B$6)</f>
        <v>IT</v>
      </c>
      <c r="N381" s="22">
        <f>_xlfn.XLOOKUP(A381,Performance!$A$2:$A$501,Performance!$C$2:$C$501)</f>
        <v>2</v>
      </c>
      <c r="O381" s="19" cm="1">
        <f t="array" ref="O381">_xlfn.IFS(N381=5,I381*15%,N381=4,I381*10%,N381=3,I381*7%,N381&lt;3,I381*5%)</f>
        <v>3259</v>
      </c>
    </row>
    <row r="382" spans="1:15">
      <c r="A382" s="4" t="s">
        <v>825</v>
      </c>
      <c r="B382" s="5" t="s">
        <v>42</v>
      </c>
      <c r="C382" s="5" t="s">
        <v>66</v>
      </c>
      <c r="D382" s="5" t="s">
        <v>19</v>
      </c>
      <c r="E382" s="5">
        <v>60</v>
      </c>
      <c r="F382" s="5" t="s">
        <v>35</v>
      </c>
      <c r="G382" s="5" t="s">
        <v>30</v>
      </c>
      <c r="H382" s="6">
        <v>43930</v>
      </c>
      <c r="I382" s="5">
        <v>93081</v>
      </c>
      <c r="J382" s="5" t="s">
        <v>67</v>
      </c>
      <c r="K382" s="5" t="s">
        <v>826</v>
      </c>
      <c r="L382" s="15" t="s">
        <v>24</v>
      </c>
      <c r="M382" s="14" t="str">
        <f>_xlfn.XLOOKUP(F382,Department!$A$2:$A$6,Department!$B$2:$B$6)</f>
        <v>Sales</v>
      </c>
      <c r="N382" s="22">
        <f>_xlfn.XLOOKUP(A382,Performance!$A$2:$A$501,Performance!$C$2:$C$501)</f>
        <v>4</v>
      </c>
      <c r="O382" s="19" cm="1">
        <f t="array" ref="O382">_xlfn.IFS(N382=5,I382*15%,N382=4,I382*10%,N382=3,I382*7%,N382&lt;3,I382*5%)</f>
        <v>9308.1</v>
      </c>
    </row>
    <row r="383" spans="1:15">
      <c r="A383" s="4" t="s">
        <v>827</v>
      </c>
      <c r="B383" s="5" t="s">
        <v>42</v>
      </c>
      <c r="C383" s="5" t="s">
        <v>66</v>
      </c>
      <c r="D383" s="5" t="s">
        <v>19</v>
      </c>
      <c r="E383" s="5">
        <v>57</v>
      </c>
      <c r="F383" s="5" t="s">
        <v>29</v>
      </c>
      <c r="G383" s="5" t="s">
        <v>36</v>
      </c>
      <c r="H383" s="6">
        <v>43134</v>
      </c>
      <c r="I383" s="5">
        <v>91007</v>
      </c>
      <c r="J383" s="5" t="s">
        <v>62</v>
      </c>
      <c r="K383" s="5" t="s">
        <v>828</v>
      </c>
      <c r="L383" s="15" t="s">
        <v>39</v>
      </c>
      <c r="M383" s="14" t="str">
        <f>_xlfn.XLOOKUP(F383,Department!$A$2:$A$6,Department!$B$2:$B$6)</f>
        <v>IT</v>
      </c>
      <c r="N383" s="22">
        <f>_xlfn.XLOOKUP(A383,Performance!$A$2:$A$501,Performance!$C$2:$C$501)</f>
        <v>3</v>
      </c>
      <c r="O383" s="19" cm="1">
        <f t="array" ref="O383">_xlfn.IFS(N383=5,I383*15%,N383=4,I383*10%,N383=3,I383*7%,N383&lt;3,I383*5%)</f>
        <v>6370.4900000000007</v>
      </c>
    </row>
    <row r="384" spans="1:15">
      <c r="A384" s="4" t="s">
        <v>829</v>
      </c>
      <c r="B384" s="5" t="s">
        <v>48</v>
      </c>
      <c r="C384" s="5" t="s">
        <v>117</v>
      </c>
      <c r="D384" s="5" t="s">
        <v>19</v>
      </c>
      <c r="E384" s="5">
        <v>32</v>
      </c>
      <c r="F384" s="5" t="s">
        <v>29</v>
      </c>
      <c r="G384" s="5" t="s">
        <v>44</v>
      </c>
      <c r="H384" s="6">
        <v>43294</v>
      </c>
      <c r="I384" s="5">
        <v>88127</v>
      </c>
      <c r="J384" s="5" t="s">
        <v>67</v>
      </c>
      <c r="K384" s="5" t="s">
        <v>830</v>
      </c>
      <c r="L384" s="15" t="s">
        <v>24</v>
      </c>
      <c r="M384" s="14" t="str">
        <f>_xlfn.XLOOKUP(F384,Department!$A$2:$A$6,Department!$B$2:$B$6)</f>
        <v>IT</v>
      </c>
      <c r="N384" s="22">
        <f>_xlfn.XLOOKUP(A384,Performance!$A$2:$A$501,Performance!$C$2:$C$501)</f>
        <v>4</v>
      </c>
      <c r="O384" s="19" cm="1">
        <f t="array" ref="O384">_xlfn.IFS(N384=5,I384*15%,N384=4,I384*10%,N384=3,I384*7%,N384&lt;3,I384*5%)</f>
        <v>8812.7000000000007</v>
      </c>
    </row>
    <row r="385" spans="1:15">
      <c r="A385" s="4" t="s">
        <v>831</v>
      </c>
      <c r="B385" s="5" t="s">
        <v>34</v>
      </c>
      <c r="C385" s="5" t="s">
        <v>80</v>
      </c>
      <c r="D385" s="5" t="s">
        <v>28</v>
      </c>
      <c r="E385" s="5">
        <v>34</v>
      </c>
      <c r="F385" s="5" t="s">
        <v>20</v>
      </c>
      <c r="G385" s="5" t="s">
        <v>30</v>
      </c>
      <c r="H385" s="6">
        <v>44595</v>
      </c>
      <c r="I385" s="5">
        <v>70318</v>
      </c>
      <c r="J385" s="5" t="s">
        <v>22</v>
      </c>
      <c r="K385" s="5" t="s">
        <v>832</v>
      </c>
      <c r="L385" s="15" t="s">
        <v>39</v>
      </c>
      <c r="M385" s="14" t="str">
        <f>_xlfn.XLOOKUP(F385,Department!$A$2:$A$6,Department!$B$2:$B$6)</f>
        <v>HR</v>
      </c>
      <c r="N385" s="22">
        <f>_xlfn.XLOOKUP(A385,Performance!$A$2:$A$501,Performance!$C$2:$C$501)</f>
        <v>2</v>
      </c>
      <c r="O385" s="19" cm="1">
        <f t="array" ref="O385">_xlfn.IFS(N385=5,I385*15%,N385=4,I385*10%,N385=3,I385*7%,N385&lt;3,I385*5%)</f>
        <v>3515.9</v>
      </c>
    </row>
    <row r="386" spans="1:15">
      <c r="A386" s="4" t="s">
        <v>833</v>
      </c>
      <c r="B386" s="5" t="s">
        <v>34</v>
      </c>
      <c r="C386" s="5" t="s">
        <v>93</v>
      </c>
      <c r="D386" s="5" t="s">
        <v>19</v>
      </c>
      <c r="E386" s="5">
        <v>31</v>
      </c>
      <c r="F386" s="5" t="s">
        <v>35</v>
      </c>
      <c r="G386" s="5" t="s">
        <v>102</v>
      </c>
      <c r="H386" s="6">
        <v>43302</v>
      </c>
      <c r="I386" s="5">
        <v>47884</v>
      </c>
      <c r="J386" s="5" t="s">
        <v>37</v>
      </c>
      <c r="K386" s="5" t="s">
        <v>834</v>
      </c>
      <c r="L386" s="15" t="s">
        <v>24</v>
      </c>
      <c r="M386" s="14" t="str">
        <f>_xlfn.XLOOKUP(F386,Department!$A$2:$A$6,Department!$B$2:$B$6)</f>
        <v>Sales</v>
      </c>
      <c r="N386" s="22">
        <f>_xlfn.XLOOKUP(A386,Performance!$A$2:$A$501,Performance!$C$2:$C$501)</f>
        <v>4</v>
      </c>
      <c r="O386" s="19" cm="1">
        <f t="array" ref="O386">_xlfn.IFS(N386=5,I386*15%,N386=4,I386*10%,N386=3,I386*7%,N386&lt;3,I386*5%)</f>
        <v>4788.4000000000005</v>
      </c>
    </row>
    <row r="387" spans="1:15">
      <c r="A387" s="4" t="s">
        <v>835</v>
      </c>
      <c r="B387" s="5" t="s">
        <v>126</v>
      </c>
      <c r="C387" s="5" t="s">
        <v>18</v>
      </c>
      <c r="D387" s="5" t="s">
        <v>19</v>
      </c>
      <c r="E387" s="5">
        <v>48</v>
      </c>
      <c r="F387" s="5" t="s">
        <v>54</v>
      </c>
      <c r="G387" s="5" t="s">
        <v>102</v>
      </c>
      <c r="H387" s="6">
        <v>45398</v>
      </c>
      <c r="I387" s="5">
        <v>71987</v>
      </c>
      <c r="J387" s="5" t="s">
        <v>37</v>
      </c>
      <c r="K387" s="5" t="s">
        <v>836</v>
      </c>
      <c r="L387" s="15" t="s">
        <v>39</v>
      </c>
      <c r="M387" s="14" t="str">
        <f>_xlfn.XLOOKUP(F387,Department!$A$2:$A$6,Department!$B$2:$B$6)</f>
        <v>Finance</v>
      </c>
      <c r="N387" s="22">
        <f>_xlfn.XLOOKUP(A387,Performance!$A$2:$A$501,Performance!$C$2:$C$501)</f>
        <v>4</v>
      </c>
      <c r="O387" s="19" cm="1">
        <f t="array" ref="O387">_xlfn.IFS(N387=5,I387*15%,N387=4,I387*10%,N387=3,I387*7%,N387&lt;3,I387*5%)</f>
        <v>7198.7000000000007</v>
      </c>
    </row>
    <row r="388" spans="1:15">
      <c r="A388" s="4" t="s">
        <v>837</v>
      </c>
      <c r="B388" s="5" t="s">
        <v>61</v>
      </c>
      <c r="C388" s="5" t="s">
        <v>117</v>
      </c>
      <c r="D388" s="5" t="s">
        <v>28</v>
      </c>
      <c r="E388" s="5">
        <v>52</v>
      </c>
      <c r="F388" s="5" t="s">
        <v>43</v>
      </c>
      <c r="G388" s="5" t="s">
        <v>44</v>
      </c>
      <c r="H388" s="6">
        <v>44540</v>
      </c>
      <c r="I388" s="5">
        <v>108773</v>
      </c>
      <c r="J388" s="5" t="s">
        <v>62</v>
      </c>
      <c r="K388" s="5" t="s">
        <v>838</v>
      </c>
      <c r="L388" s="15" t="s">
        <v>39</v>
      </c>
      <c r="M388" s="14" t="str">
        <f>_xlfn.XLOOKUP(F388,Department!$A$2:$A$6,Department!$B$2:$B$6)</f>
        <v>Marketing</v>
      </c>
      <c r="N388" s="22">
        <f>_xlfn.XLOOKUP(A388,Performance!$A$2:$A$501,Performance!$C$2:$C$501)</f>
        <v>1</v>
      </c>
      <c r="O388" s="19" cm="1">
        <f t="array" ref="O388">_xlfn.IFS(N388=5,I388*15%,N388=4,I388*10%,N388=3,I388*7%,N388&lt;3,I388*5%)</f>
        <v>5438.6500000000005</v>
      </c>
    </row>
    <row r="389" spans="1:15">
      <c r="A389" s="4" t="s">
        <v>839</v>
      </c>
      <c r="B389" s="5" t="s">
        <v>74</v>
      </c>
      <c r="C389" s="5" t="s">
        <v>117</v>
      </c>
      <c r="D389" s="5" t="s">
        <v>19</v>
      </c>
      <c r="E389" s="5">
        <v>58</v>
      </c>
      <c r="F389" s="5" t="s">
        <v>29</v>
      </c>
      <c r="G389" s="5" t="s">
        <v>44</v>
      </c>
      <c r="H389" s="6">
        <v>43216</v>
      </c>
      <c r="I389" s="5">
        <v>115133</v>
      </c>
      <c r="J389" s="5" t="s">
        <v>37</v>
      </c>
      <c r="K389" s="5" t="s">
        <v>840</v>
      </c>
      <c r="L389" s="15" t="s">
        <v>24</v>
      </c>
      <c r="M389" s="14" t="str">
        <f>_xlfn.XLOOKUP(F389,Department!$A$2:$A$6,Department!$B$2:$B$6)</f>
        <v>IT</v>
      </c>
      <c r="N389" s="22">
        <f>_xlfn.XLOOKUP(A389,Performance!$A$2:$A$501,Performance!$C$2:$C$501)</f>
        <v>1</v>
      </c>
      <c r="O389" s="19" cm="1">
        <f t="array" ref="O389">_xlfn.IFS(N389=5,I389*15%,N389=4,I389*10%,N389=3,I389*7%,N389&lt;3,I389*5%)</f>
        <v>5756.6500000000005</v>
      </c>
    </row>
    <row r="390" spans="1:15">
      <c r="A390" s="4" t="s">
        <v>841</v>
      </c>
      <c r="B390" s="5" t="s">
        <v>92</v>
      </c>
      <c r="C390" s="5" t="s">
        <v>141</v>
      </c>
      <c r="D390" s="5" t="s">
        <v>28</v>
      </c>
      <c r="E390" s="5">
        <v>50</v>
      </c>
      <c r="F390" s="5" t="s">
        <v>20</v>
      </c>
      <c r="G390" s="5" t="s">
        <v>30</v>
      </c>
      <c r="H390" s="6">
        <v>44931</v>
      </c>
      <c r="I390" s="5">
        <v>44417</v>
      </c>
      <c r="J390" s="5" t="s">
        <v>81</v>
      </c>
      <c r="K390" s="5" t="s">
        <v>842</v>
      </c>
      <c r="L390" s="15" t="s">
        <v>39</v>
      </c>
      <c r="M390" s="14" t="str">
        <f>_xlfn.XLOOKUP(F390,Department!$A$2:$A$6,Department!$B$2:$B$6)</f>
        <v>HR</v>
      </c>
      <c r="N390" s="22">
        <f>_xlfn.XLOOKUP(A390,Performance!$A$2:$A$501,Performance!$C$2:$C$501)</f>
        <v>3</v>
      </c>
      <c r="O390" s="19" cm="1">
        <f t="array" ref="O390">_xlfn.IFS(N390=5,I390*15%,N390=4,I390*10%,N390=3,I390*7%,N390&lt;3,I390*5%)</f>
        <v>3109.1900000000005</v>
      </c>
    </row>
    <row r="391" spans="1:15">
      <c r="A391" s="4" t="s">
        <v>843</v>
      </c>
      <c r="B391" s="5" t="s">
        <v>34</v>
      </c>
      <c r="C391" s="5" t="s">
        <v>80</v>
      </c>
      <c r="D391" s="5" t="s">
        <v>28</v>
      </c>
      <c r="E391" s="5">
        <v>46</v>
      </c>
      <c r="F391" s="5" t="s">
        <v>35</v>
      </c>
      <c r="G391" s="5" t="s">
        <v>21</v>
      </c>
      <c r="H391" s="6">
        <v>45119</v>
      </c>
      <c r="I391" s="5">
        <v>107012</v>
      </c>
      <c r="J391" s="5" t="s">
        <v>67</v>
      </c>
      <c r="K391" s="5" t="s">
        <v>844</v>
      </c>
      <c r="L391" s="15" t="s">
        <v>24</v>
      </c>
      <c r="M391" s="14" t="str">
        <f>_xlfn.XLOOKUP(F391,Department!$A$2:$A$6,Department!$B$2:$B$6)</f>
        <v>Sales</v>
      </c>
      <c r="N391" s="22">
        <f>_xlfn.XLOOKUP(A391,Performance!$A$2:$A$501,Performance!$C$2:$C$501)</f>
        <v>5</v>
      </c>
      <c r="O391" s="19" cm="1">
        <f t="array" ref="O391">_xlfn.IFS(N391=5,I391*15%,N391=4,I391*10%,N391=3,I391*7%,N391&lt;3,I391*5%)</f>
        <v>16051.8</v>
      </c>
    </row>
    <row r="392" spans="1:15">
      <c r="A392" s="4" t="s">
        <v>845</v>
      </c>
      <c r="B392" s="5" t="s">
        <v>53</v>
      </c>
      <c r="C392" s="5" t="s">
        <v>80</v>
      </c>
      <c r="D392" s="5" t="s">
        <v>19</v>
      </c>
      <c r="E392" s="5">
        <v>23</v>
      </c>
      <c r="F392" s="5" t="s">
        <v>54</v>
      </c>
      <c r="G392" s="5" t="s">
        <v>30</v>
      </c>
      <c r="H392" s="6">
        <v>44822</v>
      </c>
      <c r="I392" s="5">
        <v>78597</v>
      </c>
      <c r="J392" s="5" t="s">
        <v>37</v>
      </c>
      <c r="K392" s="5" t="s">
        <v>846</v>
      </c>
      <c r="L392" s="15" t="s">
        <v>24</v>
      </c>
      <c r="M392" s="14" t="str">
        <f>_xlfn.XLOOKUP(F392,Department!$A$2:$A$6,Department!$B$2:$B$6)</f>
        <v>Finance</v>
      </c>
      <c r="N392" s="22">
        <f>_xlfn.XLOOKUP(A392,Performance!$A$2:$A$501,Performance!$C$2:$C$501)</f>
        <v>5</v>
      </c>
      <c r="O392" s="19" cm="1">
        <f t="array" ref="O392">_xlfn.IFS(N392=5,I392*15%,N392=4,I392*10%,N392=3,I392*7%,N392&lt;3,I392*5%)</f>
        <v>11789.55</v>
      </c>
    </row>
    <row r="393" spans="1:15">
      <c r="A393" s="4" t="s">
        <v>847</v>
      </c>
      <c r="B393" s="5" t="s">
        <v>61</v>
      </c>
      <c r="C393" s="5" t="s">
        <v>89</v>
      </c>
      <c r="D393" s="5" t="s">
        <v>19</v>
      </c>
      <c r="E393" s="5">
        <v>44</v>
      </c>
      <c r="F393" s="5" t="s">
        <v>29</v>
      </c>
      <c r="G393" s="5" t="s">
        <v>102</v>
      </c>
      <c r="H393" s="6">
        <v>43122</v>
      </c>
      <c r="I393" s="5">
        <v>77085</v>
      </c>
      <c r="J393" s="5" t="s">
        <v>81</v>
      </c>
      <c r="K393" s="5" t="s">
        <v>848</v>
      </c>
      <c r="L393" s="15" t="s">
        <v>39</v>
      </c>
      <c r="M393" s="14" t="str">
        <f>_xlfn.XLOOKUP(F393,Department!$A$2:$A$6,Department!$B$2:$B$6)</f>
        <v>IT</v>
      </c>
      <c r="N393" s="22">
        <f>_xlfn.XLOOKUP(A393,Performance!$A$2:$A$501,Performance!$C$2:$C$501)</f>
        <v>4</v>
      </c>
      <c r="O393" s="19" cm="1">
        <f t="array" ref="O393">_xlfn.IFS(N393=5,I393*15%,N393=4,I393*10%,N393=3,I393*7%,N393&lt;3,I393*5%)</f>
        <v>7708.5</v>
      </c>
    </row>
    <row r="394" spans="1:15">
      <c r="A394" s="4" t="s">
        <v>849</v>
      </c>
      <c r="B394" s="5" t="s">
        <v>48</v>
      </c>
      <c r="C394" s="5" t="s">
        <v>89</v>
      </c>
      <c r="D394" s="5" t="s">
        <v>28</v>
      </c>
      <c r="E394" s="5">
        <v>52</v>
      </c>
      <c r="F394" s="5" t="s">
        <v>54</v>
      </c>
      <c r="G394" s="5" t="s">
        <v>102</v>
      </c>
      <c r="H394" s="6">
        <v>45006</v>
      </c>
      <c r="I394" s="5">
        <v>98031</v>
      </c>
      <c r="J394" s="5" t="s">
        <v>62</v>
      </c>
      <c r="K394" s="5" t="s">
        <v>850</v>
      </c>
      <c r="L394" s="15" t="s">
        <v>39</v>
      </c>
      <c r="M394" s="14" t="str">
        <f>_xlfn.XLOOKUP(F394,Department!$A$2:$A$6,Department!$B$2:$B$6)</f>
        <v>Finance</v>
      </c>
      <c r="N394" s="22">
        <f>_xlfn.XLOOKUP(A394,Performance!$A$2:$A$501,Performance!$C$2:$C$501)</f>
        <v>4</v>
      </c>
      <c r="O394" s="19" cm="1">
        <f t="array" ref="O394">_xlfn.IFS(N394=5,I394*15%,N394=4,I394*10%,N394=3,I394*7%,N394&lt;3,I394*5%)</f>
        <v>9803.1</v>
      </c>
    </row>
    <row r="395" spans="1:15">
      <c r="A395" s="4" t="s">
        <v>851</v>
      </c>
      <c r="B395" s="5" t="s">
        <v>58</v>
      </c>
      <c r="C395" s="5" t="s">
        <v>84</v>
      </c>
      <c r="D395" s="5" t="s">
        <v>28</v>
      </c>
      <c r="E395" s="5">
        <v>47</v>
      </c>
      <c r="F395" s="5" t="s">
        <v>35</v>
      </c>
      <c r="G395" s="5" t="s">
        <v>30</v>
      </c>
      <c r="H395" s="6">
        <v>44902</v>
      </c>
      <c r="I395" s="5">
        <v>59479</v>
      </c>
      <c r="J395" s="5" t="s">
        <v>37</v>
      </c>
      <c r="K395" s="5" t="s">
        <v>852</v>
      </c>
      <c r="L395" s="15" t="s">
        <v>39</v>
      </c>
      <c r="M395" s="14" t="str">
        <f>_xlfn.XLOOKUP(F395,Department!$A$2:$A$6,Department!$B$2:$B$6)</f>
        <v>Sales</v>
      </c>
      <c r="N395" s="22">
        <f>_xlfn.XLOOKUP(A395,Performance!$A$2:$A$501,Performance!$C$2:$C$501)</f>
        <v>4</v>
      </c>
      <c r="O395" s="19" cm="1">
        <f t="array" ref="O395">_xlfn.IFS(N395=5,I395*15%,N395=4,I395*10%,N395=3,I395*7%,N395&lt;3,I395*5%)</f>
        <v>5947.9000000000005</v>
      </c>
    </row>
    <row r="396" spans="1:15">
      <c r="A396" s="4" t="s">
        <v>853</v>
      </c>
      <c r="B396" s="5" t="s">
        <v>53</v>
      </c>
      <c r="C396" s="5" t="s">
        <v>18</v>
      </c>
      <c r="D396" s="5" t="s">
        <v>28</v>
      </c>
      <c r="E396" s="5">
        <v>25</v>
      </c>
      <c r="F396" s="5" t="s">
        <v>54</v>
      </c>
      <c r="G396" s="5" t="s">
        <v>44</v>
      </c>
      <c r="H396" s="6">
        <v>44580</v>
      </c>
      <c r="I396" s="5">
        <v>82566</v>
      </c>
      <c r="J396" s="5" t="s">
        <v>22</v>
      </c>
      <c r="K396" s="5" t="s">
        <v>854</v>
      </c>
      <c r="L396" s="15" t="s">
        <v>24</v>
      </c>
      <c r="M396" s="14" t="str">
        <f>_xlfn.XLOOKUP(F396,Department!$A$2:$A$6,Department!$B$2:$B$6)</f>
        <v>Finance</v>
      </c>
      <c r="N396" s="22">
        <f>_xlfn.XLOOKUP(A396,Performance!$A$2:$A$501,Performance!$C$2:$C$501)</f>
        <v>2</v>
      </c>
      <c r="O396" s="19" cm="1">
        <f t="array" ref="O396">_xlfn.IFS(N396=5,I396*15%,N396=4,I396*10%,N396=3,I396*7%,N396&lt;3,I396*5%)</f>
        <v>4128.3</v>
      </c>
    </row>
    <row r="397" spans="1:15">
      <c r="A397" s="4" t="s">
        <v>855</v>
      </c>
      <c r="B397" s="5" t="s">
        <v>34</v>
      </c>
      <c r="C397" s="5" t="s">
        <v>141</v>
      </c>
      <c r="D397" s="5" t="s">
        <v>19</v>
      </c>
      <c r="E397" s="5">
        <v>37</v>
      </c>
      <c r="F397" s="5" t="s">
        <v>54</v>
      </c>
      <c r="G397" s="5" t="s">
        <v>44</v>
      </c>
      <c r="H397" s="6">
        <v>44283</v>
      </c>
      <c r="I397" s="5">
        <v>90050</v>
      </c>
      <c r="J397" s="5" t="s">
        <v>67</v>
      </c>
      <c r="K397" s="5" t="s">
        <v>856</v>
      </c>
      <c r="L397" s="15" t="s">
        <v>24</v>
      </c>
      <c r="M397" s="14" t="str">
        <f>_xlfn.XLOOKUP(F397,Department!$A$2:$A$6,Department!$B$2:$B$6)</f>
        <v>Finance</v>
      </c>
      <c r="N397" s="22">
        <f>_xlfn.XLOOKUP(A397,Performance!$A$2:$A$501,Performance!$C$2:$C$501)</f>
        <v>5</v>
      </c>
      <c r="O397" s="19" cm="1">
        <f t="array" ref="O397">_xlfn.IFS(N397=5,I397*15%,N397=4,I397*10%,N397=3,I397*7%,N397&lt;3,I397*5%)</f>
        <v>13507.5</v>
      </c>
    </row>
    <row r="398" spans="1:15">
      <c r="A398" s="4" t="s">
        <v>857</v>
      </c>
      <c r="B398" s="5" t="s">
        <v>42</v>
      </c>
      <c r="C398" s="5" t="s">
        <v>117</v>
      </c>
      <c r="D398" s="5" t="s">
        <v>28</v>
      </c>
      <c r="E398" s="5">
        <v>54</v>
      </c>
      <c r="F398" s="5" t="s">
        <v>20</v>
      </c>
      <c r="G398" s="5" t="s">
        <v>30</v>
      </c>
      <c r="H398" s="6">
        <v>45019</v>
      </c>
      <c r="I398" s="5">
        <v>56447</v>
      </c>
      <c r="J398" s="5" t="s">
        <v>22</v>
      </c>
      <c r="K398" s="5" t="s">
        <v>858</v>
      </c>
      <c r="L398" s="15" t="s">
        <v>39</v>
      </c>
      <c r="M398" s="14" t="str">
        <f>_xlfn.XLOOKUP(F398,Department!$A$2:$A$6,Department!$B$2:$B$6)</f>
        <v>HR</v>
      </c>
      <c r="N398" s="22">
        <f>_xlfn.XLOOKUP(A398,Performance!$A$2:$A$501,Performance!$C$2:$C$501)</f>
        <v>4</v>
      </c>
      <c r="O398" s="19" cm="1">
        <f t="array" ref="O398">_xlfn.IFS(N398=5,I398*15%,N398=4,I398*10%,N398=3,I398*7%,N398&lt;3,I398*5%)</f>
        <v>5644.7000000000007</v>
      </c>
    </row>
    <row r="399" spans="1:15">
      <c r="A399" s="4" t="s">
        <v>859</v>
      </c>
      <c r="B399" s="5" t="s">
        <v>74</v>
      </c>
      <c r="C399" s="5" t="s">
        <v>141</v>
      </c>
      <c r="D399" s="5" t="s">
        <v>28</v>
      </c>
      <c r="E399" s="5">
        <v>47</v>
      </c>
      <c r="F399" s="5" t="s">
        <v>35</v>
      </c>
      <c r="G399" s="5" t="s">
        <v>21</v>
      </c>
      <c r="H399" s="6">
        <v>43641</v>
      </c>
      <c r="I399" s="5">
        <v>76082</v>
      </c>
      <c r="J399" s="5" t="s">
        <v>67</v>
      </c>
      <c r="K399" s="5" t="s">
        <v>860</v>
      </c>
      <c r="L399" s="15" t="s">
        <v>39</v>
      </c>
      <c r="M399" s="14" t="str">
        <f>_xlfn.XLOOKUP(F399,Department!$A$2:$A$6,Department!$B$2:$B$6)</f>
        <v>Sales</v>
      </c>
      <c r="N399" s="22">
        <f>_xlfn.XLOOKUP(A399,Performance!$A$2:$A$501,Performance!$C$2:$C$501)</f>
        <v>3</v>
      </c>
      <c r="O399" s="19" cm="1">
        <f t="array" ref="O399">_xlfn.IFS(N399=5,I399*15%,N399=4,I399*10%,N399=3,I399*7%,N399&lt;3,I399*5%)</f>
        <v>5325.7400000000007</v>
      </c>
    </row>
    <row r="400" spans="1:15">
      <c r="A400" s="4" t="s">
        <v>861</v>
      </c>
      <c r="B400" s="5" t="s">
        <v>48</v>
      </c>
      <c r="C400" s="5" t="s">
        <v>49</v>
      </c>
      <c r="D400" s="5" t="s">
        <v>28</v>
      </c>
      <c r="E400" s="5">
        <v>28</v>
      </c>
      <c r="F400" s="5" t="s">
        <v>54</v>
      </c>
      <c r="G400" s="5" t="s">
        <v>30</v>
      </c>
      <c r="H400" s="6">
        <v>45303</v>
      </c>
      <c r="I400" s="5">
        <v>98535</v>
      </c>
      <c r="J400" s="5" t="s">
        <v>62</v>
      </c>
      <c r="K400" s="5" t="s">
        <v>862</v>
      </c>
      <c r="L400" s="15" t="s">
        <v>24</v>
      </c>
      <c r="M400" s="14" t="str">
        <f>_xlfn.XLOOKUP(F400,Department!$A$2:$A$6,Department!$B$2:$B$6)</f>
        <v>Finance</v>
      </c>
      <c r="N400" s="22">
        <f>_xlfn.XLOOKUP(A400,Performance!$A$2:$A$501,Performance!$C$2:$C$501)</f>
        <v>1</v>
      </c>
      <c r="O400" s="19" cm="1">
        <f t="array" ref="O400">_xlfn.IFS(N400=5,I400*15%,N400=4,I400*10%,N400=3,I400*7%,N400&lt;3,I400*5%)</f>
        <v>4926.75</v>
      </c>
    </row>
    <row r="401" spans="1:15">
      <c r="A401" s="4" t="s">
        <v>863</v>
      </c>
      <c r="B401" s="5" t="s">
        <v>92</v>
      </c>
      <c r="C401" s="5" t="s">
        <v>117</v>
      </c>
      <c r="D401" s="5" t="s">
        <v>19</v>
      </c>
      <c r="E401" s="5">
        <v>39</v>
      </c>
      <c r="F401" s="5" t="s">
        <v>20</v>
      </c>
      <c r="G401" s="5" t="s">
        <v>102</v>
      </c>
      <c r="H401" s="6">
        <v>44568</v>
      </c>
      <c r="I401" s="5">
        <v>44551</v>
      </c>
      <c r="J401" s="5" t="s">
        <v>37</v>
      </c>
      <c r="K401" s="5" t="s">
        <v>864</v>
      </c>
      <c r="L401" s="15" t="s">
        <v>24</v>
      </c>
      <c r="M401" s="14" t="str">
        <f>_xlfn.XLOOKUP(F401,Department!$A$2:$A$6,Department!$B$2:$B$6)</f>
        <v>HR</v>
      </c>
      <c r="N401" s="22">
        <f>_xlfn.XLOOKUP(A401,Performance!$A$2:$A$501,Performance!$C$2:$C$501)</f>
        <v>5</v>
      </c>
      <c r="O401" s="19" cm="1">
        <f t="array" ref="O401">_xlfn.IFS(N401=5,I401*15%,N401=4,I401*10%,N401=3,I401*7%,N401&lt;3,I401*5%)</f>
        <v>6682.65</v>
      </c>
    </row>
    <row r="402" spans="1:15">
      <c r="A402" s="4" t="s">
        <v>865</v>
      </c>
      <c r="B402" s="5" t="s">
        <v>74</v>
      </c>
      <c r="C402" s="5" t="s">
        <v>27</v>
      </c>
      <c r="D402" s="5" t="s">
        <v>19</v>
      </c>
      <c r="E402" s="5">
        <v>40</v>
      </c>
      <c r="F402" s="5" t="s">
        <v>54</v>
      </c>
      <c r="G402" s="5" t="s">
        <v>36</v>
      </c>
      <c r="H402" s="6">
        <v>44483</v>
      </c>
      <c r="I402" s="5">
        <v>111797</v>
      </c>
      <c r="J402" s="5" t="s">
        <v>62</v>
      </c>
      <c r="K402" s="5" t="s">
        <v>866</v>
      </c>
      <c r="L402" s="15" t="s">
        <v>39</v>
      </c>
      <c r="M402" s="14" t="str">
        <f>_xlfn.XLOOKUP(F402,Department!$A$2:$A$6,Department!$B$2:$B$6)</f>
        <v>Finance</v>
      </c>
      <c r="N402" s="22">
        <f>_xlfn.XLOOKUP(A402,Performance!$A$2:$A$501,Performance!$C$2:$C$501)</f>
        <v>5</v>
      </c>
      <c r="O402" s="19" cm="1">
        <f t="array" ref="O402">_xlfn.IFS(N402=5,I402*15%,N402=4,I402*10%,N402=3,I402*7%,N402&lt;3,I402*5%)</f>
        <v>16769.55</v>
      </c>
    </row>
    <row r="403" spans="1:15">
      <c r="A403" s="4" t="s">
        <v>867</v>
      </c>
      <c r="B403" s="5" t="s">
        <v>74</v>
      </c>
      <c r="C403" s="5" t="s">
        <v>89</v>
      </c>
      <c r="D403" s="5" t="s">
        <v>28</v>
      </c>
      <c r="E403" s="5">
        <v>43</v>
      </c>
      <c r="F403" s="5" t="s">
        <v>20</v>
      </c>
      <c r="G403" s="5" t="s">
        <v>30</v>
      </c>
      <c r="H403" s="6">
        <v>44813</v>
      </c>
      <c r="I403" s="5">
        <v>40238</v>
      </c>
      <c r="J403" s="5" t="s">
        <v>22</v>
      </c>
      <c r="K403" s="5" t="s">
        <v>868</v>
      </c>
      <c r="L403" s="15" t="s">
        <v>24</v>
      </c>
      <c r="M403" s="14" t="str">
        <f>_xlfn.XLOOKUP(F403,Department!$A$2:$A$6,Department!$B$2:$B$6)</f>
        <v>HR</v>
      </c>
      <c r="N403" s="22">
        <f>_xlfn.XLOOKUP(A403,Performance!$A$2:$A$501,Performance!$C$2:$C$501)</f>
        <v>2</v>
      </c>
      <c r="O403" s="19" cm="1">
        <f t="array" ref="O403">_xlfn.IFS(N403=5,I403*15%,N403=4,I403*10%,N403=3,I403*7%,N403&lt;3,I403*5%)</f>
        <v>2011.9</v>
      </c>
    </row>
    <row r="404" spans="1:15">
      <c r="A404" s="4" t="s">
        <v>869</v>
      </c>
      <c r="B404" s="5" t="s">
        <v>74</v>
      </c>
      <c r="C404" s="5" t="s">
        <v>141</v>
      </c>
      <c r="D404" s="5" t="s">
        <v>19</v>
      </c>
      <c r="E404" s="5">
        <v>55</v>
      </c>
      <c r="F404" s="5" t="s">
        <v>35</v>
      </c>
      <c r="G404" s="5" t="s">
        <v>21</v>
      </c>
      <c r="H404" s="6">
        <v>43963</v>
      </c>
      <c r="I404" s="5">
        <v>70077</v>
      </c>
      <c r="J404" s="5" t="s">
        <v>37</v>
      </c>
      <c r="K404" s="5" t="s">
        <v>870</v>
      </c>
      <c r="L404" s="15" t="s">
        <v>24</v>
      </c>
      <c r="M404" s="14" t="str">
        <f>_xlfn.XLOOKUP(F404,Department!$A$2:$A$6,Department!$B$2:$B$6)</f>
        <v>Sales</v>
      </c>
      <c r="N404" s="22">
        <f>_xlfn.XLOOKUP(A404,Performance!$A$2:$A$501,Performance!$C$2:$C$501)</f>
        <v>1</v>
      </c>
      <c r="O404" s="19" cm="1">
        <f t="array" ref="O404">_xlfn.IFS(N404=5,I404*15%,N404=4,I404*10%,N404=3,I404*7%,N404&lt;3,I404*5%)</f>
        <v>3503.8500000000004</v>
      </c>
    </row>
    <row r="405" spans="1:15">
      <c r="A405" s="4" t="s">
        <v>871</v>
      </c>
      <c r="B405" s="5" t="s">
        <v>48</v>
      </c>
      <c r="C405" s="5" t="s">
        <v>18</v>
      </c>
      <c r="D405" s="5" t="s">
        <v>28</v>
      </c>
      <c r="E405" s="5">
        <v>57</v>
      </c>
      <c r="F405" s="5" t="s">
        <v>20</v>
      </c>
      <c r="G405" s="5" t="s">
        <v>21</v>
      </c>
      <c r="H405" s="6">
        <v>45201</v>
      </c>
      <c r="I405" s="5">
        <v>107382</v>
      </c>
      <c r="J405" s="5" t="s">
        <v>22</v>
      </c>
      <c r="K405" s="5" t="s">
        <v>872</v>
      </c>
      <c r="L405" s="15" t="s">
        <v>39</v>
      </c>
      <c r="M405" s="14" t="str">
        <f>_xlfn.XLOOKUP(F405,Department!$A$2:$A$6,Department!$B$2:$B$6)</f>
        <v>HR</v>
      </c>
      <c r="N405" s="22">
        <f>_xlfn.XLOOKUP(A405,Performance!$A$2:$A$501,Performance!$C$2:$C$501)</f>
        <v>2</v>
      </c>
      <c r="O405" s="19" cm="1">
        <f t="array" ref="O405">_xlfn.IFS(N405=5,I405*15%,N405=4,I405*10%,N405=3,I405*7%,N405&lt;3,I405*5%)</f>
        <v>5369.1</v>
      </c>
    </row>
    <row r="406" spans="1:15">
      <c r="A406" s="4" t="s">
        <v>873</v>
      </c>
      <c r="B406" s="5" t="s">
        <v>92</v>
      </c>
      <c r="C406" s="5" t="s">
        <v>93</v>
      </c>
      <c r="D406" s="5" t="s">
        <v>19</v>
      </c>
      <c r="E406" s="5">
        <v>24</v>
      </c>
      <c r="F406" s="5" t="s">
        <v>54</v>
      </c>
      <c r="G406" s="5" t="s">
        <v>30</v>
      </c>
      <c r="H406" s="6">
        <v>45204</v>
      </c>
      <c r="I406" s="5">
        <v>54413</v>
      </c>
      <c r="J406" s="5" t="s">
        <v>67</v>
      </c>
      <c r="K406" s="5" t="s">
        <v>874</v>
      </c>
      <c r="L406" s="15" t="s">
        <v>24</v>
      </c>
      <c r="M406" s="14" t="str">
        <f>_xlfn.XLOOKUP(F406,Department!$A$2:$A$6,Department!$B$2:$B$6)</f>
        <v>Finance</v>
      </c>
      <c r="N406" s="22">
        <f>_xlfn.XLOOKUP(A406,Performance!$A$2:$A$501,Performance!$C$2:$C$501)</f>
        <v>4</v>
      </c>
      <c r="O406" s="19" cm="1">
        <f t="array" ref="O406">_xlfn.IFS(N406=5,I406*15%,N406=4,I406*10%,N406=3,I406*7%,N406&lt;3,I406*5%)</f>
        <v>5441.3</v>
      </c>
    </row>
    <row r="407" spans="1:15">
      <c r="A407" s="4" t="s">
        <v>875</v>
      </c>
      <c r="B407" s="5" t="s">
        <v>126</v>
      </c>
      <c r="C407" s="5" t="s">
        <v>27</v>
      </c>
      <c r="D407" s="5" t="s">
        <v>28</v>
      </c>
      <c r="E407" s="5">
        <v>37</v>
      </c>
      <c r="F407" s="5" t="s">
        <v>35</v>
      </c>
      <c r="G407" s="5" t="s">
        <v>102</v>
      </c>
      <c r="H407" s="6">
        <v>44959</v>
      </c>
      <c r="I407" s="5">
        <v>40061</v>
      </c>
      <c r="J407" s="5" t="s">
        <v>67</v>
      </c>
      <c r="K407" s="5" t="s">
        <v>876</v>
      </c>
      <c r="L407" s="15" t="s">
        <v>24</v>
      </c>
      <c r="M407" s="14" t="str">
        <f>_xlfn.XLOOKUP(F407,Department!$A$2:$A$6,Department!$B$2:$B$6)</f>
        <v>Sales</v>
      </c>
      <c r="N407" s="22">
        <f>_xlfn.XLOOKUP(A407,Performance!$A$2:$A$501,Performance!$C$2:$C$501)</f>
        <v>3</v>
      </c>
      <c r="O407" s="19" cm="1">
        <f t="array" ref="O407">_xlfn.IFS(N407=5,I407*15%,N407=4,I407*10%,N407=3,I407*7%,N407&lt;3,I407*5%)</f>
        <v>2804.2700000000004</v>
      </c>
    </row>
    <row r="408" spans="1:15">
      <c r="A408" s="4" t="s">
        <v>877</v>
      </c>
      <c r="B408" s="5" t="s">
        <v>34</v>
      </c>
      <c r="C408" s="5" t="s">
        <v>93</v>
      </c>
      <c r="D408" s="5" t="s">
        <v>28</v>
      </c>
      <c r="E408" s="5">
        <v>45</v>
      </c>
      <c r="F408" s="5" t="s">
        <v>43</v>
      </c>
      <c r="G408" s="5" t="s">
        <v>102</v>
      </c>
      <c r="H408" s="6">
        <v>45040</v>
      </c>
      <c r="I408" s="5">
        <v>89039</v>
      </c>
      <c r="J408" s="5" t="s">
        <v>37</v>
      </c>
      <c r="K408" s="5" t="s">
        <v>878</v>
      </c>
      <c r="L408" s="15" t="s">
        <v>24</v>
      </c>
      <c r="M408" s="14" t="str">
        <f>_xlfn.XLOOKUP(F408,Department!$A$2:$A$6,Department!$B$2:$B$6)</f>
        <v>Marketing</v>
      </c>
      <c r="N408" s="22">
        <f>_xlfn.XLOOKUP(A408,Performance!$A$2:$A$501,Performance!$C$2:$C$501)</f>
        <v>3</v>
      </c>
      <c r="O408" s="19" cm="1">
        <f t="array" ref="O408">_xlfn.IFS(N408=5,I408*15%,N408=4,I408*10%,N408=3,I408*7%,N408&lt;3,I408*5%)</f>
        <v>6232.7300000000005</v>
      </c>
    </row>
    <row r="409" spans="1:15">
      <c r="A409" s="4" t="s">
        <v>879</v>
      </c>
      <c r="B409" s="5" t="s">
        <v>74</v>
      </c>
      <c r="C409" s="5" t="s">
        <v>66</v>
      </c>
      <c r="D409" s="5" t="s">
        <v>19</v>
      </c>
      <c r="E409" s="5">
        <v>30</v>
      </c>
      <c r="F409" s="5" t="s">
        <v>43</v>
      </c>
      <c r="G409" s="5" t="s">
        <v>44</v>
      </c>
      <c r="H409" s="6">
        <v>44858</v>
      </c>
      <c r="I409" s="5">
        <v>41334</v>
      </c>
      <c r="J409" s="5" t="s">
        <v>37</v>
      </c>
      <c r="K409" s="5" t="s">
        <v>880</v>
      </c>
      <c r="L409" s="15" t="s">
        <v>24</v>
      </c>
      <c r="M409" s="14" t="str">
        <f>_xlfn.XLOOKUP(F409,Department!$A$2:$A$6,Department!$B$2:$B$6)</f>
        <v>Marketing</v>
      </c>
      <c r="N409" s="22">
        <f>_xlfn.XLOOKUP(A409,Performance!$A$2:$A$501,Performance!$C$2:$C$501)</f>
        <v>5</v>
      </c>
      <c r="O409" s="19" cm="1">
        <f t="array" ref="O409">_xlfn.IFS(N409=5,I409*15%,N409=4,I409*10%,N409=3,I409*7%,N409&lt;3,I409*5%)</f>
        <v>6200.0999999999995</v>
      </c>
    </row>
    <row r="410" spans="1:15">
      <c r="A410" s="4" t="s">
        <v>881</v>
      </c>
      <c r="B410" s="5" t="s">
        <v>53</v>
      </c>
      <c r="C410" s="5" t="s">
        <v>141</v>
      </c>
      <c r="D410" s="5" t="s">
        <v>19</v>
      </c>
      <c r="E410" s="5">
        <v>55</v>
      </c>
      <c r="F410" s="5" t="s">
        <v>29</v>
      </c>
      <c r="G410" s="5" t="s">
        <v>21</v>
      </c>
      <c r="H410" s="6">
        <v>45355</v>
      </c>
      <c r="I410" s="5">
        <v>108930</v>
      </c>
      <c r="J410" s="5" t="s">
        <v>62</v>
      </c>
      <c r="K410" s="5" t="s">
        <v>882</v>
      </c>
      <c r="L410" s="15" t="s">
        <v>39</v>
      </c>
      <c r="M410" s="14" t="str">
        <f>_xlfn.XLOOKUP(F410,Department!$A$2:$A$6,Department!$B$2:$B$6)</f>
        <v>IT</v>
      </c>
      <c r="N410" s="22">
        <f>_xlfn.XLOOKUP(A410,Performance!$A$2:$A$501,Performance!$C$2:$C$501)</f>
        <v>1</v>
      </c>
      <c r="O410" s="19" cm="1">
        <f t="array" ref="O410">_xlfn.IFS(N410=5,I410*15%,N410=4,I410*10%,N410=3,I410*7%,N410&lt;3,I410*5%)</f>
        <v>5446.5</v>
      </c>
    </row>
    <row r="411" spans="1:15">
      <c r="A411" s="4" t="s">
        <v>883</v>
      </c>
      <c r="B411" s="5" t="s">
        <v>74</v>
      </c>
      <c r="C411" s="5" t="s">
        <v>89</v>
      </c>
      <c r="D411" s="5" t="s">
        <v>19</v>
      </c>
      <c r="E411" s="5">
        <v>31</v>
      </c>
      <c r="F411" s="5" t="s">
        <v>54</v>
      </c>
      <c r="G411" s="5" t="s">
        <v>30</v>
      </c>
      <c r="H411" s="6">
        <v>43466</v>
      </c>
      <c r="I411" s="5">
        <v>78935</v>
      </c>
      <c r="J411" s="5" t="s">
        <v>22</v>
      </c>
      <c r="K411" s="5" t="s">
        <v>884</v>
      </c>
      <c r="L411" s="15" t="s">
        <v>39</v>
      </c>
      <c r="M411" s="14" t="str">
        <f>_xlfn.XLOOKUP(F411,Department!$A$2:$A$6,Department!$B$2:$B$6)</f>
        <v>Finance</v>
      </c>
      <c r="N411" s="22">
        <f>_xlfn.XLOOKUP(A411,Performance!$A$2:$A$501,Performance!$C$2:$C$501)</f>
        <v>5</v>
      </c>
      <c r="O411" s="19" cm="1">
        <f t="array" ref="O411">_xlfn.IFS(N411=5,I411*15%,N411=4,I411*10%,N411=3,I411*7%,N411&lt;3,I411*5%)</f>
        <v>11840.25</v>
      </c>
    </row>
    <row r="412" spans="1:15">
      <c r="A412" s="4" t="s">
        <v>885</v>
      </c>
      <c r="B412" s="5" t="s">
        <v>42</v>
      </c>
      <c r="C412" s="5" t="s">
        <v>80</v>
      </c>
      <c r="D412" s="5" t="s">
        <v>28</v>
      </c>
      <c r="E412" s="5">
        <v>34</v>
      </c>
      <c r="F412" s="5" t="s">
        <v>54</v>
      </c>
      <c r="G412" s="5" t="s">
        <v>44</v>
      </c>
      <c r="H412" s="6">
        <v>45516</v>
      </c>
      <c r="I412" s="5">
        <v>68187</v>
      </c>
      <c r="J412" s="5" t="s">
        <v>22</v>
      </c>
      <c r="K412" s="5" t="s">
        <v>886</v>
      </c>
      <c r="L412" s="15" t="s">
        <v>24</v>
      </c>
      <c r="M412" s="14" t="str">
        <f>_xlfn.XLOOKUP(F412,Department!$A$2:$A$6,Department!$B$2:$B$6)</f>
        <v>Finance</v>
      </c>
      <c r="N412" s="22">
        <f>_xlfn.XLOOKUP(A412,Performance!$A$2:$A$501,Performance!$C$2:$C$501)</f>
        <v>1</v>
      </c>
      <c r="O412" s="19" cm="1">
        <f t="array" ref="O412">_xlfn.IFS(N412=5,I412*15%,N412=4,I412*10%,N412=3,I412*7%,N412&lt;3,I412*5%)</f>
        <v>3409.3500000000004</v>
      </c>
    </row>
    <row r="413" spans="1:15">
      <c r="A413" s="4" t="s">
        <v>887</v>
      </c>
      <c r="B413" s="5" t="s">
        <v>17</v>
      </c>
      <c r="C413" s="5" t="s">
        <v>49</v>
      </c>
      <c r="D413" s="5" t="s">
        <v>19</v>
      </c>
      <c r="E413" s="5">
        <v>51</v>
      </c>
      <c r="F413" s="5" t="s">
        <v>29</v>
      </c>
      <c r="G413" s="5" t="s">
        <v>30</v>
      </c>
      <c r="H413" s="6">
        <v>44905</v>
      </c>
      <c r="I413" s="5">
        <v>56816</v>
      </c>
      <c r="J413" s="5" t="s">
        <v>67</v>
      </c>
      <c r="K413" s="5" t="s">
        <v>888</v>
      </c>
      <c r="L413" s="15" t="s">
        <v>24</v>
      </c>
      <c r="M413" s="14" t="str">
        <f>_xlfn.XLOOKUP(F413,Department!$A$2:$A$6,Department!$B$2:$B$6)</f>
        <v>IT</v>
      </c>
      <c r="N413" s="22">
        <f>_xlfn.XLOOKUP(A413,Performance!$A$2:$A$501,Performance!$C$2:$C$501)</f>
        <v>3</v>
      </c>
      <c r="O413" s="19" cm="1">
        <f t="array" ref="O413">_xlfn.IFS(N413=5,I413*15%,N413=4,I413*10%,N413=3,I413*7%,N413&lt;3,I413*5%)</f>
        <v>3977.1200000000003</v>
      </c>
    </row>
    <row r="414" spans="1:15">
      <c r="A414" s="4" t="s">
        <v>889</v>
      </c>
      <c r="B414" s="5" t="s">
        <v>61</v>
      </c>
      <c r="C414" s="5" t="s">
        <v>18</v>
      </c>
      <c r="D414" s="5" t="s">
        <v>19</v>
      </c>
      <c r="E414" s="5">
        <v>29</v>
      </c>
      <c r="F414" s="5" t="s">
        <v>29</v>
      </c>
      <c r="G414" s="5" t="s">
        <v>21</v>
      </c>
      <c r="H414" s="6">
        <v>43361</v>
      </c>
      <c r="I414" s="5">
        <v>102232</v>
      </c>
      <c r="J414" s="5" t="s">
        <v>22</v>
      </c>
      <c r="K414" s="5" t="s">
        <v>890</v>
      </c>
      <c r="L414" s="15" t="s">
        <v>24</v>
      </c>
      <c r="M414" s="14" t="str">
        <f>_xlfn.XLOOKUP(F414,Department!$A$2:$A$6,Department!$B$2:$B$6)</f>
        <v>IT</v>
      </c>
      <c r="N414" s="22">
        <f>_xlfn.XLOOKUP(A414,Performance!$A$2:$A$501,Performance!$C$2:$C$501)</f>
        <v>4</v>
      </c>
      <c r="O414" s="19" cm="1">
        <f t="array" ref="O414">_xlfn.IFS(N414=5,I414*15%,N414=4,I414*10%,N414=3,I414*7%,N414&lt;3,I414*5%)</f>
        <v>10223.200000000001</v>
      </c>
    </row>
    <row r="415" spans="1:15">
      <c r="A415" s="4" t="s">
        <v>891</v>
      </c>
      <c r="B415" s="5" t="s">
        <v>61</v>
      </c>
      <c r="C415" s="5" t="s">
        <v>49</v>
      </c>
      <c r="D415" s="5" t="s">
        <v>28</v>
      </c>
      <c r="E415" s="5">
        <v>38</v>
      </c>
      <c r="F415" s="5" t="s">
        <v>54</v>
      </c>
      <c r="G415" s="5" t="s">
        <v>102</v>
      </c>
      <c r="H415" s="6">
        <v>45322</v>
      </c>
      <c r="I415" s="5">
        <v>99123</v>
      </c>
      <c r="J415" s="5" t="s">
        <v>22</v>
      </c>
      <c r="K415" s="5" t="s">
        <v>892</v>
      </c>
      <c r="L415" s="15" t="s">
        <v>39</v>
      </c>
      <c r="M415" s="14" t="str">
        <f>_xlfn.XLOOKUP(F415,Department!$A$2:$A$6,Department!$B$2:$B$6)</f>
        <v>Finance</v>
      </c>
      <c r="N415" s="22">
        <f>_xlfn.XLOOKUP(A415,Performance!$A$2:$A$501,Performance!$C$2:$C$501)</f>
        <v>3</v>
      </c>
      <c r="O415" s="19" cm="1">
        <f t="array" ref="O415">_xlfn.IFS(N415=5,I415*15%,N415=4,I415*10%,N415=3,I415*7%,N415&lt;3,I415*5%)</f>
        <v>6938.6100000000006</v>
      </c>
    </row>
    <row r="416" spans="1:15">
      <c r="A416" s="4" t="s">
        <v>893</v>
      </c>
      <c r="B416" s="5" t="s">
        <v>58</v>
      </c>
      <c r="C416" s="5" t="s">
        <v>18</v>
      </c>
      <c r="D416" s="5" t="s">
        <v>19</v>
      </c>
      <c r="E416" s="5">
        <v>23</v>
      </c>
      <c r="F416" s="5" t="s">
        <v>43</v>
      </c>
      <c r="G416" s="5" t="s">
        <v>36</v>
      </c>
      <c r="H416" s="6">
        <v>44335</v>
      </c>
      <c r="I416" s="5">
        <v>44686</v>
      </c>
      <c r="J416" s="5" t="s">
        <v>62</v>
      </c>
      <c r="K416" s="5" t="s">
        <v>894</v>
      </c>
      <c r="L416" s="15" t="s">
        <v>24</v>
      </c>
      <c r="M416" s="14" t="str">
        <f>_xlfn.XLOOKUP(F416,Department!$A$2:$A$6,Department!$B$2:$B$6)</f>
        <v>Marketing</v>
      </c>
      <c r="N416" s="22">
        <f>_xlfn.XLOOKUP(A416,Performance!$A$2:$A$501,Performance!$C$2:$C$501)</f>
        <v>1</v>
      </c>
      <c r="O416" s="19" cm="1">
        <f t="array" ref="O416">_xlfn.IFS(N416=5,I416*15%,N416=4,I416*10%,N416=3,I416*7%,N416&lt;3,I416*5%)</f>
        <v>2234.3000000000002</v>
      </c>
    </row>
    <row r="417" spans="1:15">
      <c r="A417" s="4" t="s">
        <v>895</v>
      </c>
      <c r="B417" s="5" t="s">
        <v>58</v>
      </c>
      <c r="C417" s="5" t="s">
        <v>141</v>
      </c>
      <c r="D417" s="5" t="s">
        <v>28</v>
      </c>
      <c r="E417" s="5">
        <v>57</v>
      </c>
      <c r="F417" s="5" t="s">
        <v>35</v>
      </c>
      <c r="G417" s="5" t="s">
        <v>30</v>
      </c>
      <c r="H417" s="6">
        <v>45426</v>
      </c>
      <c r="I417" s="5">
        <v>104342</v>
      </c>
      <c r="J417" s="5" t="s">
        <v>81</v>
      </c>
      <c r="K417" s="5" t="s">
        <v>896</v>
      </c>
      <c r="L417" s="15" t="s">
        <v>39</v>
      </c>
      <c r="M417" s="14" t="str">
        <f>_xlfn.XLOOKUP(F417,Department!$A$2:$A$6,Department!$B$2:$B$6)</f>
        <v>Sales</v>
      </c>
      <c r="N417" s="22">
        <f>_xlfn.XLOOKUP(A417,Performance!$A$2:$A$501,Performance!$C$2:$C$501)</f>
        <v>2</v>
      </c>
      <c r="O417" s="19" cm="1">
        <f t="array" ref="O417">_xlfn.IFS(N417=5,I417*15%,N417=4,I417*10%,N417=3,I417*7%,N417&lt;3,I417*5%)</f>
        <v>5217.1000000000004</v>
      </c>
    </row>
    <row r="418" spans="1:15">
      <c r="A418" s="4" t="s">
        <v>897</v>
      </c>
      <c r="B418" s="5" t="s">
        <v>34</v>
      </c>
      <c r="C418" s="5" t="s">
        <v>84</v>
      </c>
      <c r="D418" s="5" t="s">
        <v>28</v>
      </c>
      <c r="E418" s="5">
        <v>40</v>
      </c>
      <c r="F418" s="5" t="s">
        <v>20</v>
      </c>
      <c r="G418" s="5" t="s">
        <v>30</v>
      </c>
      <c r="H418" s="6">
        <v>44391</v>
      </c>
      <c r="I418" s="5">
        <v>116236</v>
      </c>
      <c r="J418" s="5" t="s">
        <v>67</v>
      </c>
      <c r="K418" s="5" t="s">
        <v>898</v>
      </c>
      <c r="L418" s="15" t="s">
        <v>39</v>
      </c>
      <c r="M418" s="14" t="str">
        <f>_xlfn.XLOOKUP(F418,Department!$A$2:$A$6,Department!$B$2:$B$6)</f>
        <v>HR</v>
      </c>
      <c r="N418" s="22">
        <f>_xlfn.XLOOKUP(A418,Performance!$A$2:$A$501,Performance!$C$2:$C$501)</f>
        <v>1</v>
      </c>
      <c r="O418" s="19" cm="1">
        <f t="array" ref="O418">_xlfn.IFS(N418=5,I418*15%,N418=4,I418*10%,N418=3,I418*7%,N418&lt;3,I418*5%)</f>
        <v>5811.8</v>
      </c>
    </row>
    <row r="419" spans="1:15">
      <c r="A419" s="4" t="s">
        <v>899</v>
      </c>
      <c r="B419" s="5" t="s">
        <v>48</v>
      </c>
      <c r="C419" s="5" t="s">
        <v>84</v>
      </c>
      <c r="D419" s="5" t="s">
        <v>28</v>
      </c>
      <c r="E419" s="5">
        <v>33</v>
      </c>
      <c r="F419" s="5" t="s">
        <v>43</v>
      </c>
      <c r="G419" s="5" t="s">
        <v>36</v>
      </c>
      <c r="H419" s="6">
        <v>43158</v>
      </c>
      <c r="I419" s="5">
        <v>63416</v>
      </c>
      <c r="J419" s="5" t="s">
        <v>22</v>
      </c>
      <c r="K419" s="5" t="s">
        <v>900</v>
      </c>
      <c r="L419" s="15" t="s">
        <v>39</v>
      </c>
      <c r="M419" s="14" t="str">
        <f>_xlfn.XLOOKUP(F419,Department!$A$2:$A$6,Department!$B$2:$B$6)</f>
        <v>Marketing</v>
      </c>
      <c r="N419" s="22">
        <f>_xlfn.XLOOKUP(A419,Performance!$A$2:$A$501,Performance!$C$2:$C$501)</f>
        <v>3</v>
      </c>
      <c r="O419" s="19" cm="1">
        <f t="array" ref="O419">_xlfn.IFS(N419=5,I419*15%,N419=4,I419*10%,N419=3,I419*7%,N419&lt;3,I419*5%)</f>
        <v>4439.1200000000008</v>
      </c>
    </row>
    <row r="420" spans="1:15">
      <c r="A420" s="4" t="s">
        <v>901</v>
      </c>
      <c r="B420" s="5" t="s">
        <v>92</v>
      </c>
      <c r="C420" s="5" t="s">
        <v>80</v>
      </c>
      <c r="D420" s="5" t="s">
        <v>19</v>
      </c>
      <c r="E420" s="5">
        <v>46</v>
      </c>
      <c r="F420" s="5" t="s">
        <v>29</v>
      </c>
      <c r="G420" s="5" t="s">
        <v>44</v>
      </c>
      <c r="H420" s="6">
        <v>44171</v>
      </c>
      <c r="I420" s="5">
        <v>48319</v>
      </c>
      <c r="J420" s="5" t="s">
        <v>81</v>
      </c>
      <c r="K420" s="5" t="s">
        <v>902</v>
      </c>
      <c r="L420" s="15" t="s">
        <v>24</v>
      </c>
      <c r="M420" s="14" t="str">
        <f>_xlfn.XLOOKUP(F420,Department!$A$2:$A$6,Department!$B$2:$B$6)</f>
        <v>IT</v>
      </c>
      <c r="N420" s="22">
        <f>_xlfn.XLOOKUP(A420,Performance!$A$2:$A$501,Performance!$C$2:$C$501)</f>
        <v>3</v>
      </c>
      <c r="O420" s="19" cm="1">
        <f t="array" ref="O420">_xlfn.IFS(N420=5,I420*15%,N420=4,I420*10%,N420=3,I420*7%,N420&lt;3,I420*5%)</f>
        <v>3382.3300000000004</v>
      </c>
    </row>
    <row r="421" spans="1:15">
      <c r="A421" s="4" t="s">
        <v>903</v>
      </c>
      <c r="B421" s="5" t="s">
        <v>17</v>
      </c>
      <c r="C421" s="5" t="s">
        <v>117</v>
      </c>
      <c r="D421" s="5" t="s">
        <v>19</v>
      </c>
      <c r="E421" s="5">
        <v>36</v>
      </c>
      <c r="F421" s="5" t="s">
        <v>43</v>
      </c>
      <c r="G421" s="5" t="s">
        <v>21</v>
      </c>
      <c r="H421" s="6">
        <v>45562</v>
      </c>
      <c r="I421" s="5">
        <v>82168</v>
      </c>
      <c r="J421" s="5" t="s">
        <v>22</v>
      </c>
      <c r="K421" s="5" t="s">
        <v>904</v>
      </c>
      <c r="L421" s="15" t="s">
        <v>24</v>
      </c>
      <c r="M421" s="14" t="str">
        <f>_xlfn.XLOOKUP(F421,Department!$A$2:$A$6,Department!$B$2:$B$6)</f>
        <v>Marketing</v>
      </c>
      <c r="N421" s="22">
        <f>_xlfn.XLOOKUP(A421,Performance!$A$2:$A$501,Performance!$C$2:$C$501)</f>
        <v>1</v>
      </c>
      <c r="O421" s="19" cm="1">
        <f t="array" ref="O421">_xlfn.IFS(N421=5,I421*15%,N421=4,I421*10%,N421=3,I421*7%,N421&lt;3,I421*5%)</f>
        <v>4108.4000000000005</v>
      </c>
    </row>
    <row r="422" spans="1:15">
      <c r="A422" s="4" t="s">
        <v>905</v>
      </c>
      <c r="B422" s="5" t="s">
        <v>74</v>
      </c>
      <c r="C422" s="5" t="s">
        <v>66</v>
      </c>
      <c r="D422" s="5" t="s">
        <v>28</v>
      </c>
      <c r="E422" s="5">
        <v>32</v>
      </c>
      <c r="F422" s="5" t="s">
        <v>29</v>
      </c>
      <c r="G422" s="5" t="s">
        <v>44</v>
      </c>
      <c r="H422" s="6">
        <v>43981</v>
      </c>
      <c r="I422" s="5">
        <v>83994</v>
      </c>
      <c r="J422" s="5" t="s">
        <v>22</v>
      </c>
      <c r="K422" s="5" t="s">
        <v>906</v>
      </c>
      <c r="L422" s="15" t="s">
        <v>39</v>
      </c>
      <c r="M422" s="14" t="str">
        <f>_xlfn.XLOOKUP(F422,Department!$A$2:$A$6,Department!$B$2:$B$6)</f>
        <v>IT</v>
      </c>
      <c r="N422" s="22">
        <f>_xlfn.XLOOKUP(A422,Performance!$A$2:$A$501,Performance!$C$2:$C$501)</f>
        <v>1</v>
      </c>
      <c r="O422" s="19" cm="1">
        <f t="array" ref="O422">_xlfn.IFS(N422=5,I422*15%,N422=4,I422*10%,N422=3,I422*7%,N422&lt;3,I422*5%)</f>
        <v>4199.7</v>
      </c>
    </row>
    <row r="423" spans="1:15">
      <c r="A423" s="4" t="s">
        <v>907</v>
      </c>
      <c r="B423" s="5" t="s">
        <v>34</v>
      </c>
      <c r="C423" s="5" t="s">
        <v>89</v>
      </c>
      <c r="D423" s="5" t="s">
        <v>19</v>
      </c>
      <c r="E423" s="5">
        <v>43</v>
      </c>
      <c r="F423" s="5" t="s">
        <v>29</v>
      </c>
      <c r="G423" s="5" t="s">
        <v>36</v>
      </c>
      <c r="H423" s="6">
        <v>43446</v>
      </c>
      <c r="I423" s="5">
        <v>45200</v>
      </c>
      <c r="J423" s="5" t="s">
        <v>22</v>
      </c>
      <c r="K423" s="5" t="s">
        <v>908</v>
      </c>
      <c r="L423" s="15" t="s">
        <v>39</v>
      </c>
      <c r="M423" s="14" t="str">
        <f>_xlfn.XLOOKUP(F423,Department!$A$2:$A$6,Department!$B$2:$B$6)</f>
        <v>IT</v>
      </c>
      <c r="N423" s="22">
        <f>_xlfn.XLOOKUP(A423,Performance!$A$2:$A$501,Performance!$C$2:$C$501)</f>
        <v>4</v>
      </c>
      <c r="O423" s="19" cm="1">
        <f t="array" ref="O423">_xlfn.IFS(N423=5,I423*15%,N423=4,I423*10%,N423=3,I423*7%,N423&lt;3,I423*5%)</f>
        <v>4520</v>
      </c>
    </row>
    <row r="424" spans="1:15">
      <c r="A424" s="4" t="s">
        <v>909</v>
      </c>
      <c r="B424" s="5" t="s">
        <v>42</v>
      </c>
      <c r="C424" s="5" t="s">
        <v>66</v>
      </c>
      <c r="D424" s="5" t="s">
        <v>28</v>
      </c>
      <c r="E424" s="5">
        <v>25</v>
      </c>
      <c r="F424" s="5" t="s">
        <v>35</v>
      </c>
      <c r="G424" s="5" t="s">
        <v>21</v>
      </c>
      <c r="H424" s="6">
        <v>45480</v>
      </c>
      <c r="I424" s="5">
        <v>84722</v>
      </c>
      <c r="J424" s="5" t="s">
        <v>67</v>
      </c>
      <c r="K424" s="5" t="s">
        <v>910</v>
      </c>
      <c r="L424" s="15" t="s">
        <v>39</v>
      </c>
      <c r="M424" s="14" t="str">
        <f>_xlfn.XLOOKUP(F424,Department!$A$2:$A$6,Department!$B$2:$B$6)</f>
        <v>Sales</v>
      </c>
      <c r="N424" s="22">
        <f>_xlfn.XLOOKUP(A424,Performance!$A$2:$A$501,Performance!$C$2:$C$501)</f>
        <v>4</v>
      </c>
      <c r="O424" s="19" cm="1">
        <f t="array" ref="O424">_xlfn.IFS(N424=5,I424*15%,N424=4,I424*10%,N424=3,I424*7%,N424&lt;3,I424*5%)</f>
        <v>8472.2000000000007</v>
      </c>
    </row>
    <row r="425" spans="1:15">
      <c r="A425" s="4" t="s">
        <v>911</v>
      </c>
      <c r="B425" s="5" t="s">
        <v>17</v>
      </c>
      <c r="C425" s="5" t="s">
        <v>66</v>
      </c>
      <c r="D425" s="5" t="s">
        <v>19</v>
      </c>
      <c r="E425" s="5">
        <v>24</v>
      </c>
      <c r="F425" s="5" t="s">
        <v>35</v>
      </c>
      <c r="G425" s="5" t="s">
        <v>21</v>
      </c>
      <c r="H425" s="6">
        <v>43645</v>
      </c>
      <c r="I425" s="5">
        <v>57088</v>
      </c>
      <c r="J425" s="5" t="s">
        <v>22</v>
      </c>
      <c r="K425" s="5" t="s">
        <v>912</v>
      </c>
      <c r="L425" s="15" t="s">
        <v>24</v>
      </c>
      <c r="M425" s="14" t="str">
        <f>_xlfn.XLOOKUP(F425,Department!$A$2:$A$6,Department!$B$2:$B$6)</f>
        <v>Sales</v>
      </c>
      <c r="N425" s="22">
        <f>_xlfn.XLOOKUP(A425,Performance!$A$2:$A$501,Performance!$C$2:$C$501)</f>
        <v>3</v>
      </c>
      <c r="O425" s="19" cm="1">
        <f t="array" ref="O425">_xlfn.IFS(N425=5,I425*15%,N425=4,I425*10%,N425=3,I425*7%,N425&lt;3,I425*5%)</f>
        <v>3996.1600000000003</v>
      </c>
    </row>
    <row r="426" spans="1:15">
      <c r="A426" s="4" t="s">
        <v>913</v>
      </c>
      <c r="B426" s="5" t="s">
        <v>61</v>
      </c>
      <c r="C426" s="5" t="s">
        <v>66</v>
      </c>
      <c r="D426" s="5" t="s">
        <v>28</v>
      </c>
      <c r="E426" s="5">
        <v>52</v>
      </c>
      <c r="F426" s="5" t="s">
        <v>54</v>
      </c>
      <c r="G426" s="5" t="s">
        <v>102</v>
      </c>
      <c r="H426" s="6">
        <v>43672</v>
      </c>
      <c r="I426" s="5">
        <v>106181</v>
      </c>
      <c r="J426" s="5" t="s">
        <v>37</v>
      </c>
      <c r="K426" s="5" t="s">
        <v>914</v>
      </c>
      <c r="L426" s="15" t="s">
        <v>24</v>
      </c>
      <c r="M426" s="14" t="str">
        <f>_xlfn.XLOOKUP(F426,Department!$A$2:$A$6,Department!$B$2:$B$6)</f>
        <v>Finance</v>
      </c>
      <c r="N426" s="22">
        <f>_xlfn.XLOOKUP(A426,Performance!$A$2:$A$501,Performance!$C$2:$C$501)</f>
        <v>2</v>
      </c>
      <c r="O426" s="19" cm="1">
        <f t="array" ref="O426">_xlfn.IFS(N426=5,I426*15%,N426=4,I426*10%,N426=3,I426*7%,N426&lt;3,I426*5%)</f>
        <v>5309.05</v>
      </c>
    </row>
    <row r="427" spans="1:15">
      <c r="A427" s="4" t="s">
        <v>915</v>
      </c>
      <c r="B427" s="5" t="s">
        <v>74</v>
      </c>
      <c r="C427" s="5" t="s">
        <v>89</v>
      </c>
      <c r="D427" s="5" t="s">
        <v>19</v>
      </c>
      <c r="E427" s="5">
        <v>48</v>
      </c>
      <c r="F427" s="5" t="s">
        <v>29</v>
      </c>
      <c r="G427" s="5" t="s">
        <v>21</v>
      </c>
      <c r="H427" s="6">
        <v>44668</v>
      </c>
      <c r="I427" s="5">
        <v>117192</v>
      </c>
      <c r="J427" s="5" t="s">
        <v>62</v>
      </c>
      <c r="K427" s="5" t="s">
        <v>916</v>
      </c>
      <c r="L427" s="15" t="s">
        <v>24</v>
      </c>
      <c r="M427" s="14" t="str">
        <f>_xlfn.XLOOKUP(F427,Department!$A$2:$A$6,Department!$B$2:$B$6)</f>
        <v>IT</v>
      </c>
      <c r="N427" s="22">
        <f>_xlfn.XLOOKUP(A427,Performance!$A$2:$A$501,Performance!$C$2:$C$501)</f>
        <v>5</v>
      </c>
      <c r="O427" s="19" cm="1">
        <f t="array" ref="O427">_xlfn.IFS(N427=5,I427*15%,N427=4,I427*10%,N427=3,I427*7%,N427&lt;3,I427*5%)</f>
        <v>17578.8</v>
      </c>
    </row>
    <row r="428" spans="1:15">
      <c r="A428" s="4" t="s">
        <v>917</v>
      </c>
      <c r="B428" s="5" t="s">
        <v>92</v>
      </c>
      <c r="C428" s="5" t="s">
        <v>18</v>
      </c>
      <c r="D428" s="5" t="s">
        <v>19</v>
      </c>
      <c r="E428" s="5">
        <v>43</v>
      </c>
      <c r="F428" s="5" t="s">
        <v>29</v>
      </c>
      <c r="G428" s="5" t="s">
        <v>102</v>
      </c>
      <c r="H428" s="6">
        <v>44273</v>
      </c>
      <c r="I428" s="5">
        <v>114670</v>
      </c>
      <c r="J428" s="5" t="s">
        <v>62</v>
      </c>
      <c r="K428" s="5" t="s">
        <v>918</v>
      </c>
      <c r="L428" s="15" t="s">
        <v>39</v>
      </c>
      <c r="M428" s="14" t="str">
        <f>_xlfn.XLOOKUP(F428,Department!$A$2:$A$6,Department!$B$2:$B$6)</f>
        <v>IT</v>
      </c>
      <c r="N428" s="22">
        <f>_xlfn.XLOOKUP(A428,Performance!$A$2:$A$501,Performance!$C$2:$C$501)</f>
        <v>3</v>
      </c>
      <c r="O428" s="19" cm="1">
        <f t="array" ref="O428">_xlfn.IFS(N428=5,I428*15%,N428=4,I428*10%,N428=3,I428*7%,N428&lt;3,I428*5%)</f>
        <v>8026.9000000000005</v>
      </c>
    </row>
    <row r="429" spans="1:15">
      <c r="A429" s="4" t="s">
        <v>919</v>
      </c>
      <c r="B429" s="5" t="s">
        <v>34</v>
      </c>
      <c r="C429" s="5" t="s">
        <v>66</v>
      </c>
      <c r="D429" s="5" t="s">
        <v>19</v>
      </c>
      <c r="E429" s="5">
        <v>36</v>
      </c>
      <c r="F429" s="5" t="s">
        <v>20</v>
      </c>
      <c r="G429" s="5" t="s">
        <v>44</v>
      </c>
      <c r="H429" s="6">
        <v>44878</v>
      </c>
      <c r="I429" s="5">
        <v>116951</v>
      </c>
      <c r="J429" s="5" t="s">
        <v>81</v>
      </c>
      <c r="K429" s="5" t="s">
        <v>920</v>
      </c>
      <c r="L429" s="15" t="s">
        <v>24</v>
      </c>
      <c r="M429" s="14" t="str">
        <f>_xlfn.XLOOKUP(F429,Department!$A$2:$A$6,Department!$B$2:$B$6)</f>
        <v>HR</v>
      </c>
      <c r="N429" s="22">
        <f>_xlfn.XLOOKUP(A429,Performance!$A$2:$A$501,Performance!$C$2:$C$501)</f>
        <v>2</v>
      </c>
      <c r="O429" s="19" cm="1">
        <f t="array" ref="O429">_xlfn.IFS(N429=5,I429*15%,N429=4,I429*10%,N429=3,I429*7%,N429&lt;3,I429*5%)</f>
        <v>5847.55</v>
      </c>
    </row>
    <row r="430" spans="1:15">
      <c r="A430" s="4" t="s">
        <v>921</v>
      </c>
      <c r="B430" s="5" t="s">
        <v>74</v>
      </c>
      <c r="C430" s="5" t="s">
        <v>84</v>
      </c>
      <c r="D430" s="5" t="s">
        <v>19</v>
      </c>
      <c r="E430" s="5">
        <v>43</v>
      </c>
      <c r="F430" s="5" t="s">
        <v>20</v>
      </c>
      <c r="G430" s="5" t="s">
        <v>30</v>
      </c>
      <c r="H430" s="6">
        <v>45032</v>
      </c>
      <c r="I430" s="5">
        <v>86123</v>
      </c>
      <c r="J430" s="5" t="s">
        <v>37</v>
      </c>
      <c r="K430" s="5" t="s">
        <v>922</v>
      </c>
      <c r="L430" s="15" t="s">
        <v>39</v>
      </c>
      <c r="M430" s="14" t="str">
        <f>_xlfn.XLOOKUP(F430,Department!$A$2:$A$6,Department!$B$2:$B$6)</f>
        <v>HR</v>
      </c>
      <c r="N430" s="22">
        <f>_xlfn.XLOOKUP(A430,Performance!$A$2:$A$501,Performance!$C$2:$C$501)</f>
        <v>1</v>
      </c>
      <c r="O430" s="19" cm="1">
        <f t="array" ref="O430">_xlfn.IFS(N430=5,I430*15%,N430=4,I430*10%,N430=3,I430*7%,N430&lt;3,I430*5%)</f>
        <v>4306.1500000000005</v>
      </c>
    </row>
    <row r="431" spans="1:15">
      <c r="A431" s="4" t="s">
        <v>923</v>
      </c>
      <c r="B431" s="5" t="s">
        <v>17</v>
      </c>
      <c r="C431" s="5" t="s">
        <v>89</v>
      </c>
      <c r="D431" s="5" t="s">
        <v>19</v>
      </c>
      <c r="E431" s="5">
        <v>45</v>
      </c>
      <c r="F431" s="5" t="s">
        <v>54</v>
      </c>
      <c r="G431" s="5" t="s">
        <v>21</v>
      </c>
      <c r="H431" s="6">
        <v>44452</v>
      </c>
      <c r="I431" s="5">
        <v>68220</v>
      </c>
      <c r="J431" s="5" t="s">
        <v>81</v>
      </c>
      <c r="K431" s="5" t="s">
        <v>924</v>
      </c>
      <c r="L431" s="15" t="s">
        <v>24</v>
      </c>
      <c r="M431" s="14" t="str">
        <f>_xlfn.XLOOKUP(F431,Department!$A$2:$A$6,Department!$B$2:$B$6)</f>
        <v>Finance</v>
      </c>
      <c r="N431" s="22">
        <f>_xlfn.XLOOKUP(A431,Performance!$A$2:$A$501,Performance!$C$2:$C$501)</f>
        <v>5</v>
      </c>
      <c r="O431" s="19" cm="1">
        <f t="array" ref="O431">_xlfn.IFS(N431=5,I431*15%,N431=4,I431*10%,N431=3,I431*7%,N431&lt;3,I431*5%)</f>
        <v>10233</v>
      </c>
    </row>
    <row r="432" spans="1:15">
      <c r="A432" s="4" t="s">
        <v>925</v>
      </c>
      <c r="B432" s="5" t="s">
        <v>53</v>
      </c>
      <c r="C432" s="5" t="s">
        <v>117</v>
      </c>
      <c r="D432" s="5" t="s">
        <v>19</v>
      </c>
      <c r="E432" s="5">
        <v>60</v>
      </c>
      <c r="F432" s="5" t="s">
        <v>43</v>
      </c>
      <c r="G432" s="5" t="s">
        <v>36</v>
      </c>
      <c r="H432" s="6">
        <v>45348</v>
      </c>
      <c r="I432" s="5">
        <v>115147</v>
      </c>
      <c r="J432" s="5" t="s">
        <v>37</v>
      </c>
      <c r="K432" s="5" t="s">
        <v>926</v>
      </c>
      <c r="L432" s="15" t="s">
        <v>39</v>
      </c>
      <c r="M432" s="14" t="str">
        <f>_xlfn.XLOOKUP(F432,Department!$A$2:$A$6,Department!$B$2:$B$6)</f>
        <v>Marketing</v>
      </c>
      <c r="N432" s="22">
        <f>_xlfn.XLOOKUP(A432,Performance!$A$2:$A$501,Performance!$C$2:$C$501)</f>
        <v>2</v>
      </c>
      <c r="O432" s="19" cm="1">
        <f t="array" ref="O432">_xlfn.IFS(N432=5,I432*15%,N432=4,I432*10%,N432=3,I432*7%,N432&lt;3,I432*5%)</f>
        <v>5757.35</v>
      </c>
    </row>
    <row r="433" spans="1:15">
      <c r="A433" s="4" t="s">
        <v>927</v>
      </c>
      <c r="B433" s="5" t="s">
        <v>92</v>
      </c>
      <c r="C433" s="5" t="s">
        <v>49</v>
      </c>
      <c r="D433" s="5" t="s">
        <v>19</v>
      </c>
      <c r="E433" s="5">
        <v>54</v>
      </c>
      <c r="F433" s="5" t="s">
        <v>54</v>
      </c>
      <c r="G433" s="5" t="s">
        <v>30</v>
      </c>
      <c r="H433" s="6">
        <v>45327</v>
      </c>
      <c r="I433" s="5">
        <v>68028</v>
      </c>
      <c r="J433" s="5" t="s">
        <v>22</v>
      </c>
      <c r="K433" s="5" t="s">
        <v>928</v>
      </c>
      <c r="L433" s="15" t="s">
        <v>39</v>
      </c>
      <c r="M433" s="14" t="str">
        <f>_xlfn.XLOOKUP(F433,Department!$A$2:$A$6,Department!$B$2:$B$6)</f>
        <v>Finance</v>
      </c>
      <c r="N433" s="22">
        <f>_xlfn.XLOOKUP(A433,Performance!$A$2:$A$501,Performance!$C$2:$C$501)</f>
        <v>4</v>
      </c>
      <c r="O433" s="19" cm="1">
        <f t="array" ref="O433">_xlfn.IFS(N433=5,I433*15%,N433=4,I433*10%,N433=3,I433*7%,N433&lt;3,I433*5%)</f>
        <v>6802.8</v>
      </c>
    </row>
    <row r="434" spans="1:15">
      <c r="A434" s="4" t="s">
        <v>929</v>
      </c>
      <c r="B434" s="5" t="s">
        <v>42</v>
      </c>
      <c r="C434" s="5" t="s">
        <v>49</v>
      </c>
      <c r="D434" s="5" t="s">
        <v>28</v>
      </c>
      <c r="E434" s="5">
        <v>52</v>
      </c>
      <c r="F434" s="5" t="s">
        <v>43</v>
      </c>
      <c r="G434" s="5" t="s">
        <v>102</v>
      </c>
      <c r="H434" s="6">
        <v>44976</v>
      </c>
      <c r="I434" s="5">
        <v>46732</v>
      </c>
      <c r="J434" s="5" t="s">
        <v>67</v>
      </c>
      <c r="K434" s="5" t="s">
        <v>930</v>
      </c>
      <c r="L434" s="15" t="s">
        <v>39</v>
      </c>
      <c r="M434" s="14" t="str">
        <f>_xlfn.XLOOKUP(F434,Department!$A$2:$A$6,Department!$B$2:$B$6)</f>
        <v>Marketing</v>
      </c>
      <c r="N434" s="22">
        <f>_xlfn.XLOOKUP(A434,Performance!$A$2:$A$501,Performance!$C$2:$C$501)</f>
        <v>1</v>
      </c>
      <c r="O434" s="19" cm="1">
        <f t="array" ref="O434">_xlfn.IFS(N434=5,I434*15%,N434=4,I434*10%,N434=3,I434*7%,N434&lt;3,I434*5%)</f>
        <v>2336.6</v>
      </c>
    </row>
    <row r="435" spans="1:15">
      <c r="A435" s="4" t="s">
        <v>931</v>
      </c>
      <c r="B435" s="5" t="s">
        <v>48</v>
      </c>
      <c r="C435" s="5" t="s">
        <v>117</v>
      </c>
      <c r="D435" s="5" t="s">
        <v>28</v>
      </c>
      <c r="E435" s="5">
        <v>53</v>
      </c>
      <c r="F435" s="5" t="s">
        <v>20</v>
      </c>
      <c r="G435" s="5" t="s">
        <v>102</v>
      </c>
      <c r="H435" s="6">
        <v>45383</v>
      </c>
      <c r="I435" s="5">
        <v>37701</v>
      </c>
      <c r="J435" s="5" t="s">
        <v>37</v>
      </c>
      <c r="K435" s="5" t="s">
        <v>932</v>
      </c>
      <c r="L435" s="15" t="s">
        <v>39</v>
      </c>
      <c r="M435" s="14" t="str">
        <f>_xlfn.XLOOKUP(F435,Department!$A$2:$A$6,Department!$B$2:$B$6)</f>
        <v>HR</v>
      </c>
      <c r="N435" s="22">
        <f>_xlfn.XLOOKUP(A435,Performance!$A$2:$A$501,Performance!$C$2:$C$501)</f>
        <v>4</v>
      </c>
      <c r="O435" s="19" cm="1">
        <f t="array" ref="O435">_xlfn.IFS(N435=5,I435*15%,N435=4,I435*10%,N435=3,I435*7%,N435&lt;3,I435*5%)</f>
        <v>3770.1000000000004</v>
      </c>
    </row>
    <row r="436" spans="1:15">
      <c r="A436" s="4" t="s">
        <v>933</v>
      </c>
      <c r="B436" s="5" t="s">
        <v>53</v>
      </c>
      <c r="C436" s="5" t="s">
        <v>49</v>
      </c>
      <c r="D436" s="5" t="s">
        <v>19</v>
      </c>
      <c r="E436" s="5">
        <v>51</v>
      </c>
      <c r="F436" s="5" t="s">
        <v>20</v>
      </c>
      <c r="G436" s="5" t="s">
        <v>30</v>
      </c>
      <c r="H436" s="6">
        <v>43183</v>
      </c>
      <c r="I436" s="5">
        <v>103930</v>
      </c>
      <c r="J436" s="5" t="s">
        <v>62</v>
      </c>
      <c r="K436" s="5" t="s">
        <v>934</v>
      </c>
      <c r="L436" s="15" t="s">
        <v>39</v>
      </c>
      <c r="M436" s="14" t="str">
        <f>_xlfn.XLOOKUP(F436,Department!$A$2:$A$6,Department!$B$2:$B$6)</f>
        <v>HR</v>
      </c>
      <c r="N436" s="22">
        <f>_xlfn.XLOOKUP(A436,Performance!$A$2:$A$501,Performance!$C$2:$C$501)</f>
        <v>1</v>
      </c>
      <c r="O436" s="19" cm="1">
        <f t="array" ref="O436">_xlfn.IFS(N436=5,I436*15%,N436=4,I436*10%,N436=3,I436*7%,N436&lt;3,I436*5%)</f>
        <v>5196.5</v>
      </c>
    </row>
    <row r="437" spans="1:15">
      <c r="A437" s="4" t="s">
        <v>935</v>
      </c>
      <c r="B437" s="5" t="s">
        <v>126</v>
      </c>
      <c r="C437" s="5" t="s">
        <v>89</v>
      </c>
      <c r="D437" s="5" t="s">
        <v>19</v>
      </c>
      <c r="E437" s="5">
        <v>41</v>
      </c>
      <c r="F437" s="5" t="s">
        <v>29</v>
      </c>
      <c r="G437" s="5" t="s">
        <v>21</v>
      </c>
      <c r="H437" s="6">
        <v>45464</v>
      </c>
      <c r="I437" s="5">
        <v>83188</v>
      </c>
      <c r="J437" s="5" t="s">
        <v>81</v>
      </c>
      <c r="K437" s="5" t="s">
        <v>936</v>
      </c>
      <c r="L437" s="15" t="s">
        <v>24</v>
      </c>
      <c r="M437" s="14" t="str">
        <f>_xlfn.XLOOKUP(F437,Department!$A$2:$A$6,Department!$B$2:$B$6)</f>
        <v>IT</v>
      </c>
      <c r="N437" s="22">
        <f>_xlfn.XLOOKUP(A437,Performance!$A$2:$A$501,Performance!$C$2:$C$501)</f>
        <v>1</v>
      </c>
      <c r="O437" s="19" cm="1">
        <f t="array" ref="O437">_xlfn.IFS(N437=5,I437*15%,N437=4,I437*10%,N437=3,I437*7%,N437&lt;3,I437*5%)</f>
        <v>4159.4000000000005</v>
      </c>
    </row>
    <row r="438" spans="1:15">
      <c r="A438" s="4" t="s">
        <v>937</v>
      </c>
      <c r="B438" s="5" t="s">
        <v>17</v>
      </c>
      <c r="C438" s="5" t="s">
        <v>93</v>
      </c>
      <c r="D438" s="5" t="s">
        <v>28</v>
      </c>
      <c r="E438" s="5">
        <v>23</v>
      </c>
      <c r="F438" s="5" t="s">
        <v>43</v>
      </c>
      <c r="G438" s="5" t="s">
        <v>30</v>
      </c>
      <c r="H438" s="6">
        <v>43486</v>
      </c>
      <c r="I438" s="5">
        <v>50616</v>
      </c>
      <c r="J438" s="5" t="s">
        <v>62</v>
      </c>
      <c r="K438" s="5" t="s">
        <v>938</v>
      </c>
      <c r="L438" s="15" t="s">
        <v>39</v>
      </c>
      <c r="M438" s="14" t="str">
        <f>_xlfn.XLOOKUP(F438,Department!$A$2:$A$6,Department!$B$2:$B$6)</f>
        <v>Marketing</v>
      </c>
      <c r="N438" s="22">
        <f>_xlfn.XLOOKUP(A438,Performance!$A$2:$A$501,Performance!$C$2:$C$501)</f>
        <v>2</v>
      </c>
      <c r="O438" s="19" cm="1">
        <f t="array" ref="O438">_xlfn.IFS(N438=5,I438*15%,N438=4,I438*10%,N438=3,I438*7%,N438&lt;3,I438*5%)</f>
        <v>2530.8000000000002</v>
      </c>
    </row>
    <row r="439" spans="1:15">
      <c r="A439" s="4" t="s">
        <v>939</v>
      </c>
      <c r="B439" s="5" t="s">
        <v>92</v>
      </c>
      <c r="C439" s="5" t="s">
        <v>117</v>
      </c>
      <c r="D439" s="5" t="s">
        <v>28</v>
      </c>
      <c r="E439" s="5">
        <v>52</v>
      </c>
      <c r="F439" s="5" t="s">
        <v>43</v>
      </c>
      <c r="G439" s="5" t="s">
        <v>21</v>
      </c>
      <c r="H439" s="6">
        <v>44555</v>
      </c>
      <c r="I439" s="5">
        <v>80964</v>
      </c>
      <c r="J439" s="5" t="s">
        <v>62</v>
      </c>
      <c r="K439" s="5" t="s">
        <v>940</v>
      </c>
      <c r="L439" s="15" t="s">
        <v>24</v>
      </c>
      <c r="M439" s="14" t="str">
        <f>_xlfn.XLOOKUP(F439,Department!$A$2:$A$6,Department!$B$2:$B$6)</f>
        <v>Marketing</v>
      </c>
      <c r="N439" s="22">
        <f>_xlfn.XLOOKUP(A439,Performance!$A$2:$A$501,Performance!$C$2:$C$501)</f>
        <v>2</v>
      </c>
      <c r="O439" s="19" cm="1">
        <f t="array" ref="O439">_xlfn.IFS(N439=5,I439*15%,N439=4,I439*10%,N439=3,I439*7%,N439&lt;3,I439*5%)</f>
        <v>4048.2000000000003</v>
      </c>
    </row>
    <row r="440" spans="1:15">
      <c r="A440" s="4" t="s">
        <v>941</v>
      </c>
      <c r="B440" s="5" t="s">
        <v>42</v>
      </c>
      <c r="C440" s="5" t="s">
        <v>84</v>
      </c>
      <c r="D440" s="5" t="s">
        <v>28</v>
      </c>
      <c r="E440" s="5">
        <v>28</v>
      </c>
      <c r="F440" s="5" t="s">
        <v>43</v>
      </c>
      <c r="G440" s="5" t="s">
        <v>30</v>
      </c>
      <c r="H440" s="6">
        <v>43481</v>
      </c>
      <c r="I440" s="5">
        <v>38806</v>
      </c>
      <c r="J440" s="5" t="s">
        <v>62</v>
      </c>
      <c r="K440" s="5" t="s">
        <v>942</v>
      </c>
      <c r="L440" s="15" t="s">
        <v>39</v>
      </c>
      <c r="M440" s="14" t="str">
        <f>_xlfn.XLOOKUP(F440,Department!$A$2:$A$6,Department!$B$2:$B$6)</f>
        <v>Marketing</v>
      </c>
      <c r="N440" s="22">
        <f>_xlfn.XLOOKUP(A440,Performance!$A$2:$A$501,Performance!$C$2:$C$501)</f>
        <v>2</v>
      </c>
      <c r="O440" s="19" cm="1">
        <f t="array" ref="O440">_xlfn.IFS(N440=5,I440*15%,N440=4,I440*10%,N440=3,I440*7%,N440&lt;3,I440*5%)</f>
        <v>1940.3000000000002</v>
      </c>
    </row>
    <row r="441" spans="1:15">
      <c r="A441" s="4" t="s">
        <v>943</v>
      </c>
      <c r="B441" s="5" t="s">
        <v>92</v>
      </c>
      <c r="C441" s="5" t="s">
        <v>84</v>
      </c>
      <c r="D441" s="5" t="s">
        <v>19</v>
      </c>
      <c r="E441" s="5">
        <v>29</v>
      </c>
      <c r="F441" s="5" t="s">
        <v>20</v>
      </c>
      <c r="G441" s="5" t="s">
        <v>36</v>
      </c>
      <c r="H441" s="6">
        <v>44131</v>
      </c>
      <c r="I441" s="5">
        <v>71247</v>
      </c>
      <c r="J441" s="5" t="s">
        <v>62</v>
      </c>
      <c r="K441" s="5" t="s">
        <v>944</v>
      </c>
      <c r="L441" s="15" t="s">
        <v>39</v>
      </c>
      <c r="M441" s="14" t="str">
        <f>_xlfn.XLOOKUP(F441,Department!$A$2:$A$6,Department!$B$2:$B$6)</f>
        <v>HR</v>
      </c>
      <c r="N441" s="22">
        <f>_xlfn.XLOOKUP(A441,Performance!$A$2:$A$501,Performance!$C$2:$C$501)</f>
        <v>4</v>
      </c>
      <c r="O441" s="19" cm="1">
        <f t="array" ref="O441">_xlfn.IFS(N441=5,I441*15%,N441=4,I441*10%,N441=3,I441*7%,N441&lt;3,I441*5%)</f>
        <v>7124.7000000000007</v>
      </c>
    </row>
    <row r="442" spans="1:15">
      <c r="A442" s="4" t="s">
        <v>945</v>
      </c>
      <c r="B442" s="5" t="s">
        <v>61</v>
      </c>
      <c r="C442" s="5" t="s">
        <v>141</v>
      </c>
      <c r="D442" s="5" t="s">
        <v>19</v>
      </c>
      <c r="E442" s="5">
        <v>29</v>
      </c>
      <c r="F442" s="5" t="s">
        <v>43</v>
      </c>
      <c r="G442" s="5" t="s">
        <v>44</v>
      </c>
      <c r="H442" s="6">
        <v>44023</v>
      </c>
      <c r="I442" s="5">
        <v>109197</v>
      </c>
      <c r="J442" s="5" t="s">
        <v>81</v>
      </c>
      <c r="K442" s="5" t="s">
        <v>946</v>
      </c>
      <c r="L442" s="15" t="s">
        <v>39</v>
      </c>
      <c r="M442" s="14" t="str">
        <f>_xlfn.XLOOKUP(F442,Department!$A$2:$A$6,Department!$B$2:$B$6)</f>
        <v>Marketing</v>
      </c>
      <c r="N442" s="22">
        <f>_xlfn.XLOOKUP(A442,Performance!$A$2:$A$501,Performance!$C$2:$C$501)</f>
        <v>2</v>
      </c>
      <c r="O442" s="19" cm="1">
        <f t="array" ref="O442">_xlfn.IFS(N442=5,I442*15%,N442=4,I442*10%,N442=3,I442*7%,N442&lt;3,I442*5%)</f>
        <v>5459.85</v>
      </c>
    </row>
    <row r="443" spans="1:15">
      <c r="A443" s="4" t="s">
        <v>947</v>
      </c>
      <c r="B443" s="5" t="s">
        <v>48</v>
      </c>
      <c r="C443" s="5" t="s">
        <v>66</v>
      </c>
      <c r="D443" s="5" t="s">
        <v>28</v>
      </c>
      <c r="E443" s="5">
        <v>47</v>
      </c>
      <c r="F443" s="5" t="s">
        <v>35</v>
      </c>
      <c r="G443" s="5" t="s">
        <v>44</v>
      </c>
      <c r="H443" s="6">
        <v>44707</v>
      </c>
      <c r="I443" s="5">
        <v>77368</v>
      </c>
      <c r="J443" s="5" t="s">
        <v>22</v>
      </c>
      <c r="K443" s="5" t="s">
        <v>948</v>
      </c>
      <c r="L443" s="15" t="s">
        <v>24</v>
      </c>
      <c r="M443" s="14" t="str">
        <f>_xlfn.XLOOKUP(F443,Department!$A$2:$A$6,Department!$B$2:$B$6)</f>
        <v>Sales</v>
      </c>
      <c r="N443" s="22">
        <f>_xlfn.XLOOKUP(A443,Performance!$A$2:$A$501,Performance!$C$2:$C$501)</f>
        <v>2</v>
      </c>
      <c r="O443" s="19" cm="1">
        <f t="array" ref="O443">_xlfn.IFS(N443=5,I443*15%,N443=4,I443*10%,N443=3,I443*7%,N443&lt;3,I443*5%)</f>
        <v>3868.4</v>
      </c>
    </row>
    <row r="444" spans="1:15">
      <c r="A444" s="4" t="s">
        <v>949</v>
      </c>
      <c r="B444" s="5" t="s">
        <v>74</v>
      </c>
      <c r="C444" s="5" t="s">
        <v>141</v>
      </c>
      <c r="D444" s="5" t="s">
        <v>28</v>
      </c>
      <c r="E444" s="5">
        <v>41</v>
      </c>
      <c r="F444" s="5" t="s">
        <v>20</v>
      </c>
      <c r="G444" s="5" t="s">
        <v>36</v>
      </c>
      <c r="H444" s="6">
        <v>45295</v>
      </c>
      <c r="I444" s="5">
        <v>62102</v>
      </c>
      <c r="J444" s="5" t="s">
        <v>81</v>
      </c>
      <c r="K444" s="5" t="s">
        <v>950</v>
      </c>
      <c r="L444" s="15" t="s">
        <v>39</v>
      </c>
      <c r="M444" s="14" t="str">
        <f>_xlfn.XLOOKUP(F444,Department!$A$2:$A$6,Department!$B$2:$B$6)</f>
        <v>HR</v>
      </c>
      <c r="N444" s="22">
        <f>_xlfn.XLOOKUP(A444,Performance!$A$2:$A$501,Performance!$C$2:$C$501)</f>
        <v>2</v>
      </c>
      <c r="O444" s="19" cm="1">
        <f t="array" ref="O444">_xlfn.IFS(N444=5,I444*15%,N444=4,I444*10%,N444=3,I444*7%,N444&lt;3,I444*5%)</f>
        <v>3105.1000000000004</v>
      </c>
    </row>
    <row r="445" spans="1:15">
      <c r="A445" s="4" t="s">
        <v>951</v>
      </c>
      <c r="B445" s="5" t="s">
        <v>48</v>
      </c>
      <c r="C445" s="5" t="s">
        <v>18</v>
      </c>
      <c r="D445" s="5" t="s">
        <v>28</v>
      </c>
      <c r="E445" s="5">
        <v>40</v>
      </c>
      <c r="F445" s="5" t="s">
        <v>20</v>
      </c>
      <c r="G445" s="5" t="s">
        <v>44</v>
      </c>
      <c r="H445" s="6">
        <v>44794</v>
      </c>
      <c r="I445" s="5">
        <v>66499</v>
      </c>
      <c r="J445" s="5" t="s">
        <v>81</v>
      </c>
      <c r="K445" s="5" t="s">
        <v>952</v>
      </c>
      <c r="L445" s="15" t="s">
        <v>24</v>
      </c>
      <c r="M445" s="14" t="str">
        <f>_xlfn.XLOOKUP(F445,Department!$A$2:$A$6,Department!$B$2:$B$6)</f>
        <v>HR</v>
      </c>
      <c r="N445" s="22">
        <f>_xlfn.XLOOKUP(A445,Performance!$A$2:$A$501,Performance!$C$2:$C$501)</f>
        <v>2</v>
      </c>
      <c r="O445" s="19" cm="1">
        <f t="array" ref="O445">_xlfn.IFS(N445=5,I445*15%,N445=4,I445*10%,N445=3,I445*7%,N445&lt;3,I445*5%)</f>
        <v>3324.9500000000003</v>
      </c>
    </row>
    <row r="446" spans="1:15">
      <c r="A446" s="4" t="s">
        <v>953</v>
      </c>
      <c r="B446" s="5" t="s">
        <v>17</v>
      </c>
      <c r="C446" s="5" t="s">
        <v>27</v>
      </c>
      <c r="D446" s="5" t="s">
        <v>28</v>
      </c>
      <c r="E446" s="5">
        <v>47</v>
      </c>
      <c r="F446" s="5" t="s">
        <v>35</v>
      </c>
      <c r="G446" s="5" t="s">
        <v>102</v>
      </c>
      <c r="H446" s="6">
        <v>43109</v>
      </c>
      <c r="I446" s="5">
        <v>114326</v>
      </c>
      <c r="J446" s="5" t="s">
        <v>37</v>
      </c>
      <c r="K446" s="5" t="s">
        <v>954</v>
      </c>
      <c r="L446" s="15" t="s">
        <v>39</v>
      </c>
      <c r="M446" s="14" t="str">
        <f>_xlfn.XLOOKUP(F446,Department!$A$2:$A$6,Department!$B$2:$B$6)</f>
        <v>Sales</v>
      </c>
      <c r="N446" s="22">
        <f>_xlfn.XLOOKUP(A446,Performance!$A$2:$A$501,Performance!$C$2:$C$501)</f>
        <v>2</v>
      </c>
      <c r="O446" s="19" cm="1">
        <f t="array" ref="O446">_xlfn.IFS(N446=5,I446*15%,N446=4,I446*10%,N446=3,I446*7%,N446&lt;3,I446*5%)</f>
        <v>5716.3</v>
      </c>
    </row>
    <row r="447" spans="1:15">
      <c r="A447" s="4" t="s">
        <v>955</v>
      </c>
      <c r="B447" s="5" t="s">
        <v>58</v>
      </c>
      <c r="C447" s="5" t="s">
        <v>80</v>
      </c>
      <c r="D447" s="5" t="s">
        <v>19</v>
      </c>
      <c r="E447" s="5">
        <v>49</v>
      </c>
      <c r="F447" s="5" t="s">
        <v>29</v>
      </c>
      <c r="G447" s="5" t="s">
        <v>36</v>
      </c>
      <c r="H447" s="6">
        <v>44384</v>
      </c>
      <c r="I447" s="5">
        <v>98144</v>
      </c>
      <c r="J447" s="5" t="s">
        <v>67</v>
      </c>
      <c r="K447" s="5" t="s">
        <v>956</v>
      </c>
      <c r="L447" s="15" t="s">
        <v>39</v>
      </c>
      <c r="M447" s="14" t="str">
        <f>_xlfn.XLOOKUP(F447,Department!$A$2:$A$6,Department!$B$2:$B$6)</f>
        <v>IT</v>
      </c>
      <c r="N447" s="22">
        <f>_xlfn.XLOOKUP(A447,Performance!$A$2:$A$501,Performance!$C$2:$C$501)</f>
        <v>1</v>
      </c>
      <c r="O447" s="19" cm="1">
        <f t="array" ref="O447">_xlfn.IFS(N447=5,I447*15%,N447=4,I447*10%,N447=3,I447*7%,N447&lt;3,I447*5%)</f>
        <v>4907.2</v>
      </c>
    </row>
    <row r="448" spans="1:15">
      <c r="A448" s="4" t="s">
        <v>957</v>
      </c>
      <c r="B448" s="5" t="s">
        <v>126</v>
      </c>
      <c r="C448" s="5" t="s">
        <v>93</v>
      </c>
      <c r="D448" s="5" t="s">
        <v>19</v>
      </c>
      <c r="E448" s="5">
        <v>50</v>
      </c>
      <c r="F448" s="5" t="s">
        <v>54</v>
      </c>
      <c r="G448" s="5" t="s">
        <v>44</v>
      </c>
      <c r="H448" s="6">
        <v>44420</v>
      </c>
      <c r="I448" s="5">
        <v>61804</v>
      </c>
      <c r="J448" s="5" t="s">
        <v>62</v>
      </c>
      <c r="K448" s="5" t="s">
        <v>958</v>
      </c>
      <c r="L448" s="15" t="s">
        <v>24</v>
      </c>
      <c r="M448" s="14" t="str">
        <f>_xlfn.XLOOKUP(F448,Department!$A$2:$A$6,Department!$B$2:$B$6)</f>
        <v>Finance</v>
      </c>
      <c r="N448" s="22">
        <f>_xlfn.XLOOKUP(A448,Performance!$A$2:$A$501,Performance!$C$2:$C$501)</f>
        <v>1</v>
      </c>
      <c r="O448" s="19" cm="1">
        <f t="array" ref="O448">_xlfn.IFS(N448=5,I448*15%,N448=4,I448*10%,N448=3,I448*7%,N448&lt;3,I448*5%)</f>
        <v>3090.2000000000003</v>
      </c>
    </row>
    <row r="449" spans="1:15">
      <c r="A449" s="4" t="s">
        <v>959</v>
      </c>
      <c r="B449" s="5" t="s">
        <v>92</v>
      </c>
      <c r="C449" s="5" t="s">
        <v>117</v>
      </c>
      <c r="D449" s="5" t="s">
        <v>19</v>
      </c>
      <c r="E449" s="5">
        <v>24</v>
      </c>
      <c r="F449" s="5" t="s">
        <v>20</v>
      </c>
      <c r="G449" s="5" t="s">
        <v>36</v>
      </c>
      <c r="H449" s="6">
        <v>45437</v>
      </c>
      <c r="I449" s="5">
        <v>42829</v>
      </c>
      <c r="J449" s="5" t="s">
        <v>81</v>
      </c>
      <c r="K449" s="5" t="s">
        <v>960</v>
      </c>
      <c r="L449" s="15" t="s">
        <v>24</v>
      </c>
      <c r="M449" s="14" t="str">
        <f>_xlfn.XLOOKUP(F449,Department!$A$2:$A$6,Department!$B$2:$B$6)</f>
        <v>HR</v>
      </c>
      <c r="N449" s="22">
        <f>_xlfn.XLOOKUP(A449,Performance!$A$2:$A$501,Performance!$C$2:$C$501)</f>
        <v>4</v>
      </c>
      <c r="O449" s="19" cm="1">
        <f t="array" ref="O449">_xlfn.IFS(N449=5,I449*15%,N449=4,I449*10%,N449=3,I449*7%,N449&lt;3,I449*5%)</f>
        <v>4282.9000000000005</v>
      </c>
    </row>
    <row r="450" spans="1:15">
      <c r="A450" s="4" t="s">
        <v>961</v>
      </c>
      <c r="B450" s="5" t="s">
        <v>17</v>
      </c>
      <c r="C450" s="5" t="s">
        <v>49</v>
      </c>
      <c r="D450" s="5" t="s">
        <v>28</v>
      </c>
      <c r="E450" s="5">
        <v>39</v>
      </c>
      <c r="F450" s="5" t="s">
        <v>54</v>
      </c>
      <c r="G450" s="5" t="s">
        <v>102</v>
      </c>
      <c r="H450" s="6">
        <v>43694</v>
      </c>
      <c r="I450" s="5">
        <v>55874</v>
      </c>
      <c r="J450" s="5" t="s">
        <v>62</v>
      </c>
      <c r="K450" s="5" t="s">
        <v>962</v>
      </c>
      <c r="L450" s="15" t="s">
        <v>39</v>
      </c>
      <c r="M450" s="14" t="str">
        <f>_xlfn.XLOOKUP(F450,Department!$A$2:$A$6,Department!$B$2:$B$6)</f>
        <v>Finance</v>
      </c>
      <c r="N450" s="22">
        <f>_xlfn.XLOOKUP(A450,Performance!$A$2:$A$501,Performance!$C$2:$C$501)</f>
        <v>1</v>
      </c>
      <c r="O450" s="19" cm="1">
        <f t="array" ref="O450">_xlfn.IFS(N450=5,I450*15%,N450=4,I450*10%,N450=3,I450*7%,N450&lt;3,I450*5%)</f>
        <v>2793.7000000000003</v>
      </c>
    </row>
    <row r="451" spans="1:15">
      <c r="A451" s="4" t="s">
        <v>963</v>
      </c>
      <c r="B451" s="5" t="s">
        <v>53</v>
      </c>
      <c r="C451" s="5" t="s">
        <v>80</v>
      </c>
      <c r="D451" s="5" t="s">
        <v>19</v>
      </c>
      <c r="E451" s="5">
        <v>48</v>
      </c>
      <c r="F451" s="5" t="s">
        <v>35</v>
      </c>
      <c r="G451" s="5" t="s">
        <v>102</v>
      </c>
      <c r="H451" s="6">
        <v>44064</v>
      </c>
      <c r="I451" s="5">
        <v>110269</v>
      </c>
      <c r="J451" s="5" t="s">
        <v>67</v>
      </c>
      <c r="K451" s="5" t="s">
        <v>964</v>
      </c>
      <c r="L451" s="15" t="s">
        <v>39</v>
      </c>
      <c r="M451" s="14" t="str">
        <f>_xlfn.XLOOKUP(F451,Department!$A$2:$A$6,Department!$B$2:$B$6)</f>
        <v>Sales</v>
      </c>
      <c r="N451" s="22">
        <f>_xlfn.XLOOKUP(A451,Performance!$A$2:$A$501,Performance!$C$2:$C$501)</f>
        <v>2</v>
      </c>
      <c r="O451" s="19" cm="1">
        <f t="array" ref="O451">_xlfn.IFS(N451=5,I451*15%,N451=4,I451*10%,N451=3,I451*7%,N451&lt;3,I451*5%)</f>
        <v>5513.4500000000007</v>
      </c>
    </row>
    <row r="452" spans="1:15">
      <c r="A452" s="4" t="s">
        <v>965</v>
      </c>
      <c r="B452" s="5" t="s">
        <v>74</v>
      </c>
      <c r="C452" s="5" t="s">
        <v>141</v>
      </c>
      <c r="D452" s="5" t="s">
        <v>19</v>
      </c>
      <c r="E452" s="5">
        <v>49</v>
      </c>
      <c r="F452" s="5" t="s">
        <v>54</v>
      </c>
      <c r="G452" s="5" t="s">
        <v>21</v>
      </c>
      <c r="H452" s="6">
        <v>43856</v>
      </c>
      <c r="I452" s="5">
        <v>97118</v>
      </c>
      <c r="J452" s="5" t="s">
        <v>67</v>
      </c>
      <c r="K452" s="5" t="s">
        <v>966</v>
      </c>
      <c r="L452" s="15" t="s">
        <v>39</v>
      </c>
      <c r="M452" s="14" t="str">
        <f>_xlfn.XLOOKUP(F452,Department!$A$2:$A$6,Department!$B$2:$B$6)</f>
        <v>Finance</v>
      </c>
      <c r="N452" s="22">
        <f>_xlfn.XLOOKUP(A452,Performance!$A$2:$A$501,Performance!$C$2:$C$501)</f>
        <v>5</v>
      </c>
      <c r="O452" s="19" cm="1">
        <f t="array" ref="O452">_xlfn.IFS(N452=5,I452*15%,N452=4,I452*10%,N452=3,I452*7%,N452&lt;3,I452*5%)</f>
        <v>14567.699999999999</v>
      </c>
    </row>
    <row r="453" spans="1:15">
      <c r="A453" s="4" t="s">
        <v>967</v>
      </c>
      <c r="B453" s="5" t="s">
        <v>53</v>
      </c>
      <c r="C453" s="5" t="s">
        <v>27</v>
      </c>
      <c r="D453" s="5" t="s">
        <v>19</v>
      </c>
      <c r="E453" s="5">
        <v>25</v>
      </c>
      <c r="F453" s="5" t="s">
        <v>54</v>
      </c>
      <c r="G453" s="5" t="s">
        <v>102</v>
      </c>
      <c r="H453" s="6">
        <v>45402</v>
      </c>
      <c r="I453" s="5">
        <v>73245</v>
      </c>
      <c r="J453" s="5" t="s">
        <v>37</v>
      </c>
      <c r="K453" s="5" t="s">
        <v>968</v>
      </c>
      <c r="L453" s="15" t="s">
        <v>39</v>
      </c>
      <c r="M453" s="14" t="str">
        <f>_xlfn.XLOOKUP(F453,Department!$A$2:$A$6,Department!$B$2:$B$6)</f>
        <v>Finance</v>
      </c>
      <c r="N453" s="22">
        <f>_xlfn.XLOOKUP(A453,Performance!$A$2:$A$501,Performance!$C$2:$C$501)</f>
        <v>3</v>
      </c>
      <c r="O453" s="19" cm="1">
        <f t="array" ref="O453">_xlfn.IFS(N453=5,I453*15%,N453=4,I453*10%,N453=3,I453*7%,N453&lt;3,I453*5%)</f>
        <v>5127.1500000000005</v>
      </c>
    </row>
    <row r="454" spans="1:15">
      <c r="A454" s="4" t="s">
        <v>969</v>
      </c>
      <c r="B454" s="5" t="s">
        <v>42</v>
      </c>
      <c r="C454" s="5" t="s">
        <v>117</v>
      </c>
      <c r="D454" s="5" t="s">
        <v>19</v>
      </c>
      <c r="E454" s="5">
        <v>53</v>
      </c>
      <c r="F454" s="5" t="s">
        <v>54</v>
      </c>
      <c r="G454" s="5" t="s">
        <v>102</v>
      </c>
      <c r="H454" s="6">
        <v>44880</v>
      </c>
      <c r="I454" s="5">
        <v>35589</v>
      </c>
      <c r="J454" s="5" t="s">
        <v>62</v>
      </c>
      <c r="K454" s="5" t="s">
        <v>970</v>
      </c>
      <c r="L454" s="15" t="s">
        <v>39</v>
      </c>
      <c r="M454" s="14" t="str">
        <f>_xlfn.XLOOKUP(F454,Department!$A$2:$A$6,Department!$B$2:$B$6)</f>
        <v>Finance</v>
      </c>
      <c r="N454" s="22">
        <f>_xlfn.XLOOKUP(A454,Performance!$A$2:$A$501,Performance!$C$2:$C$501)</f>
        <v>4</v>
      </c>
      <c r="O454" s="19" cm="1">
        <f t="array" ref="O454">_xlfn.IFS(N454=5,I454*15%,N454=4,I454*10%,N454=3,I454*7%,N454&lt;3,I454*5%)</f>
        <v>3558.9</v>
      </c>
    </row>
    <row r="455" spans="1:15">
      <c r="A455" s="4" t="s">
        <v>971</v>
      </c>
      <c r="B455" s="5" t="s">
        <v>34</v>
      </c>
      <c r="C455" s="5" t="s">
        <v>89</v>
      </c>
      <c r="D455" s="5" t="s">
        <v>28</v>
      </c>
      <c r="E455" s="5">
        <v>35</v>
      </c>
      <c r="F455" s="5" t="s">
        <v>43</v>
      </c>
      <c r="G455" s="5" t="s">
        <v>44</v>
      </c>
      <c r="H455" s="6">
        <v>44877</v>
      </c>
      <c r="I455" s="5">
        <v>79751</v>
      </c>
      <c r="J455" s="5" t="s">
        <v>22</v>
      </c>
      <c r="K455" s="5" t="s">
        <v>972</v>
      </c>
      <c r="L455" s="15" t="s">
        <v>24</v>
      </c>
      <c r="M455" s="14" t="str">
        <f>_xlfn.XLOOKUP(F455,Department!$A$2:$A$6,Department!$B$2:$B$6)</f>
        <v>Marketing</v>
      </c>
      <c r="N455" s="22">
        <f>_xlfn.XLOOKUP(A455,Performance!$A$2:$A$501,Performance!$C$2:$C$501)</f>
        <v>2</v>
      </c>
      <c r="O455" s="19" cm="1">
        <f t="array" ref="O455">_xlfn.IFS(N455=5,I455*15%,N455=4,I455*10%,N455=3,I455*7%,N455&lt;3,I455*5%)</f>
        <v>3987.55</v>
      </c>
    </row>
    <row r="456" spans="1:15">
      <c r="A456" s="4" t="s">
        <v>973</v>
      </c>
      <c r="B456" s="5" t="s">
        <v>126</v>
      </c>
      <c r="C456" s="5" t="s">
        <v>18</v>
      </c>
      <c r="D456" s="5" t="s">
        <v>28</v>
      </c>
      <c r="E456" s="5">
        <v>53</v>
      </c>
      <c r="F456" s="5" t="s">
        <v>29</v>
      </c>
      <c r="G456" s="5" t="s">
        <v>102</v>
      </c>
      <c r="H456" s="6">
        <v>45149</v>
      </c>
      <c r="I456" s="5">
        <v>67994</v>
      </c>
      <c r="J456" s="5" t="s">
        <v>37</v>
      </c>
      <c r="K456" s="5" t="s">
        <v>974</v>
      </c>
      <c r="L456" s="15" t="s">
        <v>24</v>
      </c>
      <c r="M456" s="14" t="str">
        <f>_xlfn.XLOOKUP(F456,Department!$A$2:$A$6,Department!$B$2:$B$6)</f>
        <v>IT</v>
      </c>
      <c r="N456" s="22">
        <f>_xlfn.XLOOKUP(A456,Performance!$A$2:$A$501,Performance!$C$2:$C$501)</f>
        <v>3</v>
      </c>
      <c r="O456" s="19" cm="1">
        <f t="array" ref="O456">_xlfn.IFS(N456=5,I456*15%,N456=4,I456*10%,N456=3,I456*7%,N456&lt;3,I456*5%)</f>
        <v>4759.5800000000008</v>
      </c>
    </row>
    <row r="457" spans="1:15">
      <c r="A457" s="4" t="s">
        <v>975</v>
      </c>
      <c r="B457" s="5" t="s">
        <v>126</v>
      </c>
      <c r="C457" s="5" t="s">
        <v>80</v>
      </c>
      <c r="D457" s="5" t="s">
        <v>28</v>
      </c>
      <c r="E457" s="5">
        <v>28</v>
      </c>
      <c r="F457" s="5" t="s">
        <v>43</v>
      </c>
      <c r="G457" s="5" t="s">
        <v>30</v>
      </c>
      <c r="H457" s="6">
        <v>45364</v>
      </c>
      <c r="I457" s="5">
        <v>51178</v>
      </c>
      <c r="J457" s="5" t="s">
        <v>22</v>
      </c>
      <c r="K457" s="5" t="s">
        <v>976</v>
      </c>
      <c r="L457" s="15" t="s">
        <v>24</v>
      </c>
      <c r="M457" s="14" t="str">
        <f>_xlfn.XLOOKUP(F457,Department!$A$2:$A$6,Department!$B$2:$B$6)</f>
        <v>Marketing</v>
      </c>
      <c r="N457" s="22">
        <f>_xlfn.XLOOKUP(A457,Performance!$A$2:$A$501,Performance!$C$2:$C$501)</f>
        <v>4</v>
      </c>
      <c r="O457" s="19" cm="1">
        <f t="array" ref="O457">_xlfn.IFS(N457=5,I457*15%,N457=4,I457*10%,N457=3,I457*7%,N457&lt;3,I457*5%)</f>
        <v>5117.8</v>
      </c>
    </row>
    <row r="458" spans="1:15">
      <c r="A458" s="4" t="s">
        <v>977</v>
      </c>
      <c r="B458" s="5" t="s">
        <v>48</v>
      </c>
      <c r="C458" s="5" t="s">
        <v>141</v>
      </c>
      <c r="D458" s="5" t="s">
        <v>19</v>
      </c>
      <c r="E458" s="5">
        <v>29</v>
      </c>
      <c r="F458" s="5" t="s">
        <v>20</v>
      </c>
      <c r="G458" s="5" t="s">
        <v>102</v>
      </c>
      <c r="H458" s="6">
        <v>44603</v>
      </c>
      <c r="I458" s="5">
        <v>40759</v>
      </c>
      <c r="J458" s="5" t="s">
        <v>67</v>
      </c>
      <c r="K458" s="5" t="s">
        <v>978</v>
      </c>
      <c r="L458" s="15" t="s">
        <v>24</v>
      </c>
      <c r="M458" s="14" t="str">
        <f>_xlfn.XLOOKUP(F458,Department!$A$2:$A$6,Department!$B$2:$B$6)</f>
        <v>HR</v>
      </c>
      <c r="N458" s="22">
        <f>_xlfn.XLOOKUP(A458,Performance!$A$2:$A$501,Performance!$C$2:$C$501)</f>
        <v>1</v>
      </c>
      <c r="O458" s="19" cm="1">
        <f t="array" ref="O458">_xlfn.IFS(N458=5,I458*15%,N458=4,I458*10%,N458=3,I458*7%,N458&lt;3,I458*5%)</f>
        <v>2037.95</v>
      </c>
    </row>
    <row r="459" spans="1:15">
      <c r="A459" s="4" t="s">
        <v>979</v>
      </c>
      <c r="B459" s="5" t="s">
        <v>42</v>
      </c>
      <c r="C459" s="5" t="s">
        <v>80</v>
      </c>
      <c r="D459" s="5" t="s">
        <v>19</v>
      </c>
      <c r="E459" s="5">
        <v>32</v>
      </c>
      <c r="F459" s="5" t="s">
        <v>20</v>
      </c>
      <c r="G459" s="5" t="s">
        <v>30</v>
      </c>
      <c r="H459" s="6">
        <v>43559</v>
      </c>
      <c r="I459" s="5">
        <v>98394</v>
      </c>
      <c r="J459" s="5" t="s">
        <v>22</v>
      </c>
      <c r="K459" s="5" t="s">
        <v>980</v>
      </c>
      <c r="L459" s="15" t="s">
        <v>39</v>
      </c>
      <c r="M459" s="14" t="str">
        <f>_xlfn.XLOOKUP(F459,Department!$A$2:$A$6,Department!$B$2:$B$6)</f>
        <v>HR</v>
      </c>
      <c r="N459" s="22">
        <f>_xlfn.XLOOKUP(A459,Performance!$A$2:$A$501,Performance!$C$2:$C$501)</f>
        <v>4</v>
      </c>
      <c r="O459" s="19" cm="1">
        <f t="array" ref="O459">_xlfn.IFS(N459=5,I459*15%,N459=4,I459*10%,N459=3,I459*7%,N459&lt;3,I459*5%)</f>
        <v>9839.4000000000015</v>
      </c>
    </row>
    <row r="460" spans="1:15">
      <c r="A460" s="4" t="s">
        <v>981</v>
      </c>
      <c r="B460" s="5" t="s">
        <v>58</v>
      </c>
      <c r="C460" s="5" t="s">
        <v>18</v>
      </c>
      <c r="D460" s="5" t="s">
        <v>19</v>
      </c>
      <c r="E460" s="5">
        <v>37</v>
      </c>
      <c r="F460" s="5" t="s">
        <v>54</v>
      </c>
      <c r="G460" s="5" t="s">
        <v>36</v>
      </c>
      <c r="H460" s="6">
        <v>43552</v>
      </c>
      <c r="I460" s="5">
        <v>90148</v>
      </c>
      <c r="J460" s="5" t="s">
        <v>67</v>
      </c>
      <c r="K460" s="5" t="s">
        <v>982</v>
      </c>
      <c r="L460" s="15" t="s">
        <v>24</v>
      </c>
      <c r="M460" s="14" t="str">
        <f>_xlfn.XLOOKUP(F460,Department!$A$2:$A$6,Department!$B$2:$B$6)</f>
        <v>Finance</v>
      </c>
      <c r="N460" s="22">
        <f>_xlfn.XLOOKUP(A460,Performance!$A$2:$A$501,Performance!$C$2:$C$501)</f>
        <v>3</v>
      </c>
      <c r="O460" s="19" cm="1">
        <f t="array" ref="O460">_xlfn.IFS(N460=5,I460*15%,N460=4,I460*10%,N460=3,I460*7%,N460&lt;3,I460*5%)</f>
        <v>6310.3600000000006</v>
      </c>
    </row>
    <row r="461" spans="1:15">
      <c r="A461" s="4" t="s">
        <v>983</v>
      </c>
      <c r="B461" s="5" t="s">
        <v>34</v>
      </c>
      <c r="C461" s="5" t="s">
        <v>49</v>
      </c>
      <c r="D461" s="5" t="s">
        <v>28</v>
      </c>
      <c r="E461" s="5">
        <v>32</v>
      </c>
      <c r="F461" s="5" t="s">
        <v>35</v>
      </c>
      <c r="G461" s="5" t="s">
        <v>21</v>
      </c>
      <c r="H461" s="6">
        <v>44230</v>
      </c>
      <c r="I461" s="5">
        <v>63176</v>
      </c>
      <c r="J461" s="5" t="s">
        <v>37</v>
      </c>
      <c r="K461" s="5" t="s">
        <v>984</v>
      </c>
      <c r="L461" s="15" t="s">
        <v>24</v>
      </c>
      <c r="M461" s="14" t="str">
        <f>_xlfn.XLOOKUP(F461,Department!$A$2:$A$6,Department!$B$2:$B$6)</f>
        <v>Sales</v>
      </c>
      <c r="N461" s="22">
        <f>_xlfn.XLOOKUP(A461,Performance!$A$2:$A$501,Performance!$C$2:$C$501)</f>
        <v>1</v>
      </c>
      <c r="O461" s="19" cm="1">
        <f t="array" ref="O461">_xlfn.IFS(N461=5,I461*15%,N461=4,I461*10%,N461=3,I461*7%,N461&lt;3,I461*5%)</f>
        <v>3158.8</v>
      </c>
    </row>
    <row r="462" spans="1:15">
      <c r="A462" s="4" t="s">
        <v>985</v>
      </c>
      <c r="B462" s="5" t="s">
        <v>92</v>
      </c>
      <c r="C462" s="5" t="s">
        <v>89</v>
      </c>
      <c r="D462" s="5" t="s">
        <v>28</v>
      </c>
      <c r="E462" s="5">
        <v>55</v>
      </c>
      <c r="F462" s="5" t="s">
        <v>29</v>
      </c>
      <c r="G462" s="5" t="s">
        <v>30</v>
      </c>
      <c r="H462" s="6">
        <v>45350</v>
      </c>
      <c r="I462" s="5">
        <v>86434</v>
      </c>
      <c r="J462" s="5" t="s">
        <v>67</v>
      </c>
      <c r="K462" s="5" t="s">
        <v>986</v>
      </c>
      <c r="L462" s="15" t="s">
        <v>39</v>
      </c>
      <c r="M462" s="14" t="str">
        <f>_xlfn.XLOOKUP(F462,Department!$A$2:$A$6,Department!$B$2:$B$6)</f>
        <v>IT</v>
      </c>
      <c r="N462" s="22">
        <f>_xlfn.XLOOKUP(A462,Performance!$A$2:$A$501,Performance!$C$2:$C$501)</f>
        <v>2</v>
      </c>
      <c r="O462" s="19" cm="1">
        <f t="array" ref="O462">_xlfn.IFS(N462=5,I462*15%,N462=4,I462*10%,N462=3,I462*7%,N462&lt;3,I462*5%)</f>
        <v>4321.7</v>
      </c>
    </row>
    <row r="463" spans="1:15">
      <c r="A463" s="4" t="s">
        <v>987</v>
      </c>
      <c r="B463" s="5" t="s">
        <v>126</v>
      </c>
      <c r="C463" s="5" t="s">
        <v>89</v>
      </c>
      <c r="D463" s="5" t="s">
        <v>19</v>
      </c>
      <c r="E463" s="5">
        <v>42</v>
      </c>
      <c r="F463" s="5" t="s">
        <v>43</v>
      </c>
      <c r="G463" s="5" t="s">
        <v>21</v>
      </c>
      <c r="H463" s="6">
        <v>45073</v>
      </c>
      <c r="I463" s="5">
        <v>70836</v>
      </c>
      <c r="J463" s="5" t="s">
        <v>67</v>
      </c>
      <c r="K463" s="5" t="s">
        <v>988</v>
      </c>
      <c r="L463" s="15" t="s">
        <v>39</v>
      </c>
      <c r="M463" s="14" t="str">
        <f>_xlfn.XLOOKUP(F463,Department!$A$2:$A$6,Department!$B$2:$B$6)</f>
        <v>Marketing</v>
      </c>
      <c r="N463" s="22">
        <f>_xlfn.XLOOKUP(A463,Performance!$A$2:$A$501,Performance!$C$2:$C$501)</f>
        <v>2</v>
      </c>
      <c r="O463" s="19" cm="1">
        <f t="array" ref="O463">_xlfn.IFS(N463=5,I463*15%,N463=4,I463*10%,N463=3,I463*7%,N463&lt;3,I463*5%)</f>
        <v>3541.8</v>
      </c>
    </row>
    <row r="464" spans="1:15">
      <c r="A464" s="4" t="s">
        <v>989</v>
      </c>
      <c r="B464" s="5" t="s">
        <v>42</v>
      </c>
      <c r="C464" s="5" t="s">
        <v>93</v>
      </c>
      <c r="D464" s="5" t="s">
        <v>28</v>
      </c>
      <c r="E464" s="5">
        <v>49</v>
      </c>
      <c r="F464" s="5" t="s">
        <v>35</v>
      </c>
      <c r="G464" s="5" t="s">
        <v>36</v>
      </c>
      <c r="H464" s="6">
        <v>45474</v>
      </c>
      <c r="I464" s="5">
        <v>40805</v>
      </c>
      <c r="J464" s="5" t="s">
        <v>22</v>
      </c>
      <c r="K464" s="5" t="s">
        <v>990</v>
      </c>
      <c r="L464" s="15" t="s">
        <v>24</v>
      </c>
      <c r="M464" s="14" t="str">
        <f>_xlfn.XLOOKUP(F464,Department!$A$2:$A$6,Department!$B$2:$B$6)</f>
        <v>Sales</v>
      </c>
      <c r="N464" s="22">
        <f>_xlfn.XLOOKUP(A464,Performance!$A$2:$A$501,Performance!$C$2:$C$501)</f>
        <v>1</v>
      </c>
      <c r="O464" s="19" cm="1">
        <f t="array" ref="O464">_xlfn.IFS(N464=5,I464*15%,N464=4,I464*10%,N464=3,I464*7%,N464&lt;3,I464*5%)</f>
        <v>2040.25</v>
      </c>
    </row>
    <row r="465" spans="1:15">
      <c r="A465" s="4" t="s">
        <v>991</v>
      </c>
      <c r="B465" s="5" t="s">
        <v>48</v>
      </c>
      <c r="C465" s="5" t="s">
        <v>141</v>
      </c>
      <c r="D465" s="5" t="s">
        <v>28</v>
      </c>
      <c r="E465" s="5">
        <v>23</v>
      </c>
      <c r="F465" s="5" t="s">
        <v>20</v>
      </c>
      <c r="G465" s="5" t="s">
        <v>44</v>
      </c>
      <c r="H465" s="6">
        <v>44653</v>
      </c>
      <c r="I465" s="5">
        <v>117635</v>
      </c>
      <c r="J465" s="5" t="s">
        <v>37</v>
      </c>
      <c r="K465" s="5" t="s">
        <v>992</v>
      </c>
      <c r="L465" s="15" t="s">
        <v>24</v>
      </c>
      <c r="M465" s="14" t="str">
        <f>_xlfn.XLOOKUP(F465,Department!$A$2:$A$6,Department!$B$2:$B$6)</f>
        <v>HR</v>
      </c>
      <c r="N465" s="22">
        <f>_xlfn.XLOOKUP(A465,Performance!$A$2:$A$501,Performance!$C$2:$C$501)</f>
        <v>4</v>
      </c>
      <c r="O465" s="19" cm="1">
        <f t="array" ref="O465">_xlfn.IFS(N465=5,I465*15%,N465=4,I465*10%,N465=3,I465*7%,N465&lt;3,I465*5%)</f>
        <v>11763.5</v>
      </c>
    </row>
    <row r="466" spans="1:15">
      <c r="A466" s="4" t="s">
        <v>993</v>
      </c>
      <c r="B466" s="5" t="s">
        <v>17</v>
      </c>
      <c r="C466" s="5" t="s">
        <v>84</v>
      </c>
      <c r="D466" s="5" t="s">
        <v>28</v>
      </c>
      <c r="E466" s="5">
        <v>45</v>
      </c>
      <c r="F466" s="5" t="s">
        <v>54</v>
      </c>
      <c r="G466" s="5" t="s">
        <v>44</v>
      </c>
      <c r="H466" s="6">
        <v>43961</v>
      </c>
      <c r="I466" s="5">
        <v>100678</v>
      </c>
      <c r="J466" s="5" t="s">
        <v>22</v>
      </c>
      <c r="K466" s="5" t="s">
        <v>994</v>
      </c>
      <c r="L466" s="15" t="s">
        <v>39</v>
      </c>
      <c r="M466" s="14" t="str">
        <f>_xlfn.XLOOKUP(F466,Department!$A$2:$A$6,Department!$B$2:$B$6)</f>
        <v>Finance</v>
      </c>
      <c r="N466" s="22">
        <f>_xlfn.XLOOKUP(A466,Performance!$A$2:$A$501,Performance!$C$2:$C$501)</f>
        <v>3</v>
      </c>
      <c r="O466" s="19" cm="1">
        <f t="array" ref="O466">_xlfn.IFS(N466=5,I466*15%,N466=4,I466*10%,N466=3,I466*7%,N466&lt;3,I466*5%)</f>
        <v>7047.4600000000009</v>
      </c>
    </row>
    <row r="467" spans="1:15">
      <c r="A467" s="4" t="s">
        <v>995</v>
      </c>
      <c r="B467" s="5" t="s">
        <v>34</v>
      </c>
      <c r="C467" s="5" t="s">
        <v>93</v>
      </c>
      <c r="D467" s="5" t="s">
        <v>28</v>
      </c>
      <c r="E467" s="5">
        <v>39</v>
      </c>
      <c r="F467" s="5" t="s">
        <v>20</v>
      </c>
      <c r="G467" s="5" t="s">
        <v>102</v>
      </c>
      <c r="H467" s="6">
        <v>45014</v>
      </c>
      <c r="I467" s="5">
        <v>76443</v>
      </c>
      <c r="J467" s="5" t="s">
        <v>67</v>
      </c>
      <c r="K467" s="5" t="s">
        <v>996</v>
      </c>
      <c r="L467" s="15" t="s">
        <v>39</v>
      </c>
      <c r="M467" s="14" t="str">
        <f>_xlfn.XLOOKUP(F467,Department!$A$2:$A$6,Department!$B$2:$B$6)</f>
        <v>HR</v>
      </c>
      <c r="N467" s="22">
        <f>_xlfn.XLOOKUP(A467,Performance!$A$2:$A$501,Performance!$C$2:$C$501)</f>
        <v>1</v>
      </c>
      <c r="O467" s="19" cm="1">
        <f t="array" ref="O467">_xlfn.IFS(N467=5,I467*15%,N467=4,I467*10%,N467=3,I467*7%,N467&lt;3,I467*5%)</f>
        <v>3822.15</v>
      </c>
    </row>
    <row r="468" spans="1:15">
      <c r="A468" s="4" t="s">
        <v>997</v>
      </c>
      <c r="B468" s="5" t="s">
        <v>34</v>
      </c>
      <c r="C468" s="5" t="s">
        <v>89</v>
      </c>
      <c r="D468" s="5" t="s">
        <v>28</v>
      </c>
      <c r="E468" s="5">
        <v>44</v>
      </c>
      <c r="F468" s="5" t="s">
        <v>54</v>
      </c>
      <c r="G468" s="5" t="s">
        <v>30</v>
      </c>
      <c r="H468" s="6">
        <v>45135</v>
      </c>
      <c r="I468" s="5">
        <v>98210</v>
      </c>
      <c r="J468" s="5" t="s">
        <v>37</v>
      </c>
      <c r="K468" s="5" t="s">
        <v>998</v>
      </c>
      <c r="L468" s="15" t="s">
        <v>24</v>
      </c>
      <c r="M468" s="14" t="str">
        <f>_xlfn.XLOOKUP(F468,Department!$A$2:$A$6,Department!$B$2:$B$6)</f>
        <v>Finance</v>
      </c>
      <c r="N468" s="22">
        <f>_xlfn.XLOOKUP(A468,Performance!$A$2:$A$501,Performance!$C$2:$C$501)</f>
        <v>2</v>
      </c>
      <c r="O468" s="19" cm="1">
        <f t="array" ref="O468">_xlfn.IFS(N468=5,I468*15%,N468=4,I468*10%,N468=3,I468*7%,N468&lt;3,I468*5%)</f>
        <v>4910.5</v>
      </c>
    </row>
    <row r="469" spans="1:15">
      <c r="A469" s="4" t="s">
        <v>999</v>
      </c>
      <c r="B469" s="5" t="s">
        <v>34</v>
      </c>
      <c r="C469" s="5" t="s">
        <v>84</v>
      </c>
      <c r="D469" s="5" t="s">
        <v>28</v>
      </c>
      <c r="E469" s="5">
        <v>60</v>
      </c>
      <c r="F469" s="5" t="s">
        <v>20</v>
      </c>
      <c r="G469" s="5" t="s">
        <v>44</v>
      </c>
      <c r="H469" s="6">
        <v>44953</v>
      </c>
      <c r="I469" s="5">
        <v>83719</v>
      </c>
      <c r="J469" s="5" t="s">
        <v>37</v>
      </c>
      <c r="K469" s="5" t="s">
        <v>1000</v>
      </c>
      <c r="L469" s="15" t="s">
        <v>39</v>
      </c>
      <c r="M469" s="14" t="str">
        <f>_xlfn.XLOOKUP(F469,Department!$A$2:$A$6,Department!$B$2:$B$6)</f>
        <v>HR</v>
      </c>
      <c r="N469" s="22">
        <f>_xlfn.XLOOKUP(A469,Performance!$A$2:$A$501,Performance!$C$2:$C$501)</f>
        <v>2</v>
      </c>
      <c r="O469" s="19" cm="1">
        <f t="array" ref="O469">_xlfn.IFS(N469=5,I469*15%,N469=4,I469*10%,N469=3,I469*7%,N469&lt;3,I469*5%)</f>
        <v>4185.95</v>
      </c>
    </row>
    <row r="470" spans="1:15">
      <c r="A470" s="4" t="s">
        <v>1001</v>
      </c>
      <c r="B470" s="5" t="s">
        <v>53</v>
      </c>
      <c r="C470" s="5" t="s">
        <v>18</v>
      </c>
      <c r="D470" s="5" t="s">
        <v>28</v>
      </c>
      <c r="E470" s="5">
        <v>53</v>
      </c>
      <c r="F470" s="5" t="s">
        <v>29</v>
      </c>
      <c r="G470" s="5" t="s">
        <v>30</v>
      </c>
      <c r="H470" s="6">
        <v>45590</v>
      </c>
      <c r="I470" s="5">
        <v>50965</v>
      </c>
      <c r="J470" s="5" t="s">
        <v>62</v>
      </c>
      <c r="K470" s="5" t="s">
        <v>1002</v>
      </c>
      <c r="L470" s="15" t="s">
        <v>24</v>
      </c>
      <c r="M470" s="14" t="str">
        <f>_xlfn.XLOOKUP(F470,Department!$A$2:$A$6,Department!$B$2:$B$6)</f>
        <v>IT</v>
      </c>
      <c r="N470" s="22">
        <f>_xlfn.XLOOKUP(A470,Performance!$A$2:$A$501,Performance!$C$2:$C$501)</f>
        <v>4</v>
      </c>
      <c r="O470" s="19" cm="1">
        <f t="array" ref="O470">_xlfn.IFS(N470=5,I470*15%,N470=4,I470*10%,N470=3,I470*7%,N470&lt;3,I470*5%)</f>
        <v>5096.5</v>
      </c>
    </row>
    <row r="471" spans="1:15">
      <c r="A471" s="4" t="s">
        <v>1003</v>
      </c>
      <c r="B471" s="5" t="s">
        <v>92</v>
      </c>
      <c r="C471" s="5" t="s">
        <v>66</v>
      </c>
      <c r="D471" s="5" t="s">
        <v>28</v>
      </c>
      <c r="E471" s="5">
        <v>60</v>
      </c>
      <c r="F471" s="5" t="s">
        <v>54</v>
      </c>
      <c r="G471" s="5" t="s">
        <v>30</v>
      </c>
      <c r="H471" s="6">
        <v>43419</v>
      </c>
      <c r="I471" s="5">
        <v>113605</v>
      </c>
      <c r="J471" s="5" t="s">
        <v>62</v>
      </c>
      <c r="K471" s="5" t="s">
        <v>1004</v>
      </c>
      <c r="L471" s="15" t="s">
        <v>24</v>
      </c>
      <c r="M471" s="14" t="str">
        <f>_xlfn.XLOOKUP(F471,Department!$A$2:$A$6,Department!$B$2:$B$6)</f>
        <v>Finance</v>
      </c>
      <c r="N471" s="22">
        <f>_xlfn.XLOOKUP(A471,Performance!$A$2:$A$501,Performance!$C$2:$C$501)</f>
        <v>1</v>
      </c>
      <c r="O471" s="19" cm="1">
        <f t="array" ref="O471">_xlfn.IFS(N471=5,I471*15%,N471=4,I471*10%,N471=3,I471*7%,N471&lt;3,I471*5%)</f>
        <v>5680.25</v>
      </c>
    </row>
    <row r="472" spans="1:15">
      <c r="A472" s="4" t="s">
        <v>1005</v>
      </c>
      <c r="B472" s="5" t="s">
        <v>61</v>
      </c>
      <c r="C472" s="5" t="s">
        <v>80</v>
      </c>
      <c r="D472" s="5" t="s">
        <v>19</v>
      </c>
      <c r="E472" s="5">
        <v>57</v>
      </c>
      <c r="F472" s="5" t="s">
        <v>43</v>
      </c>
      <c r="G472" s="5" t="s">
        <v>44</v>
      </c>
      <c r="H472" s="6">
        <v>44968</v>
      </c>
      <c r="I472" s="5">
        <v>80135</v>
      </c>
      <c r="J472" s="5" t="s">
        <v>37</v>
      </c>
      <c r="K472" s="5" t="s">
        <v>1006</v>
      </c>
      <c r="L472" s="15" t="s">
        <v>24</v>
      </c>
      <c r="M472" s="14" t="str">
        <f>_xlfn.XLOOKUP(F472,Department!$A$2:$A$6,Department!$B$2:$B$6)</f>
        <v>Marketing</v>
      </c>
      <c r="N472" s="22">
        <f>_xlfn.XLOOKUP(A472,Performance!$A$2:$A$501,Performance!$C$2:$C$501)</f>
        <v>4</v>
      </c>
      <c r="O472" s="19" cm="1">
        <f t="array" ref="O472">_xlfn.IFS(N472=5,I472*15%,N472=4,I472*10%,N472=3,I472*7%,N472&lt;3,I472*5%)</f>
        <v>8013.5</v>
      </c>
    </row>
    <row r="473" spans="1:15">
      <c r="A473" s="4" t="s">
        <v>1007</v>
      </c>
      <c r="B473" s="5" t="s">
        <v>74</v>
      </c>
      <c r="C473" s="5" t="s">
        <v>27</v>
      </c>
      <c r="D473" s="5" t="s">
        <v>28</v>
      </c>
      <c r="E473" s="5">
        <v>53</v>
      </c>
      <c r="F473" s="5" t="s">
        <v>54</v>
      </c>
      <c r="G473" s="5" t="s">
        <v>102</v>
      </c>
      <c r="H473" s="6">
        <v>43252</v>
      </c>
      <c r="I473" s="5">
        <v>56690</v>
      </c>
      <c r="J473" s="5" t="s">
        <v>62</v>
      </c>
      <c r="K473" s="5" t="s">
        <v>1008</v>
      </c>
      <c r="L473" s="15" t="s">
        <v>24</v>
      </c>
      <c r="M473" s="14" t="str">
        <f>_xlfn.XLOOKUP(F473,Department!$A$2:$A$6,Department!$B$2:$B$6)</f>
        <v>Finance</v>
      </c>
      <c r="N473" s="22">
        <f>_xlfn.XLOOKUP(A473,Performance!$A$2:$A$501,Performance!$C$2:$C$501)</f>
        <v>4</v>
      </c>
      <c r="O473" s="19" cm="1">
        <f t="array" ref="O473">_xlfn.IFS(N473=5,I473*15%,N473=4,I473*10%,N473=3,I473*7%,N473&lt;3,I473*5%)</f>
        <v>5669</v>
      </c>
    </row>
    <row r="474" spans="1:15">
      <c r="A474" s="4" t="s">
        <v>1009</v>
      </c>
      <c r="B474" s="5" t="s">
        <v>53</v>
      </c>
      <c r="C474" s="5" t="s">
        <v>49</v>
      </c>
      <c r="D474" s="5" t="s">
        <v>28</v>
      </c>
      <c r="E474" s="5">
        <v>30</v>
      </c>
      <c r="F474" s="5" t="s">
        <v>54</v>
      </c>
      <c r="G474" s="5" t="s">
        <v>36</v>
      </c>
      <c r="H474" s="6">
        <v>43697</v>
      </c>
      <c r="I474" s="5">
        <v>40070</v>
      </c>
      <c r="J474" s="5" t="s">
        <v>81</v>
      </c>
      <c r="K474" s="5" t="s">
        <v>1010</v>
      </c>
      <c r="L474" s="15" t="s">
        <v>24</v>
      </c>
      <c r="M474" s="14" t="str">
        <f>_xlfn.XLOOKUP(F474,Department!$A$2:$A$6,Department!$B$2:$B$6)</f>
        <v>Finance</v>
      </c>
      <c r="N474" s="22">
        <f>_xlfn.XLOOKUP(A474,Performance!$A$2:$A$501,Performance!$C$2:$C$501)</f>
        <v>5</v>
      </c>
      <c r="O474" s="19" cm="1">
        <f t="array" ref="O474">_xlfn.IFS(N474=5,I474*15%,N474=4,I474*10%,N474=3,I474*7%,N474&lt;3,I474*5%)</f>
        <v>6010.5</v>
      </c>
    </row>
    <row r="475" spans="1:15">
      <c r="A475" s="4" t="s">
        <v>1011</v>
      </c>
      <c r="B475" s="5" t="s">
        <v>34</v>
      </c>
      <c r="C475" s="5" t="s">
        <v>141</v>
      </c>
      <c r="D475" s="5" t="s">
        <v>28</v>
      </c>
      <c r="E475" s="5">
        <v>57</v>
      </c>
      <c r="F475" s="5" t="s">
        <v>20</v>
      </c>
      <c r="G475" s="5" t="s">
        <v>44</v>
      </c>
      <c r="H475" s="6">
        <v>43864</v>
      </c>
      <c r="I475" s="5">
        <v>83252</v>
      </c>
      <c r="J475" s="5" t="s">
        <v>62</v>
      </c>
      <c r="K475" s="5" t="s">
        <v>1012</v>
      </c>
      <c r="L475" s="15" t="s">
        <v>24</v>
      </c>
      <c r="M475" s="14" t="str">
        <f>_xlfn.XLOOKUP(F475,Department!$A$2:$A$6,Department!$B$2:$B$6)</f>
        <v>HR</v>
      </c>
      <c r="N475" s="22">
        <f>_xlfn.XLOOKUP(A475,Performance!$A$2:$A$501,Performance!$C$2:$C$501)</f>
        <v>4</v>
      </c>
      <c r="O475" s="19" cm="1">
        <f t="array" ref="O475">_xlfn.IFS(N475=5,I475*15%,N475=4,I475*10%,N475=3,I475*7%,N475&lt;3,I475*5%)</f>
        <v>8325.2000000000007</v>
      </c>
    </row>
    <row r="476" spans="1:15">
      <c r="A476" s="4" t="s">
        <v>1013</v>
      </c>
      <c r="B476" s="5" t="s">
        <v>74</v>
      </c>
      <c r="C476" s="5" t="s">
        <v>89</v>
      </c>
      <c r="D476" s="5" t="s">
        <v>28</v>
      </c>
      <c r="E476" s="5">
        <v>48</v>
      </c>
      <c r="F476" s="5" t="s">
        <v>35</v>
      </c>
      <c r="G476" s="5" t="s">
        <v>44</v>
      </c>
      <c r="H476" s="6">
        <v>43122</v>
      </c>
      <c r="I476" s="5">
        <v>66939</v>
      </c>
      <c r="J476" s="5" t="s">
        <v>22</v>
      </c>
      <c r="K476" s="5" t="s">
        <v>1014</v>
      </c>
      <c r="L476" s="15" t="s">
        <v>39</v>
      </c>
      <c r="M476" s="14" t="str">
        <f>_xlfn.XLOOKUP(F476,Department!$A$2:$A$6,Department!$B$2:$B$6)</f>
        <v>Sales</v>
      </c>
      <c r="N476" s="22">
        <f>_xlfn.XLOOKUP(A476,Performance!$A$2:$A$501,Performance!$C$2:$C$501)</f>
        <v>4</v>
      </c>
      <c r="O476" s="19" cm="1">
        <f t="array" ref="O476">_xlfn.IFS(N476=5,I476*15%,N476=4,I476*10%,N476=3,I476*7%,N476&lt;3,I476*5%)</f>
        <v>6693.9000000000005</v>
      </c>
    </row>
    <row r="477" spans="1:15">
      <c r="A477" s="4" t="s">
        <v>1015</v>
      </c>
      <c r="B477" s="5" t="s">
        <v>17</v>
      </c>
      <c r="C477" s="5" t="s">
        <v>89</v>
      </c>
      <c r="D477" s="5" t="s">
        <v>28</v>
      </c>
      <c r="E477" s="5">
        <v>58</v>
      </c>
      <c r="F477" s="5" t="s">
        <v>35</v>
      </c>
      <c r="G477" s="5" t="s">
        <v>21</v>
      </c>
      <c r="H477" s="6">
        <v>43218</v>
      </c>
      <c r="I477" s="5">
        <v>51367</v>
      </c>
      <c r="J477" s="5" t="s">
        <v>67</v>
      </c>
      <c r="K477" s="5" t="s">
        <v>1016</v>
      </c>
      <c r="L477" s="15" t="s">
        <v>24</v>
      </c>
      <c r="M477" s="14" t="str">
        <f>_xlfn.XLOOKUP(F477,Department!$A$2:$A$6,Department!$B$2:$B$6)</f>
        <v>Sales</v>
      </c>
      <c r="N477" s="22">
        <f>_xlfn.XLOOKUP(A477,Performance!$A$2:$A$501,Performance!$C$2:$C$501)</f>
        <v>5</v>
      </c>
      <c r="O477" s="19" cm="1">
        <f t="array" ref="O477">_xlfn.IFS(N477=5,I477*15%,N477=4,I477*10%,N477=3,I477*7%,N477&lt;3,I477*5%)</f>
        <v>7705.0499999999993</v>
      </c>
    </row>
    <row r="478" spans="1:15">
      <c r="A478" s="4" t="s">
        <v>1017</v>
      </c>
      <c r="B478" s="5" t="s">
        <v>126</v>
      </c>
      <c r="C478" s="5" t="s">
        <v>93</v>
      </c>
      <c r="D478" s="5" t="s">
        <v>19</v>
      </c>
      <c r="E478" s="5">
        <v>60</v>
      </c>
      <c r="F478" s="5" t="s">
        <v>35</v>
      </c>
      <c r="G478" s="5" t="s">
        <v>21</v>
      </c>
      <c r="H478" s="6">
        <v>43757</v>
      </c>
      <c r="I478" s="5">
        <v>94212</v>
      </c>
      <c r="J478" s="5" t="s">
        <v>37</v>
      </c>
      <c r="K478" s="5" t="s">
        <v>1018</v>
      </c>
      <c r="L478" s="15" t="s">
        <v>24</v>
      </c>
      <c r="M478" s="14" t="str">
        <f>_xlfn.XLOOKUP(F478,Department!$A$2:$A$6,Department!$B$2:$B$6)</f>
        <v>Sales</v>
      </c>
      <c r="N478" s="22">
        <f>_xlfn.XLOOKUP(A478,Performance!$A$2:$A$501,Performance!$C$2:$C$501)</f>
        <v>3</v>
      </c>
      <c r="O478" s="19" cm="1">
        <f t="array" ref="O478">_xlfn.IFS(N478=5,I478*15%,N478=4,I478*10%,N478=3,I478*7%,N478&lt;3,I478*5%)</f>
        <v>6594.8400000000011</v>
      </c>
    </row>
    <row r="479" spans="1:15">
      <c r="A479" s="4" t="s">
        <v>1019</v>
      </c>
      <c r="B479" s="5" t="s">
        <v>48</v>
      </c>
      <c r="C479" s="5" t="s">
        <v>117</v>
      </c>
      <c r="D479" s="5" t="s">
        <v>28</v>
      </c>
      <c r="E479" s="5">
        <v>44</v>
      </c>
      <c r="F479" s="5" t="s">
        <v>54</v>
      </c>
      <c r="G479" s="5" t="s">
        <v>44</v>
      </c>
      <c r="H479" s="6">
        <v>43531</v>
      </c>
      <c r="I479" s="5">
        <v>47411</v>
      </c>
      <c r="J479" s="5" t="s">
        <v>62</v>
      </c>
      <c r="K479" s="5" t="s">
        <v>1020</v>
      </c>
      <c r="L479" s="15" t="s">
        <v>39</v>
      </c>
      <c r="M479" s="14" t="str">
        <f>_xlfn.XLOOKUP(F479,Department!$A$2:$A$6,Department!$B$2:$B$6)</f>
        <v>Finance</v>
      </c>
      <c r="N479" s="22">
        <f>_xlfn.XLOOKUP(A479,Performance!$A$2:$A$501,Performance!$C$2:$C$501)</f>
        <v>3</v>
      </c>
      <c r="O479" s="19" cm="1">
        <f t="array" ref="O479">_xlfn.IFS(N479=5,I479*15%,N479=4,I479*10%,N479=3,I479*7%,N479&lt;3,I479*5%)</f>
        <v>3318.7700000000004</v>
      </c>
    </row>
    <row r="480" spans="1:15">
      <c r="A480" s="4" t="s">
        <v>1021</v>
      </c>
      <c r="B480" s="5" t="s">
        <v>58</v>
      </c>
      <c r="C480" s="5" t="s">
        <v>27</v>
      </c>
      <c r="D480" s="5" t="s">
        <v>19</v>
      </c>
      <c r="E480" s="5">
        <v>49</v>
      </c>
      <c r="F480" s="5" t="s">
        <v>35</v>
      </c>
      <c r="G480" s="5" t="s">
        <v>30</v>
      </c>
      <c r="H480" s="6">
        <v>45296</v>
      </c>
      <c r="I480" s="5">
        <v>67896</v>
      </c>
      <c r="J480" s="5" t="s">
        <v>37</v>
      </c>
      <c r="K480" s="5" t="s">
        <v>1022</v>
      </c>
      <c r="L480" s="15" t="s">
        <v>39</v>
      </c>
      <c r="M480" s="14" t="str">
        <f>_xlfn.XLOOKUP(F480,Department!$A$2:$A$6,Department!$B$2:$B$6)</f>
        <v>Sales</v>
      </c>
      <c r="N480" s="22">
        <f>_xlfn.XLOOKUP(A480,Performance!$A$2:$A$501,Performance!$C$2:$C$501)</f>
        <v>3</v>
      </c>
      <c r="O480" s="19" cm="1">
        <f t="array" ref="O480">_xlfn.IFS(N480=5,I480*15%,N480=4,I480*10%,N480=3,I480*7%,N480&lt;3,I480*5%)</f>
        <v>4752.72</v>
      </c>
    </row>
    <row r="481" spans="1:15">
      <c r="A481" s="4" t="s">
        <v>1023</v>
      </c>
      <c r="B481" s="5" t="s">
        <v>53</v>
      </c>
      <c r="C481" s="5" t="s">
        <v>141</v>
      </c>
      <c r="D481" s="5" t="s">
        <v>28</v>
      </c>
      <c r="E481" s="5">
        <v>58</v>
      </c>
      <c r="F481" s="5" t="s">
        <v>43</v>
      </c>
      <c r="G481" s="5" t="s">
        <v>44</v>
      </c>
      <c r="H481" s="6">
        <v>44963</v>
      </c>
      <c r="I481" s="5">
        <v>81285</v>
      </c>
      <c r="J481" s="5" t="s">
        <v>37</v>
      </c>
      <c r="K481" s="5" t="s">
        <v>1024</v>
      </c>
      <c r="L481" s="15" t="s">
        <v>24</v>
      </c>
      <c r="M481" s="14" t="str">
        <f>_xlfn.XLOOKUP(F481,Department!$A$2:$A$6,Department!$B$2:$B$6)</f>
        <v>Marketing</v>
      </c>
      <c r="N481" s="22">
        <f>_xlfn.XLOOKUP(A481,Performance!$A$2:$A$501,Performance!$C$2:$C$501)</f>
        <v>2</v>
      </c>
      <c r="O481" s="19" cm="1">
        <f t="array" ref="O481">_xlfn.IFS(N481=5,I481*15%,N481=4,I481*10%,N481=3,I481*7%,N481&lt;3,I481*5%)</f>
        <v>4064.25</v>
      </c>
    </row>
    <row r="482" spans="1:15">
      <c r="A482" s="4" t="s">
        <v>1025</v>
      </c>
      <c r="B482" s="5" t="s">
        <v>53</v>
      </c>
      <c r="C482" s="5" t="s">
        <v>66</v>
      </c>
      <c r="D482" s="5" t="s">
        <v>19</v>
      </c>
      <c r="E482" s="5">
        <v>53</v>
      </c>
      <c r="F482" s="5" t="s">
        <v>43</v>
      </c>
      <c r="G482" s="5" t="s">
        <v>102</v>
      </c>
      <c r="H482" s="6">
        <v>44817</v>
      </c>
      <c r="I482" s="5">
        <v>100041</v>
      </c>
      <c r="J482" s="5" t="s">
        <v>22</v>
      </c>
      <c r="K482" s="5" t="s">
        <v>1026</v>
      </c>
      <c r="L482" s="15" t="s">
        <v>24</v>
      </c>
      <c r="M482" s="14" t="str">
        <f>_xlfn.XLOOKUP(F482,Department!$A$2:$A$6,Department!$B$2:$B$6)</f>
        <v>Marketing</v>
      </c>
      <c r="N482" s="22">
        <f>_xlfn.XLOOKUP(A482,Performance!$A$2:$A$501,Performance!$C$2:$C$501)</f>
        <v>5</v>
      </c>
      <c r="O482" s="19" cm="1">
        <f t="array" ref="O482">_xlfn.IFS(N482=5,I482*15%,N482=4,I482*10%,N482=3,I482*7%,N482&lt;3,I482*5%)</f>
        <v>15006.15</v>
      </c>
    </row>
    <row r="483" spans="1:15">
      <c r="A483" s="4" t="s">
        <v>1027</v>
      </c>
      <c r="B483" s="5" t="s">
        <v>17</v>
      </c>
      <c r="C483" s="5" t="s">
        <v>84</v>
      </c>
      <c r="D483" s="5" t="s">
        <v>28</v>
      </c>
      <c r="E483" s="5">
        <v>48</v>
      </c>
      <c r="F483" s="5" t="s">
        <v>43</v>
      </c>
      <c r="G483" s="5" t="s">
        <v>102</v>
      </c>
      <c r="H483" s="6">
        <v>44503</v>
      </c>
      <c r="I483" s="5">
        <v>88033</v>
      </c>
      <c r="J483" s="5" t="s">
        <v>81</v>
      </c>
      <c r="K483" s="5" t="s">
        <v>1028</v>
      </c>
      <c r="L483" s="15" t="s">
        <v>24</v>
      </c>
      <c r="M483" s="14" t="str">
        <f>_xlfn.XLOOKUP(F483,Department!$A$2:$A$6,Department!$B$2:$B$6)</f>
        <v>Marketing</v>
      </c>
      <c r="N483" s="22">
        <f>_xlfn.XLOOKUP(A483,Performance!$A$2:$A$501,Performance!$C$2:$C$501)</f>
        <v>3</v>
      </c>
      <c r="O483" s="19" cm="1">
        <f t="array" ref="O483">_xlfn.IFS(N483=5,I483*15%,N483=4,I483*10%,N483=3,I483*7%,N483&lt;3,I483*5%)</f>
        <v>6162.31</v>
      </c>
    </row>
    <row r="484" spans="1:15">
      <c r="A484" s="4" t="s">
        <v>1029</v>
      </c>
      <c r="B484" s="5" t="s">
        <v>42</v>
      </c>
      <c r="C484" s="5" t="s">
        <v>49</v>
      </c>
      <c r="D484" s="5" t="s">
        <v>19</v>
      </c>
      <c r="E484" s="5">
        <v>40</v>
      </c>
      <c r="F484" s="5" t="s">
        <v>35</v>
      </c>
      <c r="G484" s="5" t="s">
        <v>102</v>
      </c>
      <c r="H484" s="6">
        <v>44196</v>
      </c>
      <c r="I484" s="5">
        <v>71291</v>
      </c>
      <c r="J484" s="5" t="s">
        <v>37</v>
      </c>
      <c r="K484" s="5" t="s">
        <v>1030</v>
      </c>
      <c r="L484" s="15" t="s">
        <v>39</v>
      </c>
      <c r="M484" s="16" t="str">
        <f>_xlfn.XLOOKUP(F484,Department!$A$2:$A$6,Department!$B$2:$B$6)</f>
        <v>Sales</v>
      </c>
      <c r="N484" s="22">
        <f>_xlfn.XLOOKUP(A484,Performance!$A$2:$A$501,Performance!$C$2:$C$501)</f>
        <v>3</v>
      </c>
      <c r="O484" s="19" cm="1">
        <f t="array" ref="O484">_xlfn.IFS(N484=5,I484*15%,N484=4,I484*10%,N484=3,I484*7%,N484&lt;3,I484*5%)</f>
        <v>4990.3700000000008</v>
      </c>
    </row>
    <row r="485" spans="1:15">
      <c r="A485" s="4" t="s">
        <v>1031</v>
      </c>
      <c r="B485" s="5" t="s">
        <v>126</v>
      </c>
      <c r="C485" s="5" t="s">
        <v>49</v>
      </c>
      <c r="D485" s="5" t="s">
        <v>19</v>
      </c>
      <c r="E485" s="5">
        <v>27</v>
      </c>
      <c r="F485" s="5" t="s">
        <v>29</v>
      </c>
      <c r="G485" s="5" t="s">
        <v>44</v>
      </c>
      <c r="H485" s="6">
        <v>45594</v>
      </c>
      <c r="I485" s="5">
        <v>48563</v>
      </c>
      <c r="J485" s="5" t="s">
        <v>37</v>
      </c>
      <c r="K485" s="5" t="s">
        <v>1032</v>
      </c>
      <c r="L485" s="15" t="s">
        <v>39</v>
      </c>
      <c r="M485" s="14" t="str">
        <f>_xlfn.XLOOKUP(F485,Department!$A$2:$A$6,Department!$B$2:$B$6)</f>
        <v>IT</v>
      </c>
      <c r="N485" s="22">
        <f>_xlfn.XLOOKUP(A485,Performance!$A$2:$A$501,Performance!$C$2:$C$501)</f>
        <v>2</v>
      </c>
      <c r="O485" s="19" cm="1">
        <f t="array" ref="O485">_xlfn.IFS(N485=5,I485*15%,N485=4,I485*10%,N485=3,I485*7%,N485&lt;3,I485*5%)</f>
        <v>2428.15</v>
      </c>
    </row>
    <row r="486" spans="1:15">
      <c r="A486" s="4" t="s">
        <v>1033</v>
      </c>
      <c r="B486" s="5" t="s">
        <v>61</v>
      </c>
      <c r="C486" s="5" t="s">
        <v>49</v>
      </c>
      <c r="D486" s="5" t="s">
        <v>28</v>
      </c>
      <c r="E486" s="5">
        <v>37</v>
      </c>
      <c r="F486" s="5" t="s">
        <v>29</v>
      </c>
      <c r="G486" s="5" t="s">
        <v>36</v>
      </c>
      <c r="H486" s="6">
        <v>44406</v>
      </c>
      <c r="I486" s="5">
        <v>71454</v>
      </c>
      <c r="J486" s="5" t="s">
        <v>22</v>
      </c>
      <c r="K486" s="5" t="s">
        <v>1034</v>
      </c>
      <c r="L486" s="15" t="s">
        <v>24</v>
      </c>
      <c r="M486" s="14" t="str">
        <f>_xlfn.XLOOKUP(F486,Department!$A$2:$A$6,Department!$B$2:$B$6)</f>
        <v>IT</v>
      </c>
      <c r="N486" s="22">
        <f>_xlfn.XLOOKUP(A486,Performance!$A$2:$A$501,Performance!$C$2:$C$501)</f>
        <v>4</v>
      </c>
      <c r="O486" s="19" cm="1">
        <f t="array" ref="O486">_xlfn.IFS(N486=5,I486*15%,N486=4,I486*10%,N486=3,I486*7%,N486&lt;3,I486*5%)</f>
        <v>7145.4000000000005</v>
      </c>
    </row>
    <row r="487" spans="1:15">
      <c r="A487" s="4" t="s">
        <v>1035</v>
      </c>
      <c r="B487" s="5" t="s">
        <v>92</v>
      </c>
      <c r="C487" s="5" t="s">
        <v>66</v>
      </c>
      <c r="D487" s="5" t="s">
        <v>28</v>
      </c>
      <c r="E487" s="5">
        <v>39</v>
      </c>
      <c r="F487" s="5" t="s">
        <v>29</v>
      </c>
      <c r="G487" s="5" t="s">
        <v>36</v>
      </c>
      <c r="H487" s="6">
        <v>44740</v>
      </c>
      <c r="I487" s="5">
        <v>44271</v>
      </c>
      <c r="J487" s="5" t="s">
        <v>37</v>
      </c>
      <c r="K487" s="5" t="s">
        <v>1036</v>
      </c>
      <c r="L487" s="15" t="s">
        <v>39</v>
      </c>
      <c r="M487" s="14" t="str">
        <f>_xlfn.XLOOKUP(F487,Department!$A$2:$A$6,Department!$B$2:$B$6)</f>
        <v>IT</v>
      </c>
      <c r="N487" s="22">
        <f>_xlfn.XLOOKUP(A487,Performance!$A$2:$A$501,Performance!$C$2:$C$501)</f>
        <v>4</v>
      </c>
      <c r="O487" s="19" cm="1">
        <f t="array" ref="O487">_xlfn.IFS(N487=5,I487*15%,N487=4,I487*10%,N487=3,I487*7%,N487&lt;3,I487*5%)</f>
        <v>4427.1000000000004</v>
      </c>
    </row>
    <row r="488" spans="1:15">
      <c r="A488" s="4" t="s">
        <v>1037</v>
      </c>
      <c r="B488" s="5" t="s">
        <v>42</v>
      </c>
      <c r="C488" s="5" t="s">
        <v>18</v>
      </c>
      <c r="D488" s="5" t="s">
        <v>19</v>
      </c>
      <c r="E488" s="5">
        <v>56</v>
      </c>
      <c r="F488" s="5" t="s">
        <v>20</v>
      </c>
      <c r="G488" s="5" t="s">
        <v>21</v>
      </c>
      <c r="H488" s="6">
        <v>43378</v>
      </c>
      <c r="I488" s="5">
        <v>93401</v>
      </c>
      <c r="J488" s="5" t="s">
        <v>67</v>
      </c>
      <c r="K488" s="5" t="s">
        <v>1038</v>
      </c>
      <c r="L488" s="15" t="s">
        <v>24</v>
      </c>
      <c r="M488" s="14" t="str">
        <f>_xlfn.XLOOKUP(F488,Department!$A$2:$A$6,Department!$B$2:$B$6)</f>
        <v>HR</v>
      </c>
      <c r="N488" s="22">
        <f>_xlfn.XLOOKUP(A488,Performance!$A$2:$A$501,Performance!$C$2:$C$501)</f>
        <v>2</v>
      </c>
      <c r="O488" s="19" cm="1">
        <f t="array" ref="O488">_xlfn.IFS(N488=5,I488*15%,N488=4,I488*10%,N488=3,I488*7%,N488&lt;3,I488*5%)</f>
        <v>4670.05</v>
      </c>
    </row>
    <row r="489" spans="1:15">
      <c r="A489" s="4" t="s">
        <v>1039</v>
      </c>
      <c r="B489" s="5" t="s">
        <v>74</v>
      </c>
      <c r="C489" s="5" t="s">
        <v>66</v>
      </c>
      <c r="D489" s="5" t="s">
        <v>28</v>
      </c>
      <c r="E489" s="5">
        <v>22</v>
      </c>
      <c r="F489" s="5" t="s">
        <v>29</v>
      </c>
      <c r="G489" s="5" t="s">
        <v>36</v>
      </c>
      <c r="H489" s="6">
        <v>44031</v>
      </c>
      <c r="I489" s="5">
        <v>56106</v>
      </c>
      <c r="J489" s="5" t="s">
        <v>22</v>
      </c>
      <c r="K489" s="5" t="s">
        <v>1040</v>
      </c>
      <c r="L489" s="15" t="s">
        <v>39</v>
      </c>
      <c r="M489" s="14" t="str">
        <f>_xlfn.XLOOKUP(F489,Department!$A$2:$A$6,Department!$B$2:$B$6)</f>
        <v>IT</v>
      </c>
      <c r="N489" s="22">
        <f>_xlfn.XLOOKUP(A489,Performance!$A$2:$A$501,Performance!$C$2:$C$501)</f>
        <v>1</v>
      </c>
      <c r="O489" s="19" cm="1">
        <f t="array" ref="O489">_xlfn.IFS(N489=5,I489*15%,N489=4,I489*10%,N489=3,I489*7%,N489&lt;3,I489*5%)</f>
        <v>2805.3</v>
      </c>
    </row>
    <row r="490" spans="1:15">
      <c r="A490" s="4" t="s">
        <v>1041</v>
      </c>
      <c r="B490" s="5" t="s">
        <v>92</v>
      </c>
      <c r="C490" s="5" t="s">
        <v>93</v>
      </c>
      <c r="D490" s="5" t="s">
        <v>19</v>
      </c>
      <c r="E490" s="5">
        <v>38</v>
      </c>
      <c r="F490" s="5" t="s">
        <v>43</v>
      </c>
      <c r="G490" s="5" t="s">
        <v>36</v>
      </c>
      <c r="H490" s="6">
        <v>44598</v>
      </c>
      <c r="I490" s="5">
        <v>106273</v>
      </c>
      <c r="J490" s="5" t="s">
        <v>22</v>
      </c>
      <c r="K490" s="5" t="s">
        <v>1042</v>
      </c>
      <c r="L490" s="15" t="s">
        <v>39</v>
      </c>
      <c r="M490" s="14" t="str">
        <f>_xlfn.XLOOKUP(F490,Department!$A$2:$A$6,Department!$B$2:$B$6)</f>
        <v>Marketing</v>
      </c>
      <c r="N490" s="22">
        <f>_xlfn.XLOOKUP(A490,Performance!$A$2:$A$501,Performance!$C$2:$C$501)</f>
        <v>5</v>
      </c>
      <c r="O490" s="19" cm="1">
        <f t="array" ref="O490">_xlfn.IFS(N490=5,I490*15%,N490=4,I490*10%,N490=3,I490*7%,N490&lt;3,I490*5%)</f>
        <v>15940.949999999999</v>
      </c>
    </row>
    <row r="491" spans="1:15">
      <c r="A491" s="4" t="s">
        <v>1043</v>
      </c>
      <c r="B491" s="5" t="s">
        <v>74</v>
      </c>
      <c r="C491" s="5" t="s">
        <v>117</v>
      </c>
      <c r="D491" s="5" t="s">
        <v>28</v>
      </c>
      <c r="E491" s="5">
        <v>45</v>
      </c>
      <c r="F491" s="5" t="s">
        <v>54</v>
      </c>
      <c r="G491" s="5" t="s">
        <v>44</v>
      </c>
      <c r="H491" s="6">
        <v>43545</v>
      </c>
      <c r="I491" s="5">
        <v>105710</v>
      </c>
      <c r="J491" s="5" t="s">
        <v>81</v>
      </c>
      <c r="K491" s="5" t="s">
        <v>1044</v>
      </c>
      <c r="L491" s="15" t="s">
        <v>24</v>
      </c>
      <c r="M491" s="14" t="str">
        <f>_xlfn.XLOOKUP(F491,Department!$A$2:$A$6,Department!$B$2:$B$6)</f>
        <v>Finance</v>
      </c>
      <c r="N491" s="22">
        <f>_xlfn.XLOOKUP(A491,Performance!$A$2:$A$501,Performance!$C$2:$C$501)</f>
        <v>2</v>
      </c>
      <c r="O491" s="19" cm="1">
        <f t="array" ref="O491">_xlfn.IFS(N491=5,I491*15%,N491=4,I491*10%,N491=3,I491*7%,N491&lt;3,I491*5%)</f>
        <v>5285.5</v>
      </c>
    </row>
    <row r="492" spans="1:15">
      <c r="A492" s="4" t="s">
        <v>1045</v>
      </c>
      <c r="B492" s="5" t="s">
        <v>126</v>
      </c>
      <c r="C492" s="5" t="s">
        <v>18</v>
      </c>
      <c r="D492" s="5" t="s">
        <v>19</v>
      </c>
      <c r="E492" s="5">
        <v>46</v>
      </c>
      <c r="F492" s="5" t="s">
        <v>54</v>
      </c>
      <c r="G492" s="5" t="s">
        <v>102</v>
      </c>
      <c r="H492" s="6">
        <v>45156</v>
      </c>
      <c r="I492" s="5">
        <v>68751</v>
      </c>
      <c r="J492" s="5" t="s">
        <v>22</v>
      </c>
      <c r="K492" s="5" t="s">
        <v>1046</v>
      </c>
      <c r="L492" s="15" t="s">
        <v>24</v>
      </c>
      <c r="M492" s="14" t="str">
        <f>_xlfn.XLOOKUP(F492,Department!$A$2:$A$6,Department!$B$2:$B$6)</f>
        <v>Finance</v>
      </c>
      <c r="N492" s="22">
        <f>_xlfn.XLOOKUP(A492,Performance!$A$2:$A$501,Performance!$C$2:$C$501)</f>
        <v>4</v>
      </c>
      <c r="O492" s="19" cm="1">
        <f t="array" ref="O492">_xlfn.IFS(N492=5,I492*15%,N492=4,I492*10%,N492=3,I492*7%,N492&lt;3,I492*5%)</f>
        <v>6875.1</v>
      </c>
    </row>
    <row r="493" spans="1:15">
      <c r="A493" s="4" t="s">
        <v>1047</v>
      </c>
      <c r="B493" s="5" t="s">
        <v>42</v>
      </c>
      <c r="C493" s="5" t="s">
        <v>49</v>
      </c>
      <c r="D493" s="5" t="s">
        <v>19</v>
      </c>
      <c r="E493" s="5">
        <v>33</v>
      </c>
      <c r="F493" s="5" t="s">
        <v>20</v>
      </c>
      <c r="G493" s="5" t="s">
        <v>30</v>
      </c>
      <c r="H493" s="6">
        <v>43544</v>
      </c>
      <c r="I493" s="5">
        <v>63873</v>
      </c>
      <c r="J493" s="5" t="s">
        <v>67</v>
      </c>
      <c r="K493" s="5" t="s">
        <v>1048</v>
      </c>
      <c r="L493" s="15" t="s">
        <v>24</v>
      </c>
      <c r="M493" s="14" t="str">
        <f>_xlfn.XLOOKUP(F493,Department!$A$2:$A$6,Department!$B$2:$B$6)</f>
        <v>HR</v>
      </c>
      <c r="N493" s="22">
        <f>_xlfn.XLOOKUP(A493,Performance!$A$2:$A$501,Performance!$C$2:$C$501)</f>
        <v>5</v>
      </c>
      <c r="O493" s="19" cm="1">
        <f t="array" ref="O493">_xlfn.IFS(N493=5,I493*15%,N493=4,I493*10%,N493=3,I493*7%,N493&lt;3,I493*5%)</f>
        <v>9580.9499999999989</v>
      </c>
    </row>
    <row r="494" spans="1:15">
      <c r="A494" s="4" t="s">
        <v>1049</v>
      </c>
      <c r="B494" s="5" t="s">
        <v>53</v>
      </c>
      <c r="C494" s="5" t="s">
        <v>49</v>
      </c>
      <c r="D494" s="5" t="s">
        <v>28</v>
      </c>
      <c r="E494" s="5">
        <v>39</v>
      </c>
      <c r="F494" s="5" t="s">
        <v>54</v>
      </c>
      <c r="G494" s="5" t="s">
        <v>44</v>
      </c>
      <c r="H494" s="6">
        <v>44850</v>
      </c>
      <c r="I494" s="5">
        <v>117465</v>
      </c>
      <c r="J494" s="5" t="s">
        <v>37</v>
      </c>
      <c r="K494" s="5" t="s">
        <v>1050</v>
      </c>
      <c r="L494" s="15" t="s">
        <v>39</v>
      </c>
      <c r="M494" s="14" t="str">
        <f>_xlfn.XLOOKUP(F494,Department!$A$2:$A$6,Department!$B$2:$B$6)</f>
        <v>Finance</v>
      </c>
      <c r="N494" s="22">
        <f>_xlfn.XLOOKUP(A494,Performance!$A$2:$A$501,Performance!$C$2:$C$501)</f>
        <v>1</v>
      </c>
      <c r="O494" s="19" cm="1">
        <f t="array" ref="O494">_xlfn.IFS(N494=5,I494*15%,N494=4,I494*10%,N494=3,I494*7%,N494&lt;3,I494*5%)</f>
        <v>5873.25</v>
      </c>
    </row>
    <row r="495" spans="1:15">
      <c r="A495" s="4" t="s">
        <v>1051</v>
      </c>
      <c r="B495" s="5" t="s">
        <v>48</v>
      </c>
      <c r="C495" s="5" t="s">
        <v>117</v>
      </c>
      <c r="D495" s="5" t="s">
        <v>19</v>
      </c>
      <c r="E495" s="5">
        <v>44</v>
      </c>
      <c r="F495" s="5" t="s">
        <v>35</v>
      </c>
      <c r="G495" s="5" t="s">
        <v>30</v>
      </c>
      <c r="H495" s="6">
        <v>43991</v>
      </c>
      <c r="I495" s="5">
        <v>59582</v>
      </c>
      <c r="J495" s="5" t="s">
        <v>81</v>
      </c>
      <c r="K495" s="5" t="s">
        <v>1052</v>
      </c>
      <c r="L495" s="15" t="s">
        <v>39</v>
      </c>
      <c r="M495" s="14" t="str">
        <f>_xlfn.XLOOKUP(F495,Department!$A$2:$A$6,Department!$B$2:$B$6)</f>
        <v>Sales</v>
      </c>
      <c r="N495" s="22">
        <f>_xlfn.XLOOKUP(A495,Performance!$A$2:$A$501,Performance!$C$2:$C$501)</f>
        <v>5</v>
      </c>
      <c r="O495" s="19" cm="1">
        <f t="array" ref="O495">_xlfn.IFS(N495=5,I495*15%,N495=4,I495*10%,N495=3,I495*7%,N495&lt;3,I495*5%)</f>
        <v>8937.2999999999993</v>
      </c>
    </row>
    <row r="496" spans="1:15">
      <c r="A496" s="4" t="s">
        <v>1053</v>
      </c>
      <c r="B496" s="5" t="s">
        <v>61</v>
      </c>
      <c r="C496" s="5" t="s">
        <v>84</v>
      </c>
      <c r="D496" s="5" t="s">
        <v>19</v>
      </c>
      <c r="E496" s="5">
        <v>51</v>
      </c>
      <c r="F496" s="5" t="s">
        <v>35</v>
      </c>
      <c r="G496" s="5" t="s">
        <v>21</v>
      </c>
      <c r="H496" s="6">
        <v>43211</v>
      </c>
      <c r="I496" s="5">
        <v>117932</v>
      </c>
      <c r="J496" s="5" t="s">
        <v>81</v>
      </c>
      <c r="K496" s="5" t="s">
        <v>1054</v>
      </c>
      <c r="L496" s="15" t="s">
        <v>24</v>
      </c>
      <c r="M496" s="14" t="str">
        <f>_xlfn.XLOOKUP(F496,Department!$A$2:$A$6,Department!$B$2:$B$6)</f>
        <v>Sales</v>
      </c>
      <c r="N496" s="22">
        <f>_xlfn.XLOOKUP(A496,Performance!$A$2:$A$501,Performance!$C$2:$C$501)</f>
        <v>4</v>
      </c>
      <c r="O496" s="19" cm="1">
        <f t="array" ref="O496">_xlfn.IFS(N496=5,I496*15%,N496=4,I496*10%,N496=3,I496*7%,N496&lt;3,I496*5%)</f>
        <v>11793.2</v>
      </c>
    </row>
    <row r="497" spans="1:15">
      <c r="A497" s="4" t="s">
        <v>1055</v>
      </c>
      <c r="B497" s="5" t="s">
        <v>53</v>
      </c>
      <c r="C497" s="5" t="s">
        <v>49</v>
      </c>
      <c r="D497" s="5" t="s">
        <v>28</v>
      </c>
      <c r="E497" s="5">
        <v>58</v>
      </c>
      <c r="F497" s="5" t="s">
        <v>20</v>
      </c>
      <c r="G497" s="5" t="s">
        <v>44</v>
      </c>
      <c r="H497" s="6">
        <v>43156</v>
      </c>
      <c r="I497" s="5">
        <v>95198</v>
      </c>
      <c r="J497" s="5" t="s">
        <v>81</v>
      </c>
      <c r="K497" s="5" t="s">
        <v>1056</v>
      </c>
      <c r="L497" s="15" t="s">
        <v>24</v>
      </c>
      <c r="M497" s="14" t="str">
        <f>_xlfn.XLOOKUP(F497,Department!$A$2:$A$6,Department!$B$2:$B$6)</f>
        <v>HR</v>
      </c>
      <c r="N497" s="22">
        <f>_xlfn.XLOOKUP(A497,Performance!$A$2:$A$501,Performance!$C$2:$C$501)</f>
        <v>1</v>
      </c>
      <c r="O497" s="19" cm="1">
        <f t="array" ref="O497">_xlfn.IFS(N497=5,I497*15%,N497=4,I497*10%,N497=3,I497*7%,N497&lt;3,I497*5%)</f>
        <v>4759.9000000000005</v>
      </c>
    </row>
    <row r="498" spans="1:15">
      <c r="A498" s="4" t="s">
        <v>1057</v>
      </c>
      <c r="B498" s="5" t="s">
        <v>61</v>
      </c>
      <c r="C498" s="5" t="s">
        <v>141</v>
      </c>
      <c r="D498" s="5" t="s">
        <v>28</v>
      </c>
      <c r="E498" s="5">
        <v>24</v>
      </c>
      <c r="F498" s="5" t="s">
        <v>35</v>
      </c>
      <c r="G498" s="5" t="s">
        <v>36</v>
      </c>
      <c r="H498" s="6">
        <v>45457</v>
      </c>
      <c r="I498" s="5">
        <v>61647</v>
      </c>
      <c r="J498" s="5" t="s">
        <v>81</v>
      </c>
      <c r="K498" s="5" t="s">
        <v>1058</v>
      </c>
      <c r="L498" s="15" t="s">
        <v>39</v>
      </c>
      <c r="M498" s="14" t="str">
        <f>_xlfn.XLOOKUP(F498,Department!$A$2:$A$6,Department!$B$2:$B$6)</f>
        <v>Sales</v>
      </c>
      <c r="N498" s="22">
        <f>_xlfn.XLOOKUP(A498,Performance!$A$2:$A$501,Performance!$C$2:$C$501)</f>
        <v>2</v>
      </c>
      <c r="O498" s="19" cm="1">
        <f t="array" ref="O498">_xlfn.IFS(N498=5,I498*15%,N498=4,I498*10%,N498=3,I498*7%,N498&lt;3,I498*5%)</f>
        <v>3082.3500000000004</v>
      </c>
    </row>
    <row r="499" spans="1:15">
      <c r="A499" s="4" t="s">
        <v>1059</v>
      </c>
      <c r="B499" s="5" t="s">
        <v>92</v>
      </c>
      <c r="C499" s="5" t="s">
        <v>66</v>
      </c>
      <c r="D499" s="5" t="s">
        <v>19</v>
      </c>
      <c r="E499" s="5">
        <v>26</v>
      </c>
      <c r="F499" s="5" t="s">
        <v>54</v>
      </c>
      <c r="G499" s="5" t="s">
        <v>30</v>
      </c>
      <c r="H499" s="6">
        <v>45580</v>
      </c>
      <c r="I499" s="5">
        <v>41274</v>
      </c>
      <c r="J499" s="5" t="s">
        <v>81</v>
      </c>
      <c r="K499" s="5" t="s">
        <v>1060</v>
      </c>
      <c r="L499" s="15" t="s">
        <v>39</v>
      </c>
      <c r="M499" s="14" t="str">
        <f>_xlfn.XLOOKUP(F499,Department!$A$2:$A$6,Department!$B$2:$B$6)</f>
        <v>Finance</v>
      </c>
      <c r="N499" s="22">
        <f>_xlfn.XLOOKUP(A499,Performance!$A$2:$A$501,Performance!$C$2:$C$501)</f>
        <v>2</v>
      </c>
      <c r="O499" s="19" cm="1">
        <f t="array" ref="O499">_xlfn.IFS(N499=5,I499*15%,N499=4,I499*10%,N499=3,I499*7%,N499&lt;3,I499*5%)</f>
        <v>2063.7000000000003</v>
      </c>
    </row>
    <row r="500" spans="1:15">
      <c r="A500" s="4" t="s">
        <v>1061</v>
      </c>
      <c r="B500" s="5" t="s">
        <v>42</v>
      </c>
      <c r="C500" s="5" t="s">
        <v>84</v>
      </c>
      <c r="D500" s="5" t="s">
        <v>19</v>
      </c>
      <c r="E500" s="5">
        <v>40</v>
      </c>
      <c r="F500" s="5" t="s">
        <v>29</v>
      </c>
      <c r="G500" s="5" t="s">
        <v>44</v>
      </c>
      <c r="H500" s="6">
        <v>44151</v>
      </c>
      <c r="I500" s="5">
        <v>40450</v>
      </c>
      <c r="J500" s="5" t="s">
        <v>81</v>
      </c>
      <c r="K500" s="5" t="s">
        <v>1062</v>
      </c>
      <c r="L500" s="15" t="s">
        <v>24</v>
      </c>
      <c r="M500" s="14" t="str">
        <f>_xlfn.XLOOKUP(F500,Department!$A$2:$A$6,Department!$B$2:$B$6)</f>
        <v>IT</v>
      </c>
      <c r="N500" s="22">
        <f>_xlfn.XLOOKUP(A500,Performance!$A$2:$A$501,Performance!$C$2:$C$501)</f>
        <v>3</v>
      </c>
      <c r="O500" s="19" cm="1">
        <f t="array" ref="O500">_xlfn.IFS(N500=5,I500*15%,N500=4,I500*10%,N500=3,I500*7%,N500&lt;3,I500*5%)</f>
        <v>2831.5000000000005</v>
      </c>
    </row>
    <row r="501" spans="1:15">
      <c r="A501" s="4" t="s">
        <v>1063</v>
      </c>
      <c r="B501" s="5" t="s">
        <v>42</v>
      </c>
      <c r="C501" s="5" t="s">
        <v>66</v>
      </c>
      <c r="D501" s="5" t="s">
        <v>28</v>
      </c>
      <c r="E501" s="5">
        <v>58</v>
      </c>
      <c r="F501" s="5" t="s">
        <v>43</v>
      </c>
      <c r="G501" s="5" t="s">
        <v>30</v>
      </c>
      <c r="H501" s="6">
        <v>44211</v>
      </c>
      <c r="I501" s="5">
        <v>42662</v>
      </c>
      <c r="J501" s="5" t="s">
        <v>67</v>
      </c>
      <c r="K501" s="5" t="s">
        <v>1064</v>
      </c>
      <c r="L501" s="15" t="s">
        <v>24</v>
      </c>
      <c r="M501" s="14" t="str">
        <f>_xlfn.XLOOKUP(F501,Department!$A$2:$A$6,Department!$B$2:$B$6)</f>
        <v>Marketing</v>
      </c>
      <c r="N501" s="22">
        <f>_xlfn.XLOOKUP(A501,Performance!$A$2:$A$501,Performance!$C$2:$C$501)</f>
        <v>3</v>
      </c>
      <c r="O501" s="19" cm="1">
        <f t="array" ref="O501">_xlfn.IFS(N501=5,I501*15%,N501=4,I501*10%,N501=3,I501*7%,N501&lt;3,I501*5%)</f>
        <v>2986.34</v>
      </c>
    </row>
  </sheetData>
  <mergeCells count="9">
    <mergeCell ref="R11:Y11"/>
    <mergeCell ref="R4:AH4"/>
    <mergeCell ref="R7:S7"/>
    <mergeCell ref="R8:S8"/>
    <mergeCell ref="R10:Z10"/>
    <mergeCell ref="R2:AH2"/>
    <mergeCell ref="R3:AH3"/>
    <mergeCell ref="R9:AH9"/>
    <mergeCell ref="R6:A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8518-D80F-43DD-BF9F-4BCB48439904}">
  <dimension ref="A1:D6"/>
  <sheetViews>
    <sheetView workbookViewId="0">
      <selection activeCell="F5" sqref="F5"/>
    </sheetView>
  </sheetViews>
  <sheetFormatPr defaultRowHeight="15"/>
  <cols>
    <col min="1" max="1" width="14" bestFit="1" customWidth="1"/>
    <col min="2" max="2" width="17.5703125" bestFit="1" customWidth="1"/>
    <col min="4" max="4" width="14.5703125" bestFit="1" customWidth="1"/>
  </cols>
  <sheetData>
    <row r="1" spans="1:4">
      <c r="A1" s="7" t="s">
        <v>5</v>
      </c>
      <c r="B1" s="8" t="s">
        <v>1065</v>
      </c>
      <c r="C1" s="8" t="s">
        <v>44</v>
      </c>
      <c r="D1" s="53" t="s">
        <v>1066</v>
      </c>
    </row>
    <row r="2" spans="1:4">
      <c r="A2" s="9" t="s">
        <v>20</v>
      </c>
      <c r="B2" s="10" t="s">
        <v>1067</v>
      </c>
      <c r="C2" s="50" t="s">
        <v>1068</v>
      </c>
      <c r="D2" s="52">
        <f>AVERAGEIF(Employees!$F$2:$F$501,A2,Employees!$I$2:$I$501)</f>
        <v>79005.775700934581</v>
      </c>
    </row>
    <row r="3" spans="1:4">
      <c r="A3" s="9" t="s">
        <v>54</v>
      </c>
      <c r="B3" s="10" t="s">
        <v>1069</v>
      </c>
      <c r="C3" s="50" t="s">
        <v>1070</v>
      </c>
      <c r="D3" s="52">
        <f>AVERAGEIF(Employees!$F$2:$F$501,A3,Employees!$I$2:$I$501)</f>
        <v>80100.777777777781</v>
      </c>
    </row>
    <row r="4" spans="1:4">
      <c r="A4" s="9" t="s">
        <v>29</v>
      </c>
      <c r="B4" s="10" t="s">
        <v>1071</v>
      </c>
      <c r="C4" s="50" t="s">
        <v>1072</v>
      </c>
      <c r="D4" s="52">
        <f>AVERAGEIF(Employees!$F$2:$F$501,A4,Employees!$I$2:$I$501)</f>
        <v>78230.108433734946</v>
      </c>
    </row>
    <row r="5" spans="1:4">
      <c r="A5" s="9" t="s">
        <v>35</v>
      </c>
      <c r="B5" s="10" t="s">
        <v>1073</v>
      </c>
      <c r="C5" s="50" t="s">
        <v>1074</v>
      </c>
      <c r="D5" s="52">
        <f>AVERAGEIF(Employees!$F$2:$F$501,A5,Employees!$I$2:$I$501)</f>
        <v>76510.45378151261</v>
      </c>
    </row>
    <row r="6" spans="1:4">
      <c r="A6" s="9" t="s">
        <v>43</v>
      </c>
      <c r="B6" s="10" t="s">
        <v>1075</v>
      </c>
      <c r="C6" s="50" t="s">
        <v>1076</v>
      </c>
      <c r="D6" s="52">
        <f>AVERAGEIF(Employees!$F$2:$F$501,A6,Employees!$I$2:$I$501)</f>
        <v>74376.867469879522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D721-5C47-4451-9050-195AC6D991DE}">
  <dimension ref="A1:E501"/>
  <sheetViews>
    <sheetView workbookViewId="0"/>
  </sheetViews>
  <sheetFormatPr defaultRowHeight="15"/>
  <cols>
    <col min="1" max="1" width="11.85546875" bestFit="1" customWidth="1"/>
    <col min="2" max="2" width="11.7109375" bestFit="1" customWidth="1"/>
    <col min="3" max="3" width="6.85546875" bestFit="1" customWidth="1"/>
    <col min="4" max="4" width="13.85546875" bestFit="1" customWidth="1"/>
    <col min="5" max="5" width="18.42578125" bestFit="1" customWidth="1"/>
  </cols>
  <sheetData>
    <row r="1" spans="1:5">
      <c r="A1" s="7" t="s">
        <v>0</v>
      </c>
      <c r="B1" s="8" t="s">
        <v>1077</v>
      </c>
      <c r="C1" s="8" t="s">
        <v>13</v>
      </c>
      <c r="D1" s="8" t="s">
        <v>1078</v>
      </c>
      <c r="E1" s="8" t="s">
        <v>1079</v>
      </c>
    </row>
    <row r="2" spans="1:5">
      <c r="A2" s="9" t="s">
        <v>16</v>
      </c>
      <c r="B2" s="10">
        <v>2026</v>
      </c>
      <c r="C2" s="10">
        <v>1</v>
      </c>
      <c r="D2" s="10">
        <v>4</v>
      </c>
      <c r="E2" s="10">
        <v>2</v>
      </c>
    </row>
    <row r="3" spans="1:5">
      <c r="A3" s="9" t="s">
        <v>26</v>
      </c>
      <c r="B3" s="10">
        <v>2026</v>
      </c>
      <c r="C3" s="10">
        <v>4</v>
      </c>
      <c r="D3" s="10">
        <v>5</v>
      </c>
      <c r="E3" s="10">
        <v>7</v>
      </c>
    </row>
    <row r="4" spans="1:5">
      <c r="A4" s="9" t="s">
        <v>33</v>
      </c>
      <c r="B4" s="10">
        <v>2026</v>
      </c>
      <c r="C4" s="10">
        <v>2</v>
      </c>
      <c r="D4" s="10">
        <v>29</v>
      </c>
      <c r="E4" s="10">
        <v>5</v>
      </c>
    </row>
    <row r="5" spans="1:5">
      <c r="A5" s="9" t="s">
        <v>41</v>
      </c>
      <c r="B5" s="10">
        <v>2026</v>
      </c>
      <c r="C5" s="10">
        <v>4</v>
      </c>
      <c r="D5" s="10">
        <v>18</v>
      </c>
      <c r="E5" s="10">
        <v>6</v>
      </c>
    </row>
    <row r="6" spans="1:5">
      <c r="A6" s="9" t="s">
        <v>47</v>
      </c>
      <c r="B6" s="10">
        <v>2026</v>
      </c>
      <c r="C6" s="10">
        <v>2</v>
      </c>
      <c r="D6" s="10">
        <v>48</v>
      </c>
      <c r="E6" s="10">
        <v>2</v>
      </c>
    </row>
    <row r="7" spans="1:5">
      <c r="A7" s="9" t="s">
        <v>52</v>
      </c>
      <c r="B7" s="10">
        <v>2026</v>
      </c>
      <c r="C7" s="10">
        <v>3</v>
      </c>
      <c r="D7" s="10">
        <v>14</v>
      </c>
      <c r="E7" s="10">
        <v>5</v>
      </c>
    </row>
    <row r="8" spans="1:5">
      <c r="A8" s="9" t="s">
        <v>57</v>
      </c>
      <c r="B8" s="10">
        <v>2026</v>
      </c>
      <c r="C8" s="10">
        <v>2</v>
      </c>
      <c r="D8" s="10">
        <v>19</v>
      </c>
      <c r="E8" s="10">
        <v>3</v>
      </c>
    </row>
    <row r="9" spans="1:5">
      <c r="A9" s="9" t="s">
        <v>60</v>
      </c>
      <c r="B9" s="10">
        <v>2026</v>
      </c>
      <c r="C9" s="10">
        <v>1</v>
      </c>
      <c r="D9" s="10">
        <v>4</v>
      </c>
      <c r="E9" s="10">
        <v>2</v>
      </c>
    </row>
    <row r="10" spans="1:5">
      <c r="A10" s="9" t="s">
        <v>65</v>
      </c>
      <c r="B10" s="10">
        <v>2026</v>
      </c>
      <c r="C10" s="10">
        <v>4</v>
      </c>
      <c r="D10" s="10">
        <v>59</v>
      </c>
      <c r="E10" s="10">
        <v>0</v>
      </c>
    </row>
    <row r="11" spans="1:5">
      <c r="A11" s="9" t="s">
        <v>70</v>
      </c>
      <c r="B11" s="10">
        <v>2026</v>
      </c>
      <c r="C11" s="10">
        <v>5</v>
      </c>
      <c r="D11" s="10">
        <v>27</v>
      </c>
      <c r="E11" s="10">
        <v>2</v>
      </c>
    </row>
    <row r="12" spans="1:5">
      <c r="A12" s="9" t="s">
        <v>73</v>
      </c>
      <c r="B12" s="10">
        <v>2026</v>
      </c>
      <c r="C12" s="10">
        <v>3</v>
      </c>
      <c r="D12" s="10">
        <v>42</v>
      </c>
      <c r="E12" s="10">
        <v>3</v>
      </c>
    </row>
    <row r="13" spans="1:5">
      <c r="A13" s="9" t="s">
        <v>77</v>
      </c>
      <c r="B13" s="10">
        <v>2026</v>
      </c>
      <c r="C13" s="10">
        <v>2</v>
      </c>
      <c r="D13" s="10">
        <v>59</v>
      </c>
      <c r="E13" s="10">
        <v>3</v>
      </c>
    </row>
    <row r="14" spans="1:5">
      <c r="A14" s="9" t="s">
        <v>79</v>
      </c>
      <c r="B14" s="10">
        <v>2026</v>
      </c>
      <c r="C14" s="10">
        <v>3</v>
      </c>
      <c r="D14" s="10">
        <v>14</v>
      </c>
      <c r="E14" s="10">
        <v>0</v>
      </c>
    </row>
    <row r="15" spans="1:5">
      <c r="A15" s="9" t="s">
        <v>83</v>
      </c>
      <c r="B15" s="10">
        <v>2026</v>
      </c>
      <c r="C15" s="10">
        <v>2</v>
      </c>
      <c r="D15" s="10">
        <v>2</v>
      </c>
      <c r="E15" s="10">
        <v>12</v>
      </c>
    </row>
    <row r="16" spans="1:5">
      <c r="A16" s="9" t="s">
        <v>86</v>
      </c>
      <c r="B16" s="10">
        <v>2026</v>
      </c>
      <c r="C16" s="10">
        <v>4</v>
      </c>
      <c r="D16" s="10">
        <v>60</v>
      </c>
      <c r="E16" s="10">
        <v>2</v>
      </c>
    </row>
    <row r="17" spans="1:5">
      <c r="A17" s="9" t="s">
        <v>88</v>
      </c>
      <c r="B17" s="10">
        <v>2026</v>
      </c>
      <c r="C17" s="10">
        <v>2</v>
      </c>
      <c r="D17" s="10">
        <v>39</v>
      </c>
      <c r="E17" s="10">
        <v>1</v>
      </c>
    </row>
    <row r="18" spans="1:5">
      <c r="A18" s="9" t="s">
        <v>91</v>
      </c>
      <c r="B18" s="10">
        <v>2026</v>
      </c>
      <c r="C18" s="10">
        <v>1</v>
      </c>
      <c r="D18" s="10">
        <v>60</v>
      </c>
      <c r="E18" s="10">
        <v>12</v>
      </c>
    </row>
    <row r="19" spans="1:5">
      <c r="A19" s="9" t="s">
        <v>95</v>
      </c>
      <c r="B19" s="10">
        <v>2026</v>
      </c>
      <c r="C19" s="10">
        <v>4</v>
      </c>
      <c r="D19" s="10">
        <v>14</v>
      </c>
      <c r="E19" s="10">
        <v>8</v>
      </c>
    </row>
    <row r="20" spans="1:5">
      <c r="A20" s="9" t="s">
        <v>97</v>
      </c>
      <c r="B20" s="10">
        <v>2026</v>
      </c>
      <c r="C20" s="10">
        <v>5</v>
      </c>
      <c r="D20" s="10">
        <v>43</v>
      </c>
      <c r="E20" s="10">
        <v>10</v>
      </c>
    </row>
    <row r="21" spans="1:5">
      <c r="A21" s="9" t="s">
        <v>99</v>
      </c>
      <c r="B21" s="10">
        <v>2026</v>
      </c>
      <c r="C21" s="10">
        <v>5</v>
      </c>
      <c r="D21" s="10">
        <v>45</v>
      </c>
      <c r="E21" s="10">
        <v>8</v>
      </c>
    </row>
    <row r="22" spans="1:5">
      <c r="A22" s="9" t="s">
        <v>101</v>
      </c>
      <c r="B22" s="10">
        <v>2026</v>
      </c>
      <c r="C22" s="10">
        <v>1</v>
      </c>
      <c r="D22" s="10">
        <v>1</v>
      </c>
      <c r="E22" s="10">
        <v>7</v>
      </c>
    </row>
    <row r="23" spans="1:5">
      <c r="A23" s="9" t="s">
        <v>104</v>
      </c>
      <c r="B23" s="10">
        <v>2026</v>
      </c>
      <c r="C23" s="10">
        <v>5</v>
      </c>
      <c r="D23" s="10">
        <v>45</v>
      </c>
      <c r="E23" s="10">
        <v>8</v>
      </c>
    </row>
    <row r="24" spans="1:5">
      <c r="A24" s="9" t="s">
        <v>106</v>
      </c>
      <c r="B24" s="10">
        <v>2026</v>
      </c>
      <c r="C24" s="10">
        <v>3</v>
      </c>
      <c r="D24" s="10">
        <v>16</v>
      </c>
      <c r="E24" s="10">
        <v>3</v>
      </c>
    </row>
    <row r="25" spans="1:5">
      <c r="A25" s="9" t="s">
        <v>108</v>
      </c>
      <c r="B25" s="10">
        <v>2026</v>
      </c>
      <c r="C25" s="10">
        <v>4</v>
      </c>
      <c r="D25" s="10">
        <v>34</v>
      </c>
      <c r="E25" s="10">
        <v>0</v>
      </c>
    </row>
    <row r="26" spans="1:5">
      <c r="A26" s="9" t="s">
        <v>110</v>
      </c>
      <c r="B26" s="10">
        <v>2026</v>
      </c>
      <c r="C26" s="10">
        <v>4</v>
      </c>
      <c r="D26" s="10">
        <v>3</v>
      </c>
      <c r="E26" s="10">
        <v>1</v>
      </c>
    </row>
    <row r="27" spans="1:5">
      <c r="A27" s="9" t="s">
        <v>112</v>
      </c>
      <c r="B27" s="10">
        <v>2026</v>
      </c>
      <c r="C27" s="10">
        <v>1</v>
      </c>
      <c r="D27" s="10">
        <v>12</v>
      </c>
      <c r="E27" s="10">
        <v>0</v>
      </c>
    </row>
    <row r="28" spans="1:5">
      <c r="A28" s="9" t="s">
        <v>114</v>
      </c>
      <c r="B28" s="10">
        <v>2026</v>
      </c>
      <c r="C28" s="10">
        <v>1</v>
      </c>
      <c r="D28" s="10">
        <v>38</v>
      </c>
      <c r="E28" s="10">
        <v>8</v>
      </c>
    </row>
    <row r="29" spans="1:5">
      <c r="A29" s="9" t="s">
        <v>116</v>
      </c>
      <c r="B29" s="10">
        <v>2026</v>
      </c>
      <c r="C29" s="10">
        <v>4</v>
      </c>
      <c r="D29" s="10">
        <v>32</v>
      </c>
      <c r="E29" s="10">
        <v>3</v>
      </c>
    </row>
    <row r="30" spans="1:5">
      <c r="A30" s="9" t="s">
        <v>119</v>
      </c>
      <c r="B30" s="10">
        <v>2026</v>
      </c>
      <c r="C30" s="10">
        <v>5</v>
      </c>
      <c r="D30" s="10">
        <v>17</v>
      </c>
      <c r="E30" s="10">
        <v>9</v>
      </c>
    </row>
    <row r="31" spans="1:5">
      <c r="A31" s="9" t="s">
        <v>121</v>
      </c>
      <c r="B31" s="10">
        <v>2026</v>
      </c>
      <c r="C31" s="10">
        <v>2</v>
      </c>
      <c r="D31" s="10">
        <v>25</v>
      </c>
      <c r="E31" s="10">
        <v>12</v>
      </c>
    </row>
    <row r="32" spans="1:5">
      <c r="A32" s="9" t="s">
        <v>123</v>
      </c>
      <c r="B32" s="10">
        <v>2026</v>
      </c>
      <c r="C32" s="10">
        <v>1</v>
      </c>
      <c r="D32" s="10">
        <v>37</v>
      </c>
      <c r="E32" s="10">
        <v>11</v>
      </c>
    </row>
    <row r="33" spans="1:5">
      <c r="A33" s="9" t="s">
        <v>125</v>
      </c>
      <c r="B33" s="10">
        <v>2026</v>
      </c>
      <c r="C33" s="10">
        <v>4</v>
      </c>
      <c r="D33" s="10">
        <v>9</v>
      </c>
      <c r="E33" s="10">
        <v>11</v>
      </c>
    </row>
    <row r="34" spans="1:5">
      <c r="A34" s="9" t="s">
        <v>128</v>
      </c>
      <c r="B34" s="10">
        <v>2026</v>
      </c>
      <c r="C34" s="10">
        <v>5</v>
      </c>
      <c r="D34" s="10">
        <v>56</v>
      </c>
      <c r="E34" s="10">
        <v>9</v>
      </c>
    </row>
    <row r="35" spans="1:5">
      <c r="A35" s="9" t="s">
        <v>130</v>
      </c>
      <c r="B35" s="10">
        <v>2026</v>
      </c>
      <c r="C35" s="10">
        <v>1</v>
      </c>
      <c r="D35" s="10">
        <v>31</v>
      </c>
      <c r="E35" s="10">
        <v>8</v>
      </c>
    </row>
    <row r="36" spans="1:5">
      <c r="A36" s="9" t="s">
        <v>132</v>
      </c>
      <c r="B36" s="10">
        <v>2026</v>
      </c>
      <c r="C36" s="10">
        <v>5</v>
      </c>
      <c r="D36" s="10">
        <v>25</v>
      </c>
      <c r="E36" s="10">
        <v>3</v>
      </c>
    </row>
    <row r="37" spans="1:5">
      <c r="A37" s="9" t="s">
        <v>134</v>
      </c>
      <c r="B37" s="10">
        <v>2026</v>
      </c>
      <c r="C37" s="10">
        <v>1</v>
      </c>
      <c r="D37" s="10">
        <v>58</v>
      </c>
      <c r="E37" s="10">
        <v>11</v>
      </c>
    </row>
    <row r="38" spans="1:5">
      <c r="A38" s="9" t="s">
        <v>136</v>
      </c>
      <c r="B38" s="10">
        <v>2026</v>
      </c>
      <c r="C38" s="10">
        <v>4</v>
      </c>
      <c r="D38" s="10">
        <v>25</v>
      </c>
      <c r="E38" s="10">
        <v>10</v>
      </c>
    </row>
    <row r="39" spans="1:5">
      <c r="A39" s="9" t="s">
        <v>138</v>
      </c>
      <c r="B39" s="10">
        <v>2026</v>
      </c>
      <c r="C39" s="10">
        <v>4</v>
      </c>
      <c r="D39" s="10">
        <v>41</v>
      </c>
      <c r="E39" s="10">
        <v>4</v>
      </c>
    </row>
    <row r="40" spans="1:5">
      <c r="A40" s="9" t="s">
        <v>140</v>
      </c>
      <c r="B40" s="10">
        <v>2026</v>
      </c>
      <c r="C40" s="10">
        <v>3</v>
      </c>
      <c r="D40" s="10">
        <v>7</v>
      </c>
      <c r="E40" s="10">
        <v>9</v>
      </c>
    </row>
    <row r="41" spans="1:5">
      <c r="A41" s="9" t="s">
        <v>143</v>
      </c>
      <c r="B41" s="10">
        <v>2026</v>
      </c>
      <c r="C41" s="10">
        <v>2</v>
      </c>
      <c r="D41" s="10">
        <v>14</v>
      </c>
      <c r="E41" s="10">
        <v>3</v>
      </c>
    </row>
    <row r="42" spans="1:5">
      <c r="A42" s="9" t="s">
        <v>145</v>
      </c>
      <c r="B42" s="10">
        <v>2026</v>
      </c>
      <c r="C42" s="10">
        <v>4</v>
      </c>
      <c r="D42" s="10">
        <v>49</v>
      </c>
      <c r="E42" s="10">
        <v>12</v>
      </c>
    </row>
    <row r="43" spans="1:5">
      <c r="A43" s="9" t="s">
        <v>147</v>
      </c>
      <c r="B43" s="10">
        <v>2026</v>
      </c>
      <c r="C43" s="10">
        <v>3</v>
      </c>
      <c r="D43" s="10">
        <v>11</v>
      </c>
      <c r="E43" s="10">
        <v>11</v>
      </c>
    </row>
    <row r="44" spans="1:5">
      <c r="A44" s="9" t="s">
        <v>149</v>
      </c>
      <c r="B44" s="10">
        <v>2026</v>
      </c>
      <c r="C44" s="10">
        <v>5</v>
      </c>
      <c r="D44" s="10">
        <v>42</v>
      </c>
      <c r="E44" s="10">
        <v>7</v>
      </c>
    </row>
    <row r="45" spans="1:5">
      <c r="A45" s="9" t="s">
        <v>151</v>
      </c>
      <c r="B45" s="10">
        <v>2026</v>
      </c>
      <c r="C45" s="10">
        <v>3</v>
      </c>
      <c r="D45" s="10">
        <v>49</v>
      </c>
      <c r="E45" s="10">
        <v>8</v>
      </c>
    </row>
    <row r="46" spans="1:5">
      <c r="A46" s="9" t="s">
        <v>153</v>
      </c>
      <c r="B46" s="10">
        <v>2026</v>
      </c>
      <c r="C46" s="10">
        <v>1</v>
      </c>
      <c r="D46" s="10">
        <v>27</v>
      </c>
      <c r="E46" s="10">
        <v>9</v>
      </c>
    </row>
    <row r="47" spans="1:5">
      <c r="A47" s="9" t="s">
        <v>155</v>
      </c>
      <c r="B47" s="10">
        <v>2026</v>
      </c>
      <c r="C47" s="10">
        <v>4</v>
      </c>
      <c r="D47" s="10">
        <v>34</v>
      </c>
      <c r="E47" s="10">
        <v>1</v>
      </c>
    </row>
    <row r="48" spans="1:5">
      <c r="A48" s="9" t="s">
        <v>157</v>
      </c>
      <c r="B48" s="10">
        <v>2026</v>
      </c>
      <c r="C48" s="10">
        <v>5</v>
      </c>
      <c r="D48" s="10">
        <v>8</v>
      </c>
      <c r="E48" s="10">
        <v>3</v>
      </c>
    </row>
    <row r="49" spans="1:5">
      <c r="A49" s="9" t="s">
        <v>159</v>
      </c>
      <c r="B49" s="10">
        <v>2026</v>
      </c>
      <c r="C49" s="10">
        <v>5</v>
      </c>
      <c r="D49" s="10">
        <v>58</v>
      </c>
      <c r="E49" s="10">
        <v>1</v>
      </c>
    </row>
    <row r="50" spans="1:5">
      <c r="A50" s="9" t="s">
        <v>161</v>
      </c>
      <c r="B50" s="10">
        <v>2026</v>
      </c>
      <c r="C50" s="10">
        <v>2</v>
      </c>
      <c r="D50" s="10">
        <v>11</v>
      </c>
      <c r="E50" s="10">
        <v>6</v>
      </c>
    </row>
    <row r="51" spans="1:5">
      <c r="A51" s="9" t="s">
        <v>163</v>
      </c>
      <c r="B51" s="10">
        <v>2026</v>
      </c>
      <c r="C51" s="10">
        <v>1</v>
      </c>
      <c r="D51" s="10">
        <v>12</v>
      </c>
      <c r="E51" s="10">
        <v>4</v>
      </c>
    </row>
    <row r="52" spans="1:5">
      <c r="A52" s="9" t="s">
        <v>165</v>
      </c>
      <c r="B52" s="10">
        <v>2026</v>
      </c>
      <c r="C52" s="10">
        <v>5</v>
      </c>
      <c r="D52" s="10">
        <v>54</v>
      </c>
      <c r="E52" s="10">
        <v>5</v>
      </c>
    </row>
    <row r="53" spans="1:5">
      <c r="A53" s="9" t="s">
        <v>167</v>
      </c>
      <c r="B53" s="10">
        <v>2026</v>
      </c>
      <c r="C53" s="10">
        <v>4</v>
      </c>
      <c r="D53" s="10">
        <v>38</v>
      </c>
      <c r="E53" s="10">
        <v>4</v>
      </c>
    </row>
    <row r="54" spans="1:5">
      <c r="A54" s="9" t="s">
        <v>169</v>
      </c>
      <c r="B54" s="10">
        <v>2026</v>
      </c>
      <c r="C54" s="10">
        <v>4</v>
      </c>
      <c r="D54" s="10">
        <v>47</v>
      </c>
      <c r="E54" s="10">
        <v>1</v>
      </c>
    </row>
    <row r="55" spans="1:5">
      <c r="A55" s="9" t="s">
        <v>171</v>
      </c>
      <c r="B55" s="10">
        <v>2026</v>
      </c>
      <c r="C55" s="10">
        <v>2</v>
      </c>
      <c r="D55" s="10">
        <v>41</v>
      </c>
      <c r="E55" s="10">
        <v>5</v>
      </c>
    </row>
    <row r="56" spans="1:5">
      <c r="A56" s="9" t="s">
        <v>173</v>
      </c>
      <c r="B56" s="10">
        <v>2026</v>
      </c>
      <c r="C56" s="10">
        <v>1</v>
      </c>
      <c r="D56" s="10">
        <v>59</v>
      </c>
      <c r="E56" s="10">
        <v>8</v>
      </c>
    </row>
    <row r="57" spans="1:5">
      <c r="A57" s="9" t="s">
        <v>175</v>
      </c>
      <c r="B57" s="10">
        <v>2026</v>
      </c>
      <c r="C57" s="10">
        <v>3</v>
      </c>
      <c r="D57" s="10">
        <v>13</v>
      </c>
      <c r="E57" s="10">
        <v>12</v>
      </c>
    </row>
    <row r="58" spans="1:5">
      <c r="A58" s="9" t="s">
        <v>177</v>
      </c>
      <c r="B58" s="10">
        <v>2026</v>
      </c>
      <c r="C58" s="10">
        <v>4</v>
      </c>
      <c r="D58" s="10">
        <v>22</v>
      </c>
      <c r="E58" s="10">
        <v>9</v>
      </c>
    </row>
    <row r="59" spans="1:5">
      <c r="A59" s="9" t="s">
        <v>179</v>
      </c>
      <c r="B59" s="10">
        <v>2026</v>
      </c>
      <c r="C59" s="10">
        <v>2</v>
      </c>
      <c r="D59" s="10">
        <v>5</v>
      </c>
      <c r="E59" s="10">
        <v>4</v>
      </c>
    </row>
    <row r="60" spans="1:5">
      <c r="A60" s="9" t="s">
        <v>181</v>
      </c>
      <c r="B60" s="10">
        <v>2026</v>
      </c>
      <c r="C60" s="10">
        <v>3</v>
      </c>
      <c r="D60" s="10">
        <v>38</v>
      </c>
      <c r="E60" s="10">
        <v>0</v>
      </c>
    </row>
    <row r="61" spans="1:5">
      <c r="A61" s="9" t="s">
        <v>183</v>
      </c>
      <c r="B61" s="10">
        <v>2026</v>
      </c>
      <c r="C61" s="10">
        <v>3</v>
      </c>
      <c r="D61" s="10">
        <v>50</v>
      </c>
      <c r="E61" s="10">
        <v>5</v>
      </c>
    </row>
    <row r="62" spans="1:5">
      <c r="A62" s="9" t="s">
        <v>185</v>
      </c>
      <c r="B62" s="10">
        <v>2026</v>
      </c>
      <c r="C62" s="10">
        <v>4</v>
      </c>
      <c r="D62" s="10">
        <v>2</v>
      </c>
      <c r="E62" s="10">
        <v>3</v>
      </c>
    </row>
    <row r="63" spans="1:5">
      <c r="A63" s="9" t="s">
        <v>187</v>
      </c>
      <c r="B63" s="10">
        <v>2026</v>
      </c>
      <c r="C63" s="10">
        <v>5</v>
      </c>
      <c r="D63" s="10">
        <v>38</v>
      </c>
      <c r="E63" s="10">
        <v>12</v>
      </c>
    </row>
    <row r="64" spans="1:5">
      <c r="A64" s="9" t="s">
        <v>189</v>
      </c>
      <c r="B64" s="10">
        <v>2026</v>
      </c>
      <c r="C64" s="10">
        <v>1</v>
      </c>
      <c r="D64" s="10">
        <v>41</v>
      </c>
      <c r="E64" s="10">
        <v>1</v>
      </c>
    </row>
    <row r="65" spans="1:5">
      <c r="A65" s="9" t="s">
        <v>191</v>
      </c>
      <c r="B65" s="10">
        <v>2026</v>
      </c>
      <c r="C65" s="10">
        <v>3</v>
      </c>
      <c r="D65" s="10">
        <v>12</v>
      </c>
      <c r="E65" s="10">
        <v>10</v>
      </c>
    </row>
    <row r="66" spans="1:5">
      <c r="A66" s="9" t="s">
        <v>193</v>
      </c>
      <c r="B66" s="10">
        <v>2026</v>
      </c>
      <c r="C66" s="10">
        <v>3</v>
      </c>
      <c r="D66" s="10">
        <v>21</v>
      </c>
      <c r="E66" s="10">
        <v>11</v>
      </c>
    </row>
    <row r="67" spans="1:5">
      <c r="A67" s="9" t="s">
        <v>195</v>
      </c>
      <c r="B67" s="10">
        <v>2026</v>
      </c>
      <c r="C67" s="10">
        <v>5</v>
      </c>
      <c r="D67" s="10">
        <v>7</v>
      </c>
      <c r="E67" s="10">
        <v>11</v>
      </c>
    </row>
    <row r="68" spans="1:5">
      <c r="A68" s="9" t="s">
        <v>197</v>
      </c>
      <c r="B68" s="10">
        <v>2026</v>
      </c>
      <c r="C68" s="10">
        <v>3</v>
      </c>
      <c r="D68" s="10">
        <v>7</v>
      </c>
      <c r="E68" s="10">
        <v>5</v>
      </c>
    </row>
    <row r="69" spans="1:5">
      <c r="A69" s="9" t="s">
        <v>199</v>
      </c>
      <c r="B69" s="10">
        <v>2026</v>
      </c>
      <c r="C69" s="10">
        <v>2</v>
      </c>
      <c r="D69" s="10">
        <v>42</v>
      </c>
      <c r="E69" s="10">
        <v>12</v>
      </c>
    </row>
    <row r="70" spans="1:5">
      <c r="A70" s="9" t="s">
        <v>201</v>
      </c>
      <c r="B70" s="10">
        <v>2026</v>
      </c>
      <c r="C70" s="10">
        <v>4</v>
      </c>
      <c r="D70" s="10">
        <v>11</v>
      </c>
      <c r="E70" s="10">
        <v>5</v>
      </c>
    </row>
    <row r="71" spans="1:5">
      <c r="A71" s="9" t="s">
        <v>203</v>
      </c>
      <c r="B71" s="10">
        <v>2026</v>
      </c>
      <c r="C71" s="10">
        <v>4</v>
      </c>
      <c r="D71" s="10">
        <v>6</v>
      </c>
      <c r="E71" s="10">
        <v>7</v>
      </c>
    </row>
    <row r="72" spans="1:5">
      <c r="A72" s="9" t="s">
        <v>205</v>
      </c>
      <c r="B72" s="10">
        <v>2026</v>
      </c>
      <c r="C72" s="10">
        <v>2</v>
      </c>
      <c r="D72" s="10">
        <v>6</v>
      </c>
      <c r="E72" s="10">
        <v>0</v>
      </c>
    </row>
    <row r="73" spans="1:5">
      <c r="A73" s="9" t="s">
        <v>207</v>
      </c>
      <c r="B73" s="10">
        <v>2026</v>
      </c>
      <c r="C73" s="10">
        <v>4</v>
      </c>
      <c r="D73" s="10">
        <v>38</v>
      </c>
      <c r="E73" s="10">
        <v>6</v>
      </c>
    </row>
    <row r="74" spans="1:5">
      <c r="A74" s="9" t="s">
        <v>209</v>
      </c>
      <c r="B74" s="10">
        <v>2026</v>
      </c>
      <c r="C74" s="10">
        <v>3</v>
      </c>
      <c r="D74" s="10">
        <v>37</v>
      </c>
      <c r="E74" s="10">
        <v>2</v>
      </c>
    </row>
    <row r="75" spans="1:5">
      <c r="A75" s="9" t="s">
        <v>211</v>
      </c>
      <c r="B75" s="10">
        <v>2026</v>
      </c>
      <c r="C75" s="10">
        <v>3</v>
      </c>
      <c r="D75" s="10">
        <v>1</v>
      </c>
      <c r="E75" s="10">
        <v>6</v>
      </c>
    </row>
    <row r="76" spans="1:5">
      <c r="A76" s="9" t="s">
        <v>213</v>
      </c>
      <c r="B76" s="10">
        <v>2026</v>
      </c>
      <c r="C76" s="10">
        <v>5</v>
      </c>
      <c r="D76" s="10">
        <v>9</v>
      </c>
      <c r="E76" s="10">
        <v>8</v>
      </c>
    </row>
    <row r="77" spans="1:5">
      <c r="A77" s="9" t="s">
        <v>215</v>
      </c>
      <c r="B77" s="10">
        <v>2026</v>
      </c>
      <c r="C77" s="10">
        <v>3</v>
      </c>
      <c r="D77" s="10">
        <v>29</v>
      </c>
      <c r="E77" s="10">
        <v>1</v>
      </c>
    </row>
    <row r="78" spans="1:5">
      <c r="A78" s="9" t="s">
        <v>217</v>
      </c>
      <c r="B78" s="10">
        <v>2026</v>
      </c>
      <c r="C78" s="10">
        <v>1</v>
      </c>
      <c r="D78" s="10">
        <v>14</v>
      </c>
      <c r="E78" s="10">
        <v>3</v>
      </c>
    </row>
    <row r="79" spans="1:5">
      <c r="A79" s="9" t="s">
        <v>219</v>
      </c>
      <c r="B79" s="10">
        <v>2026</v>
      </c>
      <c r="C79" s="10">
        <v>4</v>
      </c>
      <c r="D79" s="10">
        <v>19</v>
      </c>
      <c r="E79" s="10">
        <v>5</v>
      </c>
    </row>
    <row r="80" spans="1:5">
      <c r="A80" s="9" t="s">
        <v>221</v>
      </c>
      <c r="B80" s="10">
        <v>2026</v>
      </c>
      <c r="C80" s="10">
        <v>1</v>
      </c>
      <c r="D80" s="10">
        <v>40</v>
      </c>
      <c r="E80" s="10">
        <v>12</v>
      </c>
    </row>
    <row r="81" spans="1:5">
      <c r="A81" s="9" t="s">
        <v>223</v>
      </c>
      <c r="B81" s="10">
        <v>2026</v>
      </c>
      <c r="C81" s="10">
        <v>2</v>
      </c>
      <c r="D81" s="10">
        <v>30</v>
      </c>
      <c r="E81" s="10">
        <v>12</v>
      </c>
    </row>
    <row r="82" spans="1:5">
      <c r="A82" s="9" t="s">
        <v>225</v>
      </c>
      <c r="B82" s="10">
        <v>2026</v>
      </c>
      <c r="C82" s="10">
        <v>4</v>
      </c>
      <c r="D82" s="10">
        <v>17</v>
      </c>
      <c r="E82" s="10">
        <v>3</v>
      </c>
    </row>
    <row r="83" spans="1:5">
      <c r="A83" s="9" t="s">
        <v>227</v>
      </c>
      <c r="B83" s="10">
        <v>2026</v>
      </c>
      <c r="C83" s="10">
        <v>1</v>
      </c>
      <c r="D83" s="10">
        <v>29</v>
      </c>
      <c r="E83" s="10">
        <v>4</v>
      </c>
    </row>
    <row r="84" spans="1:5">
      <c r="A84" s="9" t="s">
        <v>229</v>
      </c>
      <c r="B84" s="10">
        <v>2026</v>
      </c>
      <c r="C84" s="10">
        <v>3</v>
      </c>
      <c r="D84" s="10">
        <v>54</v>
      </c>
      <c r="E84" s="10">
        <v>5</v>
      </c>
    </row>
    <row r="85" spans="1:5">
      <c r="A85" s="9" t="s">
        <v>231</v>
      </c>
      <c r="B85" s="10">
        <v>2026</v>
      </c>
      <c r="C85" s="10">
        <v>2</v>
      </c>
      <c r="D85" s="10">
        <v>1</v>
      </c>
      <c r="E85" s="10">
        <v>10</v>
      </c>
    </row>
    <row r="86" spans="1:5">
      <c r="A86" s="9" t="s">
        <v>233</v>
      </c>
      <c r="B86" s="10">
        <v>2026</v>
      </c>
      <c r="C86" s="10">
        <v>4</v>
      </c>
      <c r="D86" s="10">
        <v>60</v>
      </c>
      <c r="E86" s="10">
        <v>3</v>
      </c>
    </row>
    <row r="87" spans="1:5">
      <c r="A87" s="9" t="s">
        <v>235</v>
      </c>
      <c r="B87" s="10">
        <v>2026</v>
      </c>
      <c r="C87" s="10">
        <v>3</v>
      </c>
      <c r="D87" s="10">
        <v>14</v>
      </c>
      <c r="E87" s="10">
        <v>0</v>
      </c>
    </row>
    <row r="88" spans="1:5">
      <c r="A88" s="9" t="s">
        <v>237</v>
      </c>
      <c r="B88" s="10">
        <v>2026</v>
      </c>
      <c r="C88" s="10">
        <v>5</v>
      </c>
      <c r="D88" s="10">
        <v>23</v>
      </c>
      <c r="E88" s="10">
        <v>10</v>
      </c>
    </row>
    <row r="89" spans="1:5">
      <c r="A89" s="9" t="s">
        <v>239</v>
      </c>
      <c r="B89" s="10">
        <v>2026</v>
      </c>
      <c r="C89" s="10">
        <v>5</v>
      </c>
      <c r="D89" s="10">
        <v>5</v>
      </c>
      <c r="E89" s="10">
        <v>5</v>
      </c>
    </row>
    <row r="90" spans="1:5">
      <c r="A90" s="9" t="s">
        <v>241</v>
      </c>
      <c r="B90" s="10">
        <v>2026</v>
      </c>
      <c r="C90" s="10">
        <v>1</v>
      </c>
      <c r="D90" s="10">
        <v>31</v>
      </c>
      <c r="E90" s="10">
        <v>2</v>
      </c>
    </row>
    <row r="91" spans="1:5">
      <c r="A91" s="9" t="s">
        <v>243</v>
      </c>
      <c r="B91" s="10">
        <v>2026</v>
      </c>
      <c r="C91" s="10">
        <v>3</v>
      </c>
      <c r="D91" s="10">
        <v>25</v>
      </c>
      <c r="E91" s="10">
        <v>2</v>
      </c>
    </row>
    <row r="92" spans="1:5">
      <c r="A92" s="9" t="s">
        <v>245</v>
      </c>
      <c r="B92" s="10">
        <v>2026</v>
      </c>
      <c r="C92" s="10">
        <v>1</v>
      </c>
      <c r="D92" s="10">
        <v>9</v>
      </c>
      <c r="E92" s="10">
        <v>2</v>
      </c>
    </row>
    <row r="93" spans="1:5">
      <c r="A93" s="9" t="s">
        <v>247</v>
      </c>
      <c r="B93" s="10">
        <v>2026</v>
      </c>
      <c r="C93" s="10">
        <v>3</v>
      </c>
      <c r="D93" s="10">
        <v>7</v>
      </c>
      <c r="E93" s="10">
        <v>4</v>
      </c>
    </row>
    <row r="94" spans="1:5">
      <c r="A94" s="9" t="s">
        <v>249</v>
      </c>
      <c r="B94" s="10">
        <v>2026</v>
      </c>
      <c r="C94" s="10">
        <v>2</v>
      </c>
      <c r="D94" s="10">
        <v>5</v>
      </c>
      <c r="E94" s="10">
        <v>4</v>
      </c>
    </row>
    <row r="95" spans="1:5">
      <c r="A95" s="9" t="s">
        <v>251</v>
      </c>
      <c r="B95" s="10">
        <v>2026</v>
      </c>
      <c r="C95" s="10">
        <v>1</v>
      </c>
      <c r="D95" s="10">
        <v>28</v>
      </c>
      <c r="E95" s="10">
        <v>10</v>
      </c>
    </row>
    <row r="96" spans="1:5">
      <c r="A96" s="9" t="s">
        <v>253</v>
      </c>
      <c r="B96" s="10">
        <v>2026</v>
      </c>
      <c r="C96" s="10">
        <v>2</v>
      </c>
      <c r="D96" s="10">
        <v>44</v>
      </c>
      <c r="E96" s="10">
        <v>5</v>
      </c>
    </row>
    <row r="97" spans="1:5">
      <c r="A97" s="9" t="s">
        <v>255</v>
      </c>
      <c r="B97" s="10">
        <v>2026</v>
      </c>
      <c r="C97" s="10">
        <v>4</v>
      </c>
      <c r="D97" s="10">
        <v>41</v>
      </c>
      <c r="E97" s="10">
        <v>5</v>
      </c>
    </row>
    <row r="98" spans="1:5">
      <c r="A98" s="9" t="s">
        <v>257</v>
      </c>
      <c r="B98" s="10">
        <v>2026</v>
      </c>
      <c r="C98" s="10">
        <v>2</v>
      </c>
      <c r="D98" s="10">
        <v>10</v>
      </c>
      <c r="E98" s="10">
        <v>5</v>
      </c>
    </row>
    <row r="99" spans="1:5">
      <c r="A99" s="9" t="s">
        <v>259</v>
      </c>
      <c r="B99" s="10">
        <v>2026</v>
      </c>
      <c r="C99" s="10">
        <v>2</v>
      </c>
      <c r="D99" s="10">
        <v>15</v>
      </c>
      <c r="E99" s="10">
        <v>7</v>
      </c>
    </row>
    <row r="100" spans="1:5">
      <c r="A100" s="9" t="s">
        <v>261</v>
      </c>
      <c r="B100" s="10">
        <v>2026</v>
      </c>
      <c r="C100" s="10">
        <v>4</v>
      </c>
      <c r="D100" s="10">
        <v>59</v>
      </c>
      <c r="E100" s="10">
        <v>11</v>
      </c>
    </row>
    <row r="101" spans="1:5">
      <c r="A101" s="9" t="s">
        <v>263</v>
      </c>
      <c r="B101" s="10">
        <v>2026</v>
      </c>
      <c r="C101" s="10">
        <v>1</v>
      </c>
      <c r="D101" s="10">
        <v>23</v>
      </c>
      <c r="E101" s="10">
        <v>8</v>
      </c>
    </row>
    <row r="102" spans="1:5">
      <c r="A102" s="9" t="s">
        <v>265</v>
      </c>
      <c r="B102" s="10">
        <v>2026</v>
      </c>
      <c r="C102" s="10">
        <v>5</v>
      </c>
      <c r="D102" s="10">
        <v>31</v>
      </c>
      <c r="E102" s="10">
        <v>12</v>
      </c>
    </row>
    <row r="103" spans="1:5">
      <c r="A103" s="9" t="s">
        <v>267</v>
      </c>
      <c r="B103" s="10">
        <v>2026</v>
      </c>
      <c r="C103" s="10">
        <v>5</v>
      </c>
      <c r="D103" s="10">
        <v>3</v>
      </c>
      <c r="E103" s="10">
        <v>12</v>
      </c>
    </row>
    <row r="104" spans="1:5">
      <c r="A104" s="9" t="s">
        <v>269</v>
      </c>
      <c r="B104" s="10">
        <v>2026</v>
      </c>
      <c r="C104" s="10">
        <v>5</v>
      </c>
      <c r="D104" s="10">
        <v>34</v>
      </c>
      <c r="E104" s="10">
        <v>9</v>
      </c>
    </row>
    <row r="105" spans="1:5">
      <c r="A105" s="9" t="s">
        <v>271</v>
      </c>
      <c r="B105" s="10">
        <v>2026</v>
      </c>
      <c r="C105" s="10">
        <v>3</v>
      </c>
      <c r="D105" s="10">
        <v>57</v>
      </c>
      <c r="E105" s="10">
        <v>1</v>
      </c>
    </row>
    <row r="106" spans="1:5">
      <c r="A106" s="9" t="s">
        <v>273</v>
      </c>
      <c r="B106" s="10">
        <v>2026</v>
      </c>
      <c r="C106" s="10">
        <v>3</v>
      </c>
      <c r="D106" s="10">
        <v>24</v>
      </c>
      <c r="E106" s="10">
        <v>9</v>
      </c>
    </row>
    <row r="107" spans="1:5">
      <c r="A107" s="9" t="s">
        <v>275</v>
      </c>
      <c r="B107" s="10">
        <v>2026</v>
      </c>
      <c r="C107" s="10">
        <v>5</v>
      </c>
      <c r="D107" s="10">
        <v>6</v>
      </c>
      <c r="E107" s="10">
        <v>5</v>
      </c>
    </row>
    <row r="108" spans="1:5">
      <c r="A108" s="9" t="s">
        <v>277</v>
      </c>
      <c r="B108" s="10">
        <v>2026</v>
      </c>
      <c r="C108" s="10">
        <v>1</v>
      </c>
      <c r="D108" s="10">
        <v>49</v>
      </c>
      <c r="E108" s="10">
        <v>9</v>
      </c>
    </row>
    <row r="109" spans="1:5">
      <c r="A109" s="9" t="s">
        <v>279</v>
      </c>
      <c r="B109" s="10">
        <v>2026</v>
      </c>
      <c r="C109" s="10">
        <v>1</v>
      </c>
      <c r="D109" s="10">
        <v>23</v>
      </c>
      <c r="E109" s="10">
        <v>11</v>
      </c>
    </row>
    <row r="110" spans="1:5">
      <c r="A110" s="9" t="s">
        <v>281</v>
      </c>
      <c r="B110" s="10">
        <v>2026</v>
      </c>
      <c r="C110" s="10">
        <v>3</v>
      </c>
      <c r="D110" s="10">
        <v>38</v>
      </c>
      <c r="E110" s="10">
        <v>3</v>
      </c>
    </row>
    <row r="111" spans="1:5">
      <c r="A111" s="9" t="s">
        <v>283</v>
      </c>
      <c r="B111" s="10">
        <v>2026</v>
      </c>
      <c r="C111" s="10">
        <v>4</v>
      </c>
      <c r="D111" s="10">
        <v>50</v>
      </c>
      <c r="E111" s="10">
        <v>7</v>
      </c>
    </row>
    <row r="112" spans="1:5">
      <c r="A112" s="9" t="s">
        <v>285</v>
      </c>
      <c r="B112" s="10">
        <v>2026</v>
      </c>
      <c r="C112" s="10">
        <v>5</v>
      </c>
      <c r="D112" s="10">
        <v>12</v>
      </c>
      <c r="E112" s="10">
        <v>0</v>
      </c>
    </row>
    <row r="113" spans="1:5">
      <c r="A113" s="9" t="s">
        <v>287</v>
      </c>
      <c r="B113" s="10">
        <v>2026</v>
      </c>
      <c r="C113" s="10">
        <v>2</v>
      </c>
      <c r="D113" s="10">
        <v>52</v>
      </c>
      <c r="E113" s="10">
        <v>12</v>
      </c>
    </row>
    <row r="114" spans="1:5">
      <c r="A114" s="9" t="s">
        <v>289</v>
      </c>
      <c r="B114" s="10">
        <v>2026</v>
      </c>
      <c r="C114" s="10">
        <v>5</v>
      </c>
      <c r="D114" s="10">
        <v>32</v>
      </c>
      <c r="E114" s="10">
        <v>11</v>
      </c>
    </row>
    <row r="115" spans="1:5">
      <c r="A115" s="9" t="s">
        <v>291</v>
      </c>
      <c r="B115" s="10">
        <v>2026</v>
      </c>
      <c r="C115" s="10">
        <v>3</v>
      </c>
      <c r="D115" s="10">
        <v>10</v>
      </c>
      <c r="E115" s="10">
        <v>8</v>
      </c>
    </row>
    <row r="116" spans="1:5">
      <c r="A116" s="9" t="s">
        <v>293</v>
      </c>
      <c r="B116" s="10">
        <v>2026</v>
      </c>
      <c r="C116" s="10">
        <v>1</v>
      </c>
      <c r="D116" s="10">
        <v>47</v>
      </c>
      <c r="E116" s="10">
        <v>11</v>
      </c>
    </row>
    <row r="117" spans="1:5">
      <c r="A117" s="9" t="s">
        <v>295</v>
      </c>
      <c r="B117" s="10">
        <v>2026</v>
      </c>
      <c r="C117" s="10">
        <v>5</v>
      </c>
      <c r="D117" s="10">
        <v>10</v>
      </c>
      <c r="E117" s="10">
        <v>1</v>
      </c>
    </row>
    <row r="118" spans="1:5">
      <c r="A118" s="9" t="s">
        <v>297</v>
      </c>
      <c r="B118" s="10">
        <v>2026</v>
      </c>
      <c r="C118" s="10">
        <v>1</v>
      </c>
      <c r="D118" s="10">
        <v>54</v>
      </c>
      <c r="E118" s="10">
        <v>5</v>
      </c>
    </row>
    <row r="119" spans="1:5">
      <c r="A119" s="9" t="s">
        <v>299</v>
      </c>
      <c r="B119" s="10">
        <v>2026</v>
      </c>
      <c r="C119" s="10">
        <v>5</v>
      </c>
      <c r="D119" s="10">
        <v>32</v>
      </c>
      <c r="E119" s="10">
        <v>12</v>
      </c>
    </row>
    <row r="120" spans="1:5">
      <c r="A120" s="9" t="s">
        <v>301</v>
      </c>
      <c r="B120" s="10">
        <v>2026</v>
      </c>
      <c r="C120" s="10">
        <v>2</v>
      </c>
      <c r="D120" s="10">
        <v>60</v>
      </c>
      <c r="E120" s="10">
        <v>2</v>
      </c>
    </row>
    <row r="121" spans="1:5">
      <c r="A121" s="9" t="s">
        <v>303</v>
      </c>
      <c r="B121" s="10">
        <v>2026</v>
      </c>
      <c r="C121" s="10">
        <v>2</v>
      </c>
      <c r="D121" s="10">
        <v>37</v>
      </c>
      <c r="E121" s="10">
        <v>11</v>
      </c>
    </row>
    <row r="122" spans="1:5">
      <c r="A122" s="9" t="s">
        <v>305</v>
      </c>
      <c r="B122" s="10">
        <v>2026</v>
      </c>
      <c r="C122" s="10">
        <v>1</v>
      </c>
      <c r="D122" s="10">
        <v>4</v>
      </c>
      <c r="E122" s="10">
        <v>4</v>
      </c>
    </row>
    <row r="123" spans="1:5">
      <c r="A123" s="9" t="s">
        <v>307</v>
      </c>
      <c r="B123" s="10">
        <v>2026</v>
      </c>
      <c r="C123" s="10">
        <v>5</v>
      </c>
      <c r="D123" s="10">
        <v>58</v>
      </c>
      <c r="E123" s="10">
        <v>8</v>
      </c>
    </row>
    <row r="124" spans="1:5">
      <c r="A124" s="9" t="s">
        <v>309</v>
      </c>
      <c r="B124" s="10">
        <v>2026</v>
      </c>
      <c r="C124" s="10">
        <v>4</v>
      </c>
      <c r="D124" s="10">
        <v>17</v>
      </c>
      <c r="E124" s="10">
        <v>12</v>
      </c>
    </row>
    <row r="125" spans="1:5">
      <c r="A125" s="9" t="s">
        <v>311</v>
      </c>
      <c r="B125" s="10">
        <v>2026</v>
      </c>
      <c r="C125" s="10">
        <v>4</v>
      </c>
      <c r="D125" s="10">
        <v>26</v>
      </c>
      <c r="E125" s="10">
        <v>9</v>
      </c>
    </row>
    <row r="126" spans="1:5">
      <c r="A126" s="9" t="s">
        <v>313</v>
      </c>
      <c r="B126" s="10">
        <v>2026</v>
      </c>
      <c r="C126" s="10">
        <v>4</v>
      </c>
      <c r="D126" s="10">
        <v>60</v>
      </c>
      <c r="E126" s="10">
        <v>3</v>
      </c>
    </row>
    <row r="127" spans="1:5">
      <c r="A127" s="9" t="s">
        <v>315</v>
      </c>
      <c r="B127" s="10">
        <v>2026</v>
      </c>
      <c r="C127" s="10">
        <v>2</v>
      </c>
      <c r="D127" s="10">
        <v>17</v>
      </c>
      <c r="E127" s="10">
        <v>7</v>
      </c>
    </row>
    <row r="128" spans="1:5">
      <c r="A128" s="9" t="s">
        <v>317</v>
      </c>
      <c r="B128" s="10">
        <v>2026</v>
      </c>
      <c r="C128" s="10">
        <v>5</v>
      </c>
      <c r="D128" s="10">
        <v>56</v>
      </c>
      <c r="E128" s="10">
        <v>6</v>
      </c>
    </row>
    <row r="129" spans="1:5">
      <c r="A129" s="9" t="s">
        <v>319</v>
      </c>
      <c r="B129" s="10">
        <v>2026</v>
      </c>
      <c r="C129" s="10">
        <v>1</v>
      </c>
      <c r="D129" s="10">
        <v>14</v>
      </c>
      <c r="E129" s="10">
        <v>6</v>
      </c>
    </row>
    <row r="130" spans="1:5">
      <c r="A130" s="9" t="s">
        <v>321</v>
      </c>
      <c r="B130" s="10">
        <v>2026</v>
      </c>
      <c r="C130" s="10">
        <v>5</v>
      </c>
      <c r="D130" s="10">
        <v>54</v>
      </c>
      <c r="E130" s="10">
        <v>6</v>
      </c>
    </row>
    <row r="131" spans="1:5">
      <c r="A131" s="9" t="s">
        <v>323</v>
      </c>
      <c r="B131" s="10">
        <v>2026</v>
      </c>
      <c r="C131" s="10">
        <v>1</v>
      </c>
      <c r="D131" s="10">
        <v>18</v>
      </c>
      <c r="E131" s="10">
        <v>9</v>
      </c>
    </row>
    <row r="132" spans="1:5">
      <c r="A132" s="9" t="s">
        <v>325</v>
      </c>
      <c r="B132" s="10">
        <v>2026</v>
      </c>
      <c r="C132" s="10">
        <v>5</v>
      </c>
      <c r="D132" s="10">
        <v>13</v>
      </c>
      <c r="E132" s="10">
        <v>1</v>
      </c>
    </row>
    <row r="133" spans="1:5">
      <c r="A133" s="9" t="s">
        <v>327</v>
      </c>
      <c r="B133" s="10">
        <v>2026</v>
      </c>
      <c r="C133" s="10">
        <v>5</v>
      </c>
      <c r="D133" s="10">
        <v>36</v>
      </c>
      <c r="E133" s="10">
        <v>11</v>
      </c>
    </row>
    <row r="134" spans="1:5">
      <c r="A134" s="9" t="s">
        <v>329</v>
      </c>
      <c r="B134" s="10">
        <v>2026</v>
      </c>
      <c r="C134" s="10">
        <v>4</v>
      </c>
      <c r="D134" s="10">
        <v>26</v>
      </c>
      <c r="E134" s="10">
        <v>3</v>
      </c>
    </row>
    <row r="135" spans="1:5">
      <c r="A135" s="9" t="s">
        <v>331</v>
      </c>
      <c r="B135" s="10">
        <v>2026</v>
      </c>
      <c r="C135" s="10">
        <v>2</v>
      </c>
      <c r="D135" s="10">
        <v>50</v>
      </c>
      <c r="E135" s="10">
        <v>8</v>
      </c>
    </row>
    <row r="136" spans="1:5">
      <c r="A136" s="9" t="s">
        <v>333</v>
      </c>
      <c r="B136" s="10">
        <v>2026</v>
      </c>
      <c r="C136" s="10">
        <v>1</v>
      </c>
      <c r="D136" s="10">
        <v>13</v>
      </c>
      <c r="E136" s="10">
        <v>11</v>
      </c>
    </row>
    <row r="137" spans="1:5">
      <c r="A137" s="9" t="s">
        <v>335</v>
      </c>
      <c r="B137" s="10">
        <v>2026</v>
      </c>
      <c r="C137" s="10">
        <v>2</v>
      </c>
      <c r="D137" s="10">
        <v>31</v>
      </c>
      <c r="E137" s="10">
        <v>6</v>
      </c>
    </row>
    <row r="138" spans="1:5">
      <c r="A138" s="9" t="s">
        <v>337</v>
      </c>
      <c r="B138" s="10">
        <v>2026</v>
      </c>
      <c r="C138" s="10">
        <v>3</v>
      </c>
      <c r="D138" s="10">
        <v>41</v>
      </c>
      <c r="E138" s="10">
        <v>11</v>
      </c>
    </row>
    <row r="139" spans="1:5">
      <c r="A139" s="9" t="s">
        <v>339</v>
      </c>
      <c r="B139" s="10">
        <v>2026</v>
      </c>
      <c r="C139" s="10">
        <v>1</v>
      </c>
      <c r="D139" s="10">
        <v>48</v>
      </c>
      <c r="E139" s="10">
        <v>1</v>
      </c>
    </row>
    <row r="140" spans="1:5">
      <c r="A140" s="9" t="s">
        <v>341</v>
      </c>
      <c r="B140" s="10">
        <v>2026</v>
      </c>
      <c r="C140" s="10">
        <v>5</v>
      </c>
      <c r="D140" s="10">
        <v>14</v>
      </c>
      <c r="E140" s="10">
        <v>0</v>
      </c>
    </row>
    <row r="141" spans="1:5">
      <c r="A141" s="9" t="s">
        <v>343</v>
      </c>
      <c r="B141" s="10">
        <v>2026</v>
      </c>
      <c r="C141" s="10">
        <v>2</v>
      </c>
      <c r="D141" s="10">
        <v>46</v>
      </c>
      <c r="E141" s="10">
        <v>4</v>
      </c>
    </row>
    <row r="142" spans="1:5">
      <c r="A142" s="9" t="s">
        <v>345</v>
      </c>
      <c r="B142" s="10">
        <v>2026</v>
      </c>
      <c r="C142" s="10">
        <v>3</v>
      </c>
      <c r="D142" s="10">
        <v>51</v>
      </c>
      <c r="E142" s="10">
        <v>6</v>
      </c>
    </row>
    <row r="143" spans="1:5">
      <c r="A143" s="9" t="s">
        <v>347</v>
      </c>
      <c r="B143" s="10">
        <v>2026</v>
      </c>
      <c r="C143" s="10">
        <v>1</v>
      </c>
      <c r="D143" s="10">
        <v>25</v>
      </c>
      <c r="E143" s="10">
        <v>7</v>
      </c>
    </row>
    <row r="144" spans="1:5">
      <c r="A144" s="9" t="s">
        <v>349</v>
      </c>
      <c r="B144" s="10">
        <v>2026</v>
      </c>
      <c r="C144" s="10">
        <v>3</v>
      </c>
      <c r="D144" s="10">
        <v>36</v>
      </c>
      <c r="E144" s="10">
        <v>3</v>
      </c>
    </row>
    <row r="145" spans="1:5">
      <c r="A145" s="9" t="s">
        <v>351</v>
      </c>
      <c r="B145" s="10">
        <v>2026</v>
      </c>
      <c r="C145" s="10">
        <v>1</v>
      </c>
      <c r="D145" s="10">
        <v>9</v>
      </c>
      <c r="E145" s="10">
        <v>12</v>
      </c>
    </row>
    <row r="146" spans="1:5">
      <c r="A146" s="9" t="s">
        <v>353</v>
      </c>
      <c r="B146" s="10">
        <v>2026</v>
      </c>
      <c r="C146" s="10">
        <v>1</v>
      </c>
      <c r="D146" s="10">
        <v>31</v>
      </c>
      <c r="E146" s="10">
        <v>2</v>
      </c>
    </row>
    <row r="147" spans="1:5">
      <c r="A147" s="9" t="s">
        <v>355</v>
      </c>
      <c r="B147" s="10">
        <v>2026</v>
      </c>
      <c r="C147" s="10">
        <v>3</v>
      </c>
      <c r="D147" s="10">
        <v>27</v>
      </c>
      <c r="E147" s="10">
        <v>11</v>
      </c>
    </row>
    <row r="148" spans="1:5">
      <c r="A148" s="9" t="s">
        <v>357</v>
      </c>
      <c r="B148" s="10">
        <v>2026</v>
      </c>
      <c r="C148" s="10">
        <v>5</v>
      </c>
      <c r="D148" s="10">
        <v>18</v>
      </c>
      <c r="E148" s="10">
        <v>9</v>
      </c>
    </row>
    <row r="149" spans="1:5">
      <c r="A149" s="9" t="s">
        <v>359</v>
      </c>
      <c r="B149" s="10">
        <v>2026</v>
      </c>
      <c r="C149" s="10">
        <v>5</v>
      </c>
      <c r="D149" s="10">
        <v>13</v>
      </c>
      <c r="E149" s="10">
        <v>3</v>
      </c>
    </row>
    <row r="150" spans="1:5">
      <c r="A150" s="9" t="s">
        <v>361</v>
      </c>
      <c r="B150" s="10">
        <v>2026</v>
      </c>
      <c r="C150" s="10">
        <v>4</v>
      </c>
      <c r="D150" s="10">
        <v>12</v>
      </c>
      <c r="E150" s="10">
        <v>7</v>
      </c>
    </row>
    <row r="151" spans="1:5">
      <c r="A151" s="9" t="s">
        <v>363</v>
      </c>
      <c r="B151" s="10">
        <v>2026</v>
      </c>
      <c r="C151" s="10">
        <v>1</v>
      </c>
      <c r="D151" s="10">
        <v>27</v>
      </c>
      <c r="E151" s="10">
        <v>0</v>
      </c>
    </row>
    <row r="152" spans="1:5">
      <c r="A152" s="9" t="s">
        <v>365</v>
      </c>
      <c r="B152" s="10">
        <v>2026</v>
      </c>
      <c r="C152" s="10">
        <v>2</v>
      </c>
      <c r="D152" s="10">
        <v>3</v>
      </c>
      <c r="E152" s="10">
        <v>8</v>
      </c>
    </row>
    <row r="153" spans="1:5">
      <c r="A153" s="9" t="s">
        <v>367</v>
      </c>
      <c r="B153" s="10">
        <v>2026</v>
      </c>
      <c r="C153" s="10">
        <v>5</v>
      </c>
      <c r="D153" s="10">
        <v>55</v>
      </c>
      <c r="E153" s="10">
        <v>6</v>
      </c>
    </row>
    <row r="154" spans="1:5">
      <c r="A154" s="9" t="s">
        <v>369</v>
      </c>
      <c r="B154" s="10">
        <v>2026</v>
      </c>
      <c r="C154" s="10">
        <v>5</v>
      </c>
      <c r="D154" s="10">
        <v>16</v>
      </c>
      <c r="E154" s="10">
        <v>3</v>
      </c>
    </row>
    <row r="155" spans="1:5">
      <c r="A155" s="9" t="s">
        <v>371</v>
      </c>
      <c r="B155" s="10">
        <v>2026</v>
      </c>
      <c r="C155" s="10">
        <v>2</v>
      </c>
      <c r="D155" s="10">
        <v>29</v>
      </c>
      <c r="E155" s="10">
        <v>9</v>
      </c>
    </row>
    <row r="156" spans="1:5">
      <c r="A156" s="9" t="s">
        <v>373</v>
      </c>
      <c r="B156" s="10">
        <v>2026</v>
      </c>
      <c r="C156" s="10">
        <v>2</v>
      </c>
      <c r="D156" s="10">
        <v>3</v>
      </c>
      <c r="E156" s="10">
        <v>10</v>
      </c>
    </row>
    <row r="157" spans="1:5">
      <c r="A157" s="9" t="s">
        <v>375</v>
      </c>
      <c r="B157" s="10">
        <v>2026</v>
      </c>
      <c r="C157" s="10">
        <v>3</v>
      </c>
      <c r="D157" s="10">
        <v>59</v>
      </c>
      <c r="E157" s="10">
        <v>1</v>
      </c>
    </row>
    <row r="158" spans="1:5">
      <c r="A158" s="9" t="s">
        <v>377</v>
      </c>
      <c r="B158" s="10">
        <v>2026</v>
      </c>
      <c r="C158" s="10">
        <v>5</v>
      </c>
      <c r="D158" s="10">
        <v>29</v>
      </c>
      <c r="E158" s="10">
        <v>11</v>
      </c>
    </row>
    <row r="159" spans="1:5">
      <c r="A159" s="9" t="s">
        <v>379</v>
      </c>
      <c r="B159" s="10">
        <v>2026</v>
      </c>
      <c r="C159" s="10">
        <v>3</v>
      </c>
      <c r="D159" s="10">
        <v>8</v>
      </c>
      <c r="E159" s="10">
        <v>11</v>
      </c>
    </row>
    <row r="160" spans="1:5">
      <c r="A160" s="9" t="s">
        <v>381</v>
      </c>
      <c r="B160" s="10">
        <v>2026</v>
      </c>
      <c r="C160" s="10">
        <v>5</v>
      </c>
      <c r="D160" s="10">
        <v>42</v>
      </c>
      <c r="E160" s="10">
        <v>4</v>
      </c>
    </row>
    <row r="161" spans="1:5">
      <c r="A161" s="9" t="s">
        <v>383</v>
      </c>
      <c r="B161" s="10">
        <v>2026</v>
      </c>
      <c r="C161" s="10">
        <v>4</v>
      </c>
      <c r="D161" s="10">
        <v>57</v>
      </c>
      <c r="E161" s="10">
        <v>4</v>
      </c>
    </row>
    <row r="162" spans="1:5">
      <c r="A162" s="9" t="s">
        <v>385</v>
      </c>
      <c r="B162" s="10">
        <v>2026</v>
      </c>
      <c r="C162" s="10">
        <v>3</v>
      </c>
      <c r="D162" s="10">
        <v>4</v>
      </c>
      <c r="E162" s="10">
        <v>7</v>
      </c>
    </row>
    <row r="163" spans="1:5">
      <c r="A163" s="9" t="s">
        <v>387</v>
      </c>
      <c r="B163" s="10">
        <v>2026</v>
      </c>
      <c r="C163" s="10">
        <v>4</v>
      </c>
      <c r="D163" s="10">
        <v>14</v>
      </c>
      <c r="E163" s="10">
        <v>9</v>
      </c>
    </row>
    <row r="164" spans="1:5">
      <c r="A164" s="9" t="s">
        <v>389</v>
      </c>
      <c r="B164" s="10">
        <v>2026</v>
      </c>
      <c r="C164" s="10">
        <v>4</v>
      </c>
      <c r="D164" s="10">
        <v>20</v>
      </c>
      <c r="E164" s="10">
        <v>7</v>
      </c>
    </row>
    <row r="165" spans="1:5">
      <c r="A165" s="9" t="s">
        <v>391</v>
      </c>
      <c r="B165" s="10">
        <v>2026</v>
      </c>
      <c r="C165" s="10">
        <v>3</v>
      </c>
      <c r="D165" s="10">
        <v>20</v>
      </c>
      <c r="E165" s="10">
        <v>1</v>
      </c>
    </row>
    <row r="166" spans="1:5">
      <c r="A166" s="9" t="s">
        <v>393</v>
      </c>
      <c r="B166" s="10">
        <v>2026</v>
      </c>
      <c r="C166" s="10">
        <v>5</v>
      </c>
      <c r="D166" s="10">
        <v>16</v>
      </c>
      <c r="E166" s="10">
        <v>1</v>
      </c>
    </row>
    <row r="167" spans="1:5">
      <c r="A167" s="9" t="s">
        <v>395</v>
      </c>
      <c r="B167" s="10">
        <v>2026</v>
      </c>
      <c r="C167" s="10">
        <v>2</v>
      </c>
      <c r="D167" s="10">
        <v>18</v>
      </c>
      <c r="E167" s="10">
        <v>6</v>
      </c>
    </row>
    <row r="168" spans="1:5">
      <c r="A168" s="9" t="s">
        <v>397</v>
      </c>
      <c r="B168" s="10">
        <v>2026</v>
      </c>
      <c r="C168" s="10">
        <v>1</v>
      </c>
      <c r="D168" s="10">
        <v>60</v>
      </c>
      <c r="E168" s="10">
        <v>3</v>
      </c>
    </row>
    <row r="169" spans="1:5">
      <c r="A169" s="9" t="s">
        <v>399</v>
      </c>
      <c r="B169" s="10">
        <v>2026</v>
      </c>
      <c r="C169" s="10">
        <v>2</v>
      </c>
      <c r="D169" s="10">
        <v>21</v>
      </c>
      <c r="E169" s="10">
        <v>2</v>
      </c>
    </row>
    <row r="170" spans="1:5">
      <c r="A170" s="9" t="s">
        <v>401</v>
      </c>
      <c r="B170" s="10">
        <v>2026</v>
      </c>
      <c r="C170" s="10">
        <v>2</v>
      </c>
      <c r="D170" s="10">
        <v>21</v>
      </c>
      <c r="E170" s="10">
        <v>1</v>
      </c>
    </row>
    <row r="171" spans="1:5">
      <c r="A171" s="9" t="s">
        <v>403</v>
      </c>
      <c r="B171" s="10">
        <v>2026</v>
      </c>
      <c r="C171" s="10">
        <v>1</v>
      </c>
      <c r="D171" s="10">
        <v>16</v>
      </c>
      <c r="E171" s="10">
        <v>10</v>
      </c>
    </row>
    <row r="172" spans="1:5">
      <c r="A172" s="9" t="s">
        <v>405</v>
      </c>
      <c r="B172" s="10">
        <v>2026</v>
      </c>
      <c r="C172" s="10">
        <v>5</v>
      </c>
      <c r="D172" s="10">
        <v>43</v>
      </c>
      <c r="E172" s="10">
        <v>4</v>
      </c>
    </row>
    <row r="173" spans="1:5">
      <c r="A173" s="9" t="s">
        <v>407</v>
      </c>
      <c r="B173" s="10">
        <v>2026</v>
      </c>
      <c r="C173" s="10">
        <v>5</v>
      </c>
      <c r="D173" s="10">
        <v>10</v>
      </c>
      <c r="E173" s="10">
        <v>11</v>
      </c>
    </row>
    <row r="174" spans="1:5">
      <c r="A174" s="9" t="s">
        <v>409</v>
      </c>
      <c r="B174" s="10">
        <v>2026</v>
      </c>
      <c r="C174" s="10">
        <v>3</v>
      </c>
      <c r="D174" s="10">
        <v>52</v>
      </c>
      <c r="E174" s="10">
        <v>0</v>
      </c>
    </row>
    <row r="175" spans="1:5">
      <c r="A175" s="9" t="s">
        <v>411</v>
      </c>
      <c r="B175" s="10">
        <v>2026</v>
      </c>
      <c r="C175" s="10">
        <v>1</v>
      </c>
      <c r="D175" s="10">
        <v>36</v>
      </c>
      <c r="E175" s="10">
        <v>11</v>
      </c>
    </row>
    <row r="176" spans="1:5">
      <c r="A176" s="9" t="s">
        <v>413</v>
      </c>
      <c r="B176" s="10">
        <v>2026</v>
      </c>
      <c r="C176" s="10">
        <v>1</v>
      </c>
      <c r="D176" s="10">
        <v>45</v>
      </c>
      <c r="E176" s="10">
        <v>9</v>
      </c>
    </row>
    <row r="177" spans="1:5">
      <c r="A177" s="9" t="s">
        <v>415</v>
      </c>
      <c r="B177" s="10">
        <v>2026</v>
      </c>
      <c r="C177" s="10">
        <v>5</v>
      </c>
      <c r="D177" s="10">
        <v>22</v>
      </c>
      <c r="E177" s="10">
        <v>0</v>
      </c>
    </row>
    <row r="178" spans="1:5">
      <c r="A178" s="9" t="s">
        <v>417</v>
      </c>
      <c r="B178" s="10">
        <v>2026</v>
      </c>
      <c r="C178" s="10">
        <v>4</v>
      </c>
      <c r="D178" s="10">
        <v>49</v>
      </c>
      <c r="E178" s="10">
        <v>7</v>
      </c>
    </row>
    <row r="179" spans="1:5">
      <c r="A179" s="9" t="s">
        <v>419</v>
      </c>
      <c r="B179" s="10">
        <v>2026</v>
      </c>
      <c r="C179" s="10">
        <v>3</v>
      </c>
      <c r="D179" s="10">
        <v>9</v>
      </c>
      <c r="E179" s="10">
        <v>2</v>
      </c>
    </row>
    <row r="180" spans="1:5">
      <c r="A180" s="9" t="s">
        <v>421</v>
      </c>
      <c r="B180" s="10">
        <v>2026</v>
      </c>
      <c r="C180" s="10">
        <v>4</v>
      </c>
      <c r="D180" s="10">
        <v>39</v>
      </c>
      <c r="E180" s="10">
        <v>6</v>
      </c>
    </row>
    <row r="181" spans="1:5">
      <c r="A181" s="9" t="s">
        <v>423</v>
      </c>
      <c r="B181" s="10">
        <v>2026</v>
      </c>
      <c r="C181" s="10">
        <v>2</v>
      </c>
      <c r="D181" s="10">
        <v>35</v>
      </c>
      <c r="E181" s="10">
        <v>9</v>
      </c>
    </row>
    <row r="182" spans="1:5">
      <c r="A182" s="9" t="s">
        <v>425</v>
      </c>
      <c r="B182" s="10">
        <v>2026</v>
      </c>
      <c r="C182" s="10">
        <v>2</v>
      </c>
      <c r="D182" s="10">
        <v>24</v>
      </c>
      <c r="E182" s="10">
        <v>9</v>
      </c>
    </row>
    <row r="183" spans="1:5">
      <c r="A183" s="9" t="s">
        <v>427</v>
      </c>
      <c r="B183" s="10">
        <v>2026</v>
      </c>
      <c r="C183" s="10">
        <v>4</v>
      </c>
      <c r="D183" s="10">
        <v>45</v>
      </c>
      <c r="E183" s="10">
        <v>9</v>
      </c>
    </row>
    <row r="184" spans="1:5">
      <c r="A184" s="9" t="s">
        <v>429</v>
      </c>
      <c r="B184" s="10">
        <v>2026</v>
      </c>
      <c r="C184" s="10">
        <v>4</v>
      </c>
      <c r="D184" s="10">
        <v>40</v>
      </c>
      <c r="E184" s="10">
        <v>7</v>
      </c>
    </row>
    <row r="185" spans="1:5">
      <c r="A185" s="9" t="s">
        <v>431</v>
      </c>
      <c r="B185" s="10">
        <v>2026</v>
      </c>
      <c r="C185" s="10">
        <v>1</v>
      </c>
      <c r="D185" s="10">
        <v>11</v>
      </c>
      <c r="E185" s="10">
        <v>9</v>
      </c>
    </row>
    <row r="186" spans="1:5">
      <c r="A186" s="9" t="s">
        <v>433</v>
      </c>
      <c r="B186" s="10">
        <v>2026</v>
      </c>
      <c r="C186" s="10">
        <v>4</v>
      </c>
      <c r="D186" s="10">
        <v>19</v>
      </c>
      <c r="E186" s="10">
        <v>9</v>
      </c>
    </row>
    <row r="187" spans="1:5">
      <c r="A187" s="9" t="s">
        <v>435</v>
      </c>
      <c r="B187" s="10">
        <v>2026</v>
      </c>
      <c r="C187" s="10">
        <v>2</v>
      </c>
      <c r="D187" s="10">
        <v>36</v>
      </c>
      <c r="E187" s="10">
        <v>0</v>
      </c>
    </row>
    <row r="188" spans="1:5">
      <c r="A188" s="9" t="s">
        <v>437</v>
      </c>
      <c r="B188" s="10">
        <v>2026</v>
      </c>
      <c r="C188" s="10">
        <v>3</v>
      </c>
      <c r="D188" s="10">
        <v>39</v>
      </c>
      <c r="E188" s="10">
        <v>8</v>
      </c>
    </row>
    <row r="189" spans="1:5">
      <c r="A189" s="9" t="s">
        <v>439</v>
      </c>
      <c r="B189" s="10">
        <v>2026</v>
      </c>
      <c r="C189" s="10">
        <v>3</v>
      </c>
      <c r="D189" s="10">
        <v>54</v>
      </c>
      <c r="E189" s="10">
        <v>11</v>
      </c>
    </row>
    <row r="190" spans="1:5">
      <c r="A190" s="9" t="s">
        <v>441</v>
      </c>
      <c r="B190" s="10">
        <v>2026</v>
      </c>
      <c r="C190" s="10">
        <v>5</v>
      </c>
      <c r="D190" s="10">
        <v>47</v>
      </c>
      <c r="E190" s="10">
        <v>5</v>
      </c>
    </row>
    <row r="191" spans="1:5">
      <c r="A191" s="9" t="s">
        <v>443</v>
      </c>
      <c r="B191" s="10">
        <v>2026</v>
      </c>
      <c r="C191" s="10">
        <v>5</v>
      </c>
      <c r="D191" s="10">
        <v>43</v>
      </c>
      <c r="E191" s="10">
        <v>5</v>
      </c>
    </row>
    <row r="192" spans="1:5">
      <c r="A192" s="9" t="s">
        <v>445</v>
      </c>
      <c r="B192" s="10">
        <v>2026</v>
      </c>
      <c r="C192" s="10">
        <v>2</v>
      </c>
      <c r="D192" s="10">
        <v>31</v>
      </c>
      <c r="E192" s="10">
        <v>3</v>
      </c>
    </row>
    <row r="193" spans="1:5">
      <c r="A193" s="9" t="s">
        <v>447</v>
      </c>
      <c r="B193" s="10">
        <v>2026</v>
      </c>
      <c r="C193" s="10">
        <v>3</v>
      </c>
      <c r="D193" s="10">
        <v>16</v>
      </c>
      <c r="E193" s="10">
        <v>11</v>
      </c>
    </row>
    <row r="194" spans="1:5">
      <c r="A194" s="9" t="s">
        <v>449</v>
      </c>
      <c r="B194" s="10">
        <v>2026</v>
      </c>
      <c r="C194" s="10">
        <v>3</v>
      </c>
      <c r="D194" s="10">
        <v>9</v>
      </c>
      <c r="E194" s="10">
        <v>12</v>
      </c>
    </row>
    <row r="195" spans="1:5">
      <c r="A195" s="9" t="s">
        <v>451</v>
      </c>
      <c r="B195" s="10">
        <v>2026</v>
      </c>
      <c r="C195" s="10">
        <v>3</v>
      </c>
      <c r="D195" s="10">
        <v>32</v>
      </c>
      <c r="E195" s="10">
        <v>9</v>
      </c>
    </row>
    <row r="196" spans="1:5">
      <c r="A196" s="9" t="s">
        <v>453</v>
      </c>
      <c r="B196" s="10">
        <v>2026</v>
      </c>
      <c r="C196" s="10">
        <v>2</v>
      </c>
      <c r="D196" s="10">
        <v>51</v>
      </c>
      <c r="E196" s="10">
        <v>7</v>
      </c>
    </row>
    <row r="197" spans="1:5">
      <c r="A197" s="9" t="s">
        <v>455</v>
      </c>
      <c r="B197" s="10">
        <v>2026</v>
      </c>
      <c r="C197" s="10">
        <v>3</v>
      </c>
      <c r="D197" s="10">
        <v>2</v>
      </c>
      <c r="E197" s="10">
        <v>4</v>
      </c>
    </row>
    <row r="198" spans="1:5">
      <c r="A198" s="9" t="s">
        <v>457</v>
      </c>
      <c r="B198" s="10">
        <v>2026</v>
      </c>
      <c r="C198" s="10">
        <v>2</v>
      </c>
      <c r="D198" s="10">
        <v>42</v>
      </c>
      <c r="E198" s="10">
        <v>6</v>
      </c>
    </row>
    <row r="199" spans="1:5">
      <c r="A199" s="9" t="s">
        <v>459</v>
      </c>
      <c r="B199" s="10">
        <v>2026</v>
      </c>
      <c r="C199" s="10">
        <v>2</v>
      </c>
      <c r="D199" s="10">
        <v>2</v>
      </c>
      <c r="E199" s="10">
        <v>9</v>
      </c>
    </row>
    <row r="200" spans="1:5">
      <c r="A200" s="9" t="s">
        <v>461</v>
      </c>
      <c r="B200" s="10">
        <v>2026</v>
      </c>
      <c r="C200" s="10">
        <v>5</v>
      </c>
      <c r="D200" s="10">
        <v>44</v>
      </c>
      <c r="E200" s="10">
        <v>11</v>
      </c>
    </row>
    <row r="201" spans="1:5">
      <c r="A201" s="9" t="s">
        <v>463</v>
      </c>
      <c r="B201" s="10">
        <v>2026</v>
      </c>
      <c r="C201" s="10">
        <v>1</v>
      </c>
      <c r="D201" s="10">
        <v>43</v>
      </c>
      <c r="E201" s="10">
        <v>9</v>
      </c>
    </row>
    <row r="202" spans="1:5">
      <c r="A202" s="9" t="s">
        <v>465</v>
      </c>
      <c r="B202" s="10">
        <v>2026</v>
      </c>
      <c r="C202" s="10">
        <v>3</v>
      </c>
      <c r="D202" s="10">
        <v>28</v>
      </c>
      <c r="E202" s="10">
        <v>12</v>
      </c>
    </row>
    <row r="203" spans="1:5">
      <c r="A203" s="9" t="s">
        <v>467</v>
      </c>
      <c r="B203" s="10">
        <v>2026</v>
      </c>
      <c r="C203" s="10">
        <v>2</v>
      </c>
      <c r="D203" s="10">
        <v>45</v>
      </c>
      <c r="E203" s="10">
        <v>3</v>
      </c>
    </row>
    <row r="204" spans="1:5">
      <c r="A204" s="9" t="s">
        <v>469</v>
      </c>
      <c r="B204" s="10">
        <v>2026</v>
      </c>
      <c r="C204" s="10">
        <v>2</v>
      </c>
      <c r="D204" s="10">
        <v>15</v>
      </c>
      <c r="E204" s="10">
        <v>10</v>
      </c>
    </row>
    <row r="205" spans="1:5">
      <c r="A205" s="9" t="s">
        <v>471</v>
      </c>
      <c r="B205" s="10">
        <v>2026</v>
      </c>
      <c r="C205" s="10">
        <v>4</v>
      </c>
      <c r="D205" s="10">
        <v>50</v>
      </c>
      <c r="E205" s="10">
        <v>12</v>
      </c>
    </row>
    <row r="206" spans="1:5">
      <c r="A206" s="9" t="s">
        <v>473</v>
      </c>
      <c r="B206" s="10">
        <v>2026</v>
      </c>
      <c r="C206" s="10">
        <v>4</v>
      </c>
      <c r="D206" s="10">
        <v>32</v>
      </c>
      <c r="E206" s="10">
        <v>8</v>
      </c>
    </row>
    <row r="207" spans="1:5">
      <c r="A207" s="9" t="s">
        <v>475</v>
      </c>
      <c r="B207" s="10">
        <v>2026</v>
      </c>
      <c r="C207" s="10">
        <v>1</v>
      </c>
      <c r="D207" s="10">
        <v>34</v>
      </c>
      <c r="E207" s="10">
        <v>5</v>
      </c>
    </row>
    <row r="208" spans="1:5">
      <c r="A208" s="9" t="s">
        <v>477</v>
      </c>
      <c r="B208" s="10">
        <v>2026</v>
      </c>
      <c r="C208" s="10">
        <v>3</v>
      </c>
      <c r="D208" s="10">
        <v>45</v>
      </c>
      <c r="E208" s="10">
        <v>11</v>
      </c>
    </row>
    <row r="209" spans="1:5">
      <c r="A209" s="9" t="s">
        <v>479</v>
      </c>
      <c r="B209" s="10">
        <v>2026</v>
      </c>
      <c r="C209" s="10">
        <v>3</v>
      </c>
      <c r="D209" s="10">
        <v>52</v>
      </c>
      <c r="E209" s="10">
        <v>9</v>
      </c>
    </row>
    <row r="210" spans="1:5">
      <c r="A210" s="9" t="s">
        <v>481</v>
      </c>
      <c r="B210" s="10">
        <v>2026</v>
      </c>
      <c r="C210" s="10">
        <v>2</v>
      </c>
      <c r="D210" s="10">
        <v>56</v>
      </c>
      <c r="E210" s="10">
        <v>5</v>
      </c>
    </row>
    <row r="211" spans="1:5">
      <c r="A211" s="9" t="s">
        <v>483</v>
      </c>
      <c r="B211" s="10">
        <v>2026</v>
      </c>
      <c r="C211" s="10">
        <v>5</v>
      </c>
      <c r="D211" s="10">
        <v>57</v>
      </c>
      <c r="E211" s="10">
        <v>5</v>
      </c>
    </row>
    <row r="212" spans="1:5">
      <c r="A212" s="9" t="s">
        <v>485</v>
      </c>
      <c r="B212" s="10">
        <v>2026</v>
      </c>
      <c r="C212" s="10">
        <v>1</v>
      </c>
      <c r="D212" s="10">
        <v>44</v>
      </c>
      <c r="E212" s="10">
        <v>12</v>
      </c>
    </row>
    <row r="213" spans="1:5">
      <c r="A213" s="9" t="s">
        <v>487</v>
      </c>
      <c r="B213" s="10">
        <v>2026</v>
      </c>
      <c r="C213" s="10">
        <v>4</v>
      </c>
      <c r="D213" s="10">
        <v>0</v>
      </c>
      <c r="E213" s="10">
        <v>5</v>
      </c>
    </row>
    <row r="214" spans="1:5">
      <c r="A214" s="9" t="s">
        <v>489</v>
      </c>
      <c r="B214" s="10">
        <v>2026</v>
      </c>
      <c r="C214" s="10">
        <v>3</v>
      </c>
      <c r="D214" s="10">
        <v>2</v>
      </c>
      <c r="E214" s="10">
        <v>10</v>
      </c>
    </row>
    <row r="215" spans="1:5">
      <c r="A215" s="9" t="s">
        <v>491</v>
      </c>
      <c r="B215" s="10">
        <v>2026</v>
      </c>
      <c r="C215" s="10">
        <v>3</v>
      </c>
      <c r="D215" s="10">
        <v>32</v>
      </c>
      <c r="E215" s="10">
        <v>4</v>
      </c>
    </row>
    <row r="216" spans="1:5">
      <c r="A216" s="9" t="s">
        <v>493</v>
      </c>
      <c r="B216" s="10">
        <v>2026</v>
      </c>
      <c r="C216" s="10">
        <v>5</v>
      </c>
      <c r="D216" s="10">
        <v>45</v>
      </c>
      <c r="E216" s="10">
        <v>8</v>
      </c>
    </row>
    <row r="217" spans="1:5">
      <c r="A217" s="9" t="s">
        <v>495</v>
      </c>
      <c r="B217" s="10">
        <v>2026</v>
      </c>
      <c r="C217" s="10">
        <v>3</v>
      </c>
      <c r="D217" s="10">
        <v>32</v>
      </c>
      <c r="E217" s="10">
        <v>9</v>
      </c>
    </row>
    <row r="218" spans="1:5">
      <c r="A218" s="9" t="s">
        <v>497</v>
      </c>
      <c r="B218" s="10">
        <v>2026</v>
      </c>
      <c r="C218" s="10">
        <v>1</v>
      </c>
      <c r="D218" s="10">
        <v>47</v>
      </c>
      <c r="E218" s="10">
        <v>9</v>
      </c>
    </row>
    <row r="219" spans="1:5">
      <c r="A219" s="9" t="s">
        <v>499</v>
      </c>
      <c r="B219" s="10">
        <v>2026</v>
      </c>
      <c r="C219" s="10">
        <v>3</v>
      </c>
      <c r="D219" s="10">
        <v>30</v>
      </c>
      <c r="E219" s="10">
        <v>9</v>
      </c>
    </row>
    <row r="220" spans="1:5">
      <c r="A220" s="9" t="s">
        <v>501</v>
      </c>
      <c r="B220" s="10">
        <v>2026</v>
      </c>
      <c r="C220" s="10">
        <v>5</v>
      </c>
      <c r="D220" s="10">
        <v>48</v>
      </c>
      <c r="E220" s="10">
        <v>11</v>
      </c>
    </row>
    <row r="221" spans="1:5">
      <c r="A221" s="9" t="s">
        <v>503</v>
      </c>
      <c r="B221" s="10">
        <v>2026</v>
      </c>
      <c r="C221" s="10">
        <v>2</v>
      </c>
      <c r="D221" s="10">
        <v>46</v>
      </c>
      <c r="E221" s="10">
        <v>7</v>
      </c>
    </row>
    <row r="222" spans="1:5">
      <c r="A222" s="9" t="s">
        <v>505</v>
      </c>
      <c r="B222" s="10">
        <v>2026</v>
      </c>
      <c r="C222" s="10">
        <v>5</v>
      </c>
      <c r="D222" s="10">
        <v>59</v>
      </c>
      <c r="E222" s="10">
        <v>3</v>
      </c>
    </row>
    <row r="223" spans="1:5">
      <c r="A223" s="9" t="s">
        <v>507</v>
      </c>
      <c r="B223" s="10">
        <v>2026</v>
      </c>
      <c r="C223" s="10">
        <v>5</v>
      </c>
      <c r="D223" s="10">
        <v>0</v>
      </c>
      <c r="E223" s="10">
        <v>3</v>
      </c>
    </row>
    <row r="224" spans="1:5">
      <c r="A224" s="9" t="s">
        <v>509</v>
      </c>
      <c r="B224" s="10">
        <v>2026</v>
      </c>
      <c r="C224" s="10">
        <v>5</v>
      </c>
      <c r="D224" s="10">
        <v>40</v>
      </c>
      <c r="E224" s="10">
        <v>2</v>
      </c>
    </row>
    <row r="225" spans="1:5">
      <c r="A225" s="9" t="s">
        <v>511</v>
      </c>
      <c r="B225" s="10">
        <v>2026</v>
      </c>
      <c r="C225" s="10">
        <v>1</v>
      </c>
      <c r="D225" s="10">
        <v>54</v>
      </c>
      <c r="E225" s="10">
        <v>6</v>
      </c>
    </row>
    <row r="226" spans="1:5">
      <c r="A226" s="9" t="s">
        <v>513</v>
      </c>
      <c r="B226" s="10">
        <v>2026</v>
      </c>
      <c r="C226" s="10">
        <v>5</v>
      </c>
      <c r="D226" s="10">
        <v>51</v>
      </c>
      <c r="E226" s="10">
        <v>3</v>
      </c>
    </row>
    <row r="227" spans="1:5">
      <c r="A227" s="9" t="s">
        <v>515</v>
      </c>
      <c r="B227" s="10">
        <v>2026</v>
      </c>
      <c r="C227" s="10">
        <v>2</v>
      </c>
      <c r="D227" s="10">
        <v>60</v>
      </c>
      <c r="E227" s="10">
        <v>2</v>
      </c>
    </row>
    <row r="228" spans="1:5">
      <c r="A228" s="9" t="s">
        <v>517</v>
      </c>
      <c r="B228" s="10">
        <v>2026</v>
      </c>
      <c r="C228" s="10">
        <v>4</v>
      </c>
      <c r="D228" s="10">
        <v>8</v>
      </c>
      <c r="E228" s="10">
        <v>0</v>
      </c>
    </row>
    <row r="229" spans="1:5">
      <c r="A229" s="9" t="s">
        <v>519</v>
      </c>
      <c r="B229" s="10">
        <v>2026</v>
      </c>
      <c r="C229" s="10">
        <v>5</v>
      </c>
      <c r="D229" s="10">
        <v>32</v>
      </c>
      <c r="E229" s="10">
        <v>0</v>
      </c>
    </row>
    <row r="230" spans="1:5">
      <c r="A230" s="9" t="s">
        <v>521</v>
      </c>
      <c r="B230" s="10">
        <v>2026</v>
      </c>
      <c r="C230" s="10">
        <v>4</v>
      </c>
      <c r="D230" s="10">
        <v>1</v>
      </c>
      <c r="E230" s="10">
        <v>2</v>
      </c>
    </row>
    <row r="231" spans="1:5">
      <c r="A231" s="9" t="s">
        <v>523</v>
      </c>
      <c r="B231" s="10">
        <v>2026</v>
      </c>
      <c r="C231" s="10">
        <v>5</v>
      </c>
      <c r="D231" s="10">
        <v>46</v>
      </c>
      <c r="E231" s="10">
        <v>8</v>
      </c>
    </row>
    <row r="232" spans="1:5">
      <c r="A232" s="9" t="s">
        <v>525</v>
      </c>
      <c r="B232" s="10">
        <v>2026</v>
      </c>
      <c r="C232" s="10">
        <v>2</v>
      </c>
      <c r="D232" s="10">
        <v>60</v>
      </c>
      <c r="E232" s="10">
        <v>3</v>
      </c>
    </row>
    <row r="233" spans="1:5">
      <c r="A233" s="9" t="s">
        <v>527</v>
      </c>
      <c r="B233" s="10">
        <v>2026</v>
      </c>
      <c r="C233" s="10">
        <v>2</v>
      </c>
      <c r="D233" s="10">
        <v>28</v>
      </c>
      <c r="E233" s="10">
        <v>0</v>
      </c>
    </row>
    <row r="234" spans="1:5">
      <c r="A234" s="9" t="s">
        <v>529</v>
      </c>
      <c r="B234" s="10">
        <v>2026</v>
      </c>
      <c r="C234" s="10">
        <v>2</v>
      </c>
      <c r="D234" s="10">
        <v>18</v>
      </c>
      <c r="E234" s="10">
        <v>9</v>
      </c>
    </row>
    <row r="235" spans="1:5">
      <c r="A235" s="9" t="s">
        <v>531</v>
      </c>
      <c r="B235" s="10">
        <v>2026</v>
      </c>
      <c r="C235" s="10">
        <v>4</v>
      </c>
      <c r="D235" s="10">
        <v>11</v>
      </c>
      <c r="E235" s="10">
        <v>10</v>
      </c>
    </row>
    <row r="236" spans="1:5">
      <c r="A236" s="9" t="s">
        <v>533</v>
      </c>
      <c r="B236" s="10">
        <v>2026</v>
      </c>
      <c r="C236" s="10">
        <v>5</v>
      </c>
      <c r="D236" s="10">
        <v>55</v>
      </c>
      <c r="E236" s="10">
        <v>0</v>
      </c>
    </row>
    <row r="237" spans="1:5">
      <c r="A237" s="9" t="s">
        <v>535</v>
      </c>
      <c r="B237" s="10">
        <v>2026</v>
      </c>
      <c r="C237" s="10">
        <v>4</v>
      </c>
      <c r="D237" s="10">
        <v>26</v>
      </c>
      <c r="E237" s="10">
        <v>11</v>
      </c>
    </row>
    <row r="238" spans="1:5">
      <c r="A238" s="9" t="s">
        <v>537</v>
      </c>
      <c r="B238" s="10">
        <v>2026</v>
      </c>
      <c r="C238" s="10">
        <v>4</v>
      </c>
      <c r="D238" s="10">
        <v>9</v>
      </c>
      <c r="E238" s="10">
        <v>2</v>
      </c>
    </row>
    <row r="239" spans="1:5">
      <c r="A239" s="9" t="s">
        <v>539</v>
      </c>
      <c r="B239" s="10">
        <v>2026</v>
      </c>
      <c r="C239" s="10">
        <v>4</v>
      </c>
      <c r="D239" s="10">
        <v>53</v>
      </c>
      <c r="E239" s="10">
        <v>12</v>
      </c>
    </row>
    <row r="240" spans="1:5">
      <c r="A240" s="9" t="s">
        <v>541</v>
      </c>
      <c r="B240" s="10">
        <v>2026</v>
      </c>
      <c r="C240" s="10">
        <v>2</v>
      </c>
      <c r="D240" s="10">
        <v>10</v>
      </c>
      <c r="E240" s="10">
        <v>4</v>
      </c>
    </row>
    <row r="241" spans="1:5">
      <c r="A241" s="9" t="s">
        <v>543</v>
      </c>
      <c r="B241" s="10">
        <v>2026</v>
      </c>
      <c r="C241" s="10">
        <v>2</v>
      </c>
      <c r="D241" s="10">
        <v>9</v>
      </c>
      <c r="E241" s="10">
        <v>7</v>
      </c>
    </row>
    <row r="242" spans="1:5">
      <c r="A242" s="9" t="s">
        <v>545</v>
      </c>
      <c r="B242" s="10">
        <v>2026</v>
      </c>
      <c r="C242" s="10">
        <v>2</v>
      </c>
      <c r="D242" s="10">
        <v>26</v>
      </c>
      <c r="E242" s="10">
        <v>1</v>
      </c>
    </row>
    <row r="243" spans="1:5">
      <c r="A243" s="9" t="s">
        <v>547</v>
      </c>
      <c r="B243" s="10">
        <v>2026</v>
      </c>
      <c r="C243" s="10">
        <v>2</v>
      </c>
      <c r="D243" s="10">
        <v>6</v>
      </c>
      <c r="E243" s="10">
        <v>9</v>
      </c>
    </row>
    <row r="244" spans="1:5">
      <c r="A244" s="9" t="s">
        <v>549</v>
      </c>
      <c r="B244" s="10">
        <v>2026</v>
      </c>
      <c r="C244" s="10">
        <v>1</v>
      </c>
      <c r="D244" s="10">
        <v>8</v>
      </c>
      <c r="E244" s="10">
        <v>3</v>
      </c>
    </row>
    <row r="245" spans="1:5">
      <c r="A245" s="9" t="s">
        <v>551</v>
      </c>
      <c r="B245" s="10">
        <v>2026</v>
      </c>
      <c r="C245" s="10">
        <v>4</v>
      </c>
      <c r="D245" s="10">
        <v>50</v>
      </c>
      <c r="E245" s="10">
        <v>0</v>
      </c>
    </row>
    <row r="246" spans="1:5">
      <c r="A246" s="9" t="s">
        <v>553</v>
      </c>
      <c r="B246" s="10">
        <v>2026</v>
      </c>
      <c r="C246" s="10">
        <v>1</v>
      </c>
      <c r="D246" s="10">
        <v>21</v>
      </c>
      <c r="E246" s="10">
        <v>3</v>
      </c>
    </row>
    <row r="247" spans="1:5">
      <c r="A247" s="9" t="s">
        <v>555</v>
      </c>
      <c r="B247" s="10">
        <v>2026</v>
      </c>
      <c r="C247" s="10">
        <v>4</v>
      </c>
      <c r="D247" s="10">
        <v>13</v>
      </c>
      <c r="E247" s="10">
        <v>2</v>
      </c>
    </row>
    <row r="248" spans="1:5">
      <c r="A248" s="9" t="s">
        <v>557</v>
      </c>
      <c r="B248" s="10">
        <v>2026</v>
      </c>
      <c r="C248" s="10">
        <v>3</v>
      </c>
      <c r="D248" s="10">
        <v>41</v>
      </c>
      <c r="E248" s="10">
        <v>12</v>
      </c>
    </row>
    <row r="249" spans="1:5">
      <c r="A249" s="9" t="s">
        <v>559</v>
      </c>
      <c r="B249" s="10">
        <v>2026</v>
      </c>
      <c r="C249" s="10">
        <v>5</v>
      </c>
      <c r="D249" s="10">
        <v>58</v>
      </c>
      <c r="E249" s="10">
        <v>0</v>
      </c>
    </row>
    <row r="250" spans="1:5">
      <c r="A250" s="9" t="s">
        <v>561</v>
      </c>
      <c r="B250" s="10">
        <v>2026</v>
      </c>
      <c r="C250" s="10">
        <v>5</v>
      </c>
      <c r="D250" s="10">
        <v>34</v>
      </c>
      <c r="E250" s="10">
        <v>6</v>
      </c>
    </row>
    <row r="251" spans="1:5">
      <c r="A251" s="9" t="s">
        <v>563</v>
      </c>
      <c r="B251" s="10">
        <v>2026</v>
      </c>
      <c r="C251" s="10">
        <v>5</v>
      </c>
      <c r="D251" s="10">
        <v>11</v>
      </c>
      <c r="E251" s="10">
        <v>6</v>
      </c>
    </row>
    <row r="252" spans="1:5">
      <c r="A252" s="9" t="s">
        <v>565</v>
      </c>
      <c r="B252" s="10">
        <v>2026</v>
      </c>
      <c r="C252" s="10">
        <v>4</v>
      </c>
      <c r="D252" s="10">
        <v>29</v>
      </c>
      <c r="E252" s="10">
        <v>3</v>
      </c>
    </row>
    <row r="253" spans="1:5">
      <c r="A253" s="9" t="s">
        <v>567</v>
      </c>
      <c r="B253" s="10">
        <v>2026</v>
      </c>
      <c r="C253" s="10">
        <v>3</v>
      </c>
      <c r="D253" s="10">
        <v>20</v>
      </c>
      <c r="E253" s="10">
        <v>4</v>
      </c>
    </row>
    <row r="254" spans="1:5">
      <c r="A254" s="9" t="s">
        <v>569</v>
      </c>
      <c r="B254" s="10">
        <v>2026</v>
      </c>
      <c r="C254" s="10">
        <v>1</v>
      </c>
      <c r="D254" s="10">
        <v>32</v>
      </c>
      <c r="E254" s="10">
        <v>5</v>
      </c>
    </row>
    <row r="255" spans="1:5">
      <c r="A255" s="9" t="s">
        <v>571</v>
      </c>
      <c r="B255" s="10">
        <v>2026</v>
      </c>
      <c r="C255" s="10">
        <v>5</v>
      </c>
      <c r="D255" s="10">
        <v>2</v>
      </c>
      <c r="E255" s="10">
        <v>11</v>
      </c>
    </row>
    <row r="256" spans="1:5">
      <c r="A256" s="9" t="s">
        <v>573</v>
      </c>
      <c r="B256" s="10">
        <v>2026</v>
      </c>
      <c r="C256" s="10">
        <v>1</v>
      </c>
      <c r="D256" s="10">
        <v>50</v>
      </c>
      <c r="E256" s="10">
        <v>7</v>
      </c>
    </row>
    <row r="257" spans="1:5">
      <c r="A257" s="9" t="s">
        <v>575</v>
      </c>
      <c r="B257" s="10">
        <v>2026</v>
      </c>
      <c r="C257" s="10">
        <v>4</v>
      </c>
      <c r="D257" s="10">
        <v>43</v>
      </c>
      <c r="E257" s="10">
        <v>6</v>
      </c>
    </row>
    <row r="258" spans="1:5">
      <c r="A258" s="9" t="s">
        <v>577</v>
      </c>
      <c r="B258" s="10">
        <v>2026</v>
      </c>
      <c r="C258" s="10">
        <v>3</v>
      </c>
      <c r="D258" s="10">
        <v>55</v>
      </c>
      <c r="E258" s="10">
        <v>5</v>
      </c>
    </row>
    <row r="259" spans="1:5">
      <c r="A259" s="9" t="s">
        <v>579</v>
      </c>
      <c r="B259" s="10">
        <v>2026</v>
      </c>
      <c r="C259" s="10">
        <v>2</v>
      </c>
      <c r="D259" s="10">
        <v>56</v>
      </c>
      <c r="E259" s="10">
        <v>9</v>
      </c>
    </row>
    <row r="260" spans="1:5">
      <c r="A260" s="9" t="s">
        <v>581</v>
      </c>
      <c r="B260" s="10">
        <v>2026</v>
      </c>
      <c r="C260" s="10">
        <v>1</v>
      </c>
      <c r="D260" s="10">
        <v>2</v>
      </c>
      <c r="E260" s="10">
        <v>4</v>
      </c>
    </row>
    <row r="261" spans="1:5">
      <c r="A261" s="9" t="s">
        <v>583</v>
      </c>
      <c r="B261" s="10">
        <v>2026</v>
      </c>
      <c r="C261" s="10">
        <v>3</v>
      </c>
      <c r="D261" s="10">
        <v>12</v>
      </c>
      <c r="E261" s="10">
        <v>12</v>
      </c>
    </row>
    <row r="262" spans="1:5">
      <c r="A262" s="9" t="s">
        <v>585</v>
      </c>
      <c r="B262" s="10">
        <v>2026</v>
      </c>
      <c r="C262" s="10">
        <v>4</v>
      </c>
      <c r="D262" s="10">
        <v>38</v>
      </c>
      <c r="E262" s="10">
        <v>3</v>
      </c>
    </row>
    <row r="263" spans="1:5">
      <c r="A263" s="9" t="s">
        <v>587</v>
      </c>
      <c r="B263" s="10">
        <v>2026</v>
      </c>
      <c r="C263" s="10">
        <v>2</v>
      </c>
      <c r="D263" s="10">
        <v>29</v>
      </c>
      <c r="E263" s="10">
        <v>3</v>
      </c>
    </row>
    <row r="264" spans="1:5">
      <c r="A264" s="9" t="s">
        <v>589</v>
      </c>
      <c r="B264" s="10">
        <v>2026</v>
      </c>
      <c r="C264" s="10">
        <v>5</v>
      </c>
      <c r="D264" s="10">
        <v>45</v>
      </c>
      <c r="E264" s="10">
        <v>3</v>
      </c>
    </row>
    <row r="265" spans="1:5">
      <c r="A265" s="9" t="s">
        <v>591</v>
      </c>
      <c r="B265" s="10">
        <v>2026</v>
      </c>
      <c r="C265" s="10">
        <v>2</v>
      </c>
      <c r="D265" s="10">
        <v>57</v>
      </c>
      <c r="E265" s="10">
        <v>0</v>
      </c>
    </row>
    <row r="266" spans="1:5">
      <c r="A266" s="9" t="s">
        <v>593</v>
      </c>
      <c r="B266" s="10">
        <v>2026</v>
      </c>
      <c r="C266" s="10">
        <v>2</v>
      </c>
      <c r="D266" s="10">
        <v>47</v>
      </c>
      <c r="E266" s="10">
        <v>6</v>
      </c>
    </row>
    <row r="267" spans="1:5">
      <c r="A267" s="9" t="s">
        <v>595</v>
      </c>
      <c r="B267" s="10">
        <v>2026</v>
      </c>
      <c r="C267" s="10">
        <v>4</v>
      </c>
      <c r="D267" s="10">
        <v>52</v>
      </c>
      <c r="E267" s="10">
        <v>4</v>
      </c>
    </row>
    <row r="268" spans="1:5">
      <c r="A268" s="9" t="s">
        <v>597</v>
      </c>
      <c r="B268" s="10">
        <v>2026</v>
      </c>
      <c r="C268" s="10">
        <v>4</v>
      </c>
      <c r="D268" s="10">
        <v>47</v>
      </c>
      <c r="E268" s="10">
        <v>0</v>
      </c>
    </row>
    <row r="269" spans="1:5">
      <c r="A269" s="9" t="s">
        <v>599</v>
      </c>
      <c r="B269" s="10">
        <v>2026</v>
      </c>
      <c r="C269" s="10">
        <v>2</v>
      </c>
      <c r="D269" s="10">
        <v>23</v>
      </c>
      <c r="E269" s="10">
        <v>11</v>
      </c>
    </row>
    <row r="270" spans="1:5">
      <c r="A270" s="9" t="s">
        <v>601</v>
      </c>
      <c r="B270" s="10">
        <v>2026</v>
      </c>
      <c r="C270" s="10">
        <v>1</v>
      </c>
      <c r="D270" s="10">
        <v>40</v>
      </c>
      <c r="E270" s="10">
        <v>6</v>
      </c>
    </row>
    <row r="271" spans="1:5">
      <c r="A271" s="9" t="s">
        <v>603</v>
      </c>
      <c r="B271" s="10">
        <v>2026</v>
      </c>
      <c r="C271" s="10">
        <v>4</v>
      </c>
      <c r="D271" s="10">
        <v>19</v>
      </c>
      <c r="E271" s="10">
        <v>6</v>
      </c>
    </row>
    <row r="272" spans="1:5">
      <c r="A272" s="9" t="s">
        <v>605</v>
      </c>
      <c r="B272" s="10">
        <v>2026</v>
      </c>
      <c r="C272" s="10">
        <v>5</v>
      </c>
      <c r="D272" s="10">
        <v>25</v>
      </c>
      <c r="E272" s="10">
        <v>6</v>
      </c>
    </row>
    <row r="273" spans="1:5">
      <c r="A273" s="9" t="s">
        <v>607</v>
      </c>
      <c r="B273" s="10">
        <v>2026</v>
      </c>
      <c r="C273" s="10">
        <v>4</v>
      </c>
      <c r="D273" s="10">
        <v>5</v>
      </c>
      <c r="E273" s="10">
        <v>6</v>
      </c>
    </row>
    <row r="274" spans="1:5">
      <c r="A274" s="9" t="s">
        <v>609</v>
      </c>
      <c r="B274" s="10">
        <v>2026</v>
      </c>
      <c r="C274" s="10">
        <v>2</v>
      </c>
      <c r="D274" s="10">
        <v>53</v>
      </c>
      <c r="E274" s="10">
        <v>11</v>
      </c>
    </row>
    <row r="275" spans="1:5">
      <c r="A275" s="9" t="s">
        <v>611</v>
      </c>
      <c r="B275" s="10">
        <v>2026</v>
      </c>
      <c r="C275" s="10">
        <v>4</v>
      </c>
      <c r="D275" s="10">
        <v>6</v>
      </c>
      <c r="E275" s="10">
        <v>0</v>
      </c>
    </row>
    <row r="276" spans="1:5">
      <c r="A276" s="9" t="s">
        <v>613</v>
      </c>
      <c r="B276" s="10">
        <v>2026</v>
      </c>
      <c r="C276" s="10">
        <v>4</v>
      </c>
      <c r="D276" s="10">
        <v>6</v>
      </c>
      <c r="E276" s="10">
        <v>4</v>
      </c>
    </row>
    <row r="277" spans="1:5">
      <c r="A277" s="9" t="s">
        <v>615</v>
      </c>
      <c r="B277" s="10">
        <v>2026</v>
      </c>
      <c r="C277" s="10">
        <v>2</v>
      </c>
      <c r="D277" s="10">
        <v>8</v>
      </c>
      <c r="E277" s="10">
        <v>5</v>
      </c>
    </row>
    <row r="278" spans="1:5">
      <c r="A278" s="9" t="s">
        <v>617</v>
      </c>
      <c r="B278" s="10">
        <v>2026</v>
      </c>
      <c r="C278" s="10">
        <v>2</v>
      </c>
      <c r="D278" s="10">
        <v>51</v>
      </c>
      <c r="E278" s="10">
        <v>7</v>
      </c>
    </row>
    <row r="279" spans="1:5">
      <c r="A279" s="9" t="s">
        <v>619</v>
      </c>
      <c r="B279" s="10">
        <v>2026</v>
      </c>
      <c r="C279" s="10">
        <v>2</v>
      </c>
      <c r="D279" s="10">
        <v>33</v>
      </c>
      <c r="E279" s="10">
        <v>0</v>
      </c>
    </row>
    <row r="280" spans="1:5">
      <c r="A280" s="9" t="s">
        <v>621</v>
      </c>
      <c r="B280" s="10">
        <v>2026</v>
      </c>
      <c r="C280" s="10">
        <v>2</v>
      </c>
      <c r="D280" s="10">
        <v>31</v>
      </c>
      <c r="E280" s="10">
        <v>3</v>
      </c>
    </row>
    <row r="281" spans="1:5">
      <c r="A281" s="9" t="s">
        <v>623</v>
      </c>
      <c r="B281" s="10">
        <v>2026</v>
      </c>
      <c r="C281" s="10">
        <v>1</v>
      </c>
      <c r="D281" s="10">
        <v>13</v>
      </c>
      <c r="E281" s="10">
        <v>0</v>
      </c>
    </row>
    <row r="282" spans="1:5">
      <c r="A282" s="9" t="s">
        <v>625</v>
      </c>
      <c r="B282" s="10">
        <v>2026</v>
      </c>
      <c r="C282" s="10">
        <v>1</v>
      </c>
      <c r="D282" s="10">
        <v>47</v>
      </c>
      <c r="E282" s="10">
        <v>4</v>
      </c>
    </row>
    <row r="283" spans="1:5">
      <c r="A283" s="9" t="s">
        <v>627</v>
      </c>
      <c r="B283" s="10">
        <v>2026</v>
      </c>
      <c r="C283" s="10">
        <v>1</v>
      </c>
      <c r="D283" s="10">
        <v>17</v>
      </c>
      <c r="E283" s="10">
        <v>11</v>
      </c>
    </row>
    <row r="284" spans="1:5">
      <c r="A284" s="9" t="s">
        <v>629</v>
      </c>
      <c r="B284" s="10">
        <v>2026</v>
      </c>
      <c r="C284" s="10">
        <v>5</v>
      </c>
      <c r="D284" s="10">
        <v>1</v>
      </c>
      <c r="E284" s="10">
        <v>8</v>
      </c>
    </row>
    <row r="285" spans="1:5">
      <c r="A285" s="9" t="s">
        <v>631</v>
      </c>
      <c r="B285" s="10">
        <v>2026</v>
      </c>
      <c r="C285" s="10">
        <v>2</v>
      </c>
      <c r="D285" s="10">
        <v>58</v>
      </c>
      <c r="E285" s="10">
        <v>6</v>
      </c>
    </row>
    <row r="286" spans="1:5">
      <c r="A286" s="9" t="s">
        <v>633</v>
      </c>
      <c r="B286" s="10">
        <v>2026</v>
      </c>
      <c r="C286" s="10">
        <v>3</v>
      </c>
      <c r="D286" s="10">
        <v>37</v>
      </c>
      <c r="E286" s="10">
        <v>3</v>
      </c>
    </row>
    <row r="287" spans="1:5">
      <c r="A287" s="9" t="s">
        <v>635</v>
      </c>
      <c r="B287" s="10">
        <v>2026</v>
      </c>
      <c r="C287" s="10">
        <v>3</v>
      </c>
      <c r="D287" s="10">
        <v>14</v>
      </c>
      <c r="E287" s="10">
        <v>2</v>
      </c>
    </row>
    <row r="288" spans="1:5">
      <c r="A288" s="9" t="s">
        <v>637</v>
      </c>
      <c r="B288" s="10">
        <v>2026</v>
      </c>
      <c r="C288" s="10">
        <v>1</v>
      </c>
      <c r="D288" s="10">
        <v>22</v>
      </c>
      <c r="E288" s="10">
        <v>10</v>
      </c>
    </row>
    <row r="289" spans="1:5">
      <c r="A289" s="9" t="s">
        <v>639</v>
      </c>
      <c r="B289" s="10">
        <v>2026</v>
      </c>
      <c r="C289" s="10">
        <v>4</v>
      </c>
      <c r="D289" s="10">
        <v>30</v>
      </c>
      <c r="E289" s="10">
        <v>10</v>
      </c>
    </row>
    <row r="290" spans="1:5">
      <c r="A290" s="9" t="s">
        <v>641</v>
      </c>
      <c r="B290" s="10">
        <v>2026</v>
      </c>
      <c r="C290" s="10">
        <v>1</v>
      </c>
      <c r="D290" s="10">
        <v>44</v>
      </c>
      <c r="E290" s="10">
        <v>11</v>
      </c>
    </row>
    <row r="291" spans="1:5">
      <c r="A291" s="9" t="s">
        <v>643</v>
      </c>
      <c r="B291" s="10">
        <v>2026</v>
      </c>
      <c r="C291" s="10">
        <v>5</v>
      </c>
      <c r="D291" s="10">
        <v>48</v>
      </c>
      <c r="E291" s="10">
        <v>12</v>
      </c>
    </row>
    <row r="292" spans="1:5">
      <c r="A292" s="9" t="s">
        <v>645</v>
      </c>
      <c r="B292" s="10">
        <v>2026</v>
      </c>
      <c r="C292" s="10">
        <v>3</v>
      </c>
      <c r="D292" s="10">
        <v>39</v>
      </c>
      <c r="E292" s="10">
        <v>9</v>
      </c>
    </row>
    <row r="293" spans="1:5">
      <c r="A293" s="9" t="s">
        <v>647</v>
      </c>
      <c r="B293" s="10">
        <v>2026</v>
      </c>
      <c r="C293" s="10">
        <v>3</v>
      </c>
      <c r="D293" s="10">
        <v>28</v>
      </c>
      <c r="E293" s="10">
        <v>8</v>
      </c>
    </row>
    <row r="294" spans="1:5">
      <c r="A294" s="9" t="s">
        <v>649</v>
      </c>
      <c r="B294" s="10">
        <v>2026</v>
      </c>
      <c r="C294" s="10">
        <v>5</v>
      </c>
      <c r="D294" s="10">
        <v>2</v>
      </c>
      <c r="E294" s="10">
        <v>1</v>
      </c>
    </row>
    <row r="295" spans="1:5">
      <c r="A295" s="9" t="s">
        <v>651</v>
      </c>
      <c r="B295" s="10">
        <v>2026</v>
      </c>
      <c r="C295" s="10">
        <v>3</v>
      </c>
      <c r="D295" s="10">
        <v>24</v>
      </c>
      <c r="E295" s="10">
        <v>5</v>
      </c>
    </row>
    <row r="296" spans="1:5">
      <c r="A296" s="9" t="s">
        <v>653</v>
      </c>
      <c r="B296" s="10">
        <v>2026</v>
      </c>
      <c r="C296" s="10">
        <v>3</v>
      </c>
      <c r="D296" s="10">
        <v>4</v>
      </c>
      <c r="E296" s="10">
        <v>8</v>
      </c>
    </row>
    <row r="297" spans="1:5">
      <c r="A297" s="9" t="s">
        <v>655</v>
      </c>
      <c r="B297" s="10">
        <v>2026</v>
      </c>
      <c r="C297" s="10">
        <v>3</v>
      </c>
      <c r="D297" s="10">
        <v>29</v>
      </c>
      <c r="E297" s="10">
        <v>0</v>
      </c>
    </row>
    <row r="298" spans="1:5">
      <c r="A298" s="9" t="s">
        <v>657</v>
      </c>
      <c r="B298" s="10">
        <v>2026</v>
      </c>
      <c r="C298" s="10">
        <v>3</v>
      </c>
      <c r="D298" s="10">
        <v>41</v>
      </c>
      <c r="E298" s="10">
        <v>6</v>
      </c>
    </row>
    <row r="299" spans="1:5">
      <c r="A299" s="9" t="s">
        <v>659</v>
      </c>
      <c r="B299" s="10">
        <v>2026</v>
      </c>
      <c r="C299" s="10">
        <v>3</v>
      </c>
      <c r="D299" s="10">
        <v>21</v>
      </c>
      <c r="E299" s="10">
        <v>10</v>
      </c>
    </row>
    <row r="300" spans="1:5">
      <c r="A300" s="9" t="s">
        <v>661</v>
      </c>
      <c r="B300" s="10">
        <v>2026</v>
      </c>
      <c r="C300" s="10">
        <v>5</v>
      </c>
      <c r="D300" s="10">
        <v>31</v>
      </c>
      <c r="E300" s="10">
        <v>0</v>
      </c>
    </row>
    <row r="301" spans="1:5">
      <c r="A301" s="9" t="s">
        <v>663</v>
      </c>
      <c r="B301" s="10">
        <v>2026</v>
      </c>
      <c r="C301" s="10">
        <v>1</v>
      </c>
      <c r="D301" s="10">
        <v>48</v>
      </c>
      <c r="E301" s="10">
        <v>8</v>
      </c>
    </row>
    <row r="302" spans="1:5">
      <c r="A302" s="9" t="s">
        <v>665</v>
      </c>
      <c r="B302" s="10">
        <v>2026</v>
      </c>
      <c r="C302" s="10">
        <v>4</v>
      </c>
      <c r="D302" s="10">
        <v>28</v>
      </c>
      <c r="E302" s="10">
        <v>6</v>
      </c>
    </row>
    <row r="303" spans="1:5">
      <c r="A303" s="9" t="s">
        <v>667</v>
      </c>
      <c r="B303" s="10">
        <v>2026</v>
      </c>
      <c r="C303" s="10">
        <v>2</v>
      </c>
      <c r="D303" s="10">
        <v>9</v>
      </c>
      <c r="E303" s="10">
        <v>12</v>
      </c>
    </row>
    <row r="304" spans="1:5">
      <c r="A304" s="9" t="s">
        <v>669</v>
      </c>
      <c r="B304" s="10">
        <v>2026</v>
      </c>
      <c r="C304" s="10">
        <v>1</v>
      </c>
      <c r="D304" s="10">
        <v>57</v>
      </c>
      <c r="E304" s="10">
        <v>0</v>
      </c>
    </row>
    <row r="305" spans="1:5">
      <c r="A305" s="9" t="s">
        <v>671</v>
      </c>
      <c r="B305" s="10">
        <v>2026</v>
      </c>
      <c r="C305" s="10">
        <v>5</v>
      </c>
      <c r="D305" s="10">
        <v>27</v>
      </c>
      <c r="E305" s="10">
        <v>0</v>
      </c>
    </row>
    <row r="306" spans="1:5">
      <c r="A306" s="9" t="s">
        <v>673</v>
      </c>
      <c r="B306" s="10">
        <v>2026</v>
      </c>
      <c r="C306" s="10">
        <v>2</v>
      </c>
      <c r="D306" s="10">
        <v>19</v>
      </c>
      <c r="E306" s="10">
        <v>2</v>
      </c>
    </row>
    <row r="307" spans="1:5">
      <c r="A307" s="9" t="s">
        <v>675</v>
      </c>
      <c r="B307" s="10">
        <v>2026</v>
      </c>
      <c r="C307" s="10">
        <v>2</v>
      </c>
      <c r="D307" s="10">
        <v>23</v>
      </c>
      <c r="E307" s="10">
        <v>5</v>
      </c>
    </row>
    <row r="308" spans="1:5">
      <c r="A308" s="9" t="s">
        <v>677</v>
      </c>
      <c r="B308" s="10">
        <v>2026</v>
      </c>
      <c r="C308" s="10">
        <v>2</v>
      </c>
      <c r="D308" s="10">
        <v>38</v>
      </c>
      <c r="E308" s="10">
        <v>11</v>
      </c>
    </row>
    <row r="309" spans="1:5">
      <c r="A309" s="9" t="s">
        <v>679</v>
      </c>
      <c r="B309" s="10">
        <v>2026</v>
      </c>
      <c r="C309" s="10">
        <v>3</v>
      </c>
      <c r="D309" s="10">
        <v>17</v>
      </c>
      <c r="E309" s="10">
        <v>8</v>
      </c>
    </row>
    <row r="310" spans="1:5">
      <c r="A310" s="9" t="s">
        <v>681</v>
      </c>
      <c r="B310" s="10">
        <v>2026</v>
      </c>
      <c r="C310" s="10">
        <v>1</v>
      </c>
      <c r="D310" s="10">
        <v>26</v>
      </c>
      <c r="E310" s="10">
        <v>8</v>
      </c>
    </row>
    <row r="311" spans="1:5">
      <c r="A311" s="9" t="s">
        <v>683</v>
      </c>
      <c r="B311" s="10">
        <v>2026</v>
      </c>
      <c r="C311" s="10">
        <v>3</v>
      </c>
      <c r="D311" s="10">
        <v>60</v>
      </c>
      <c r="E311" s="10">
        <v>12</v>
      </c>
    </row>
    <row r="312" spans="1:5">
      <c r="A312" s="9" t="s">
        <v>685</v>
      </c>
      <c r="B312" s="10">
        <v>2026</v>
      </c>
      <c r="C312" s="10">
        <v>2</v>
      </c>
      <c r="D312" s="10">
        <v>44</v>
      </c>
      <c r="E312" s="10">
        <v>1</v>
      </c>
    </row>
    <row r="313" spans="1:5">
      <c r="A313" s="9" t="s">
        <v>687</v>
      </c>
      <c r="B313" s="10">
        <v>2026</v>
      </c>
      <c r="C313" s="10">
        <v>4</v>
      </c>
      <c r="D313" s="10">
        <v>13</v>
      </c>
      <c r="E313" s="10">
        <v>5</v>
      </c>
    </row>
    <row r="314" spans="1:5">
      <c r="A314" s="9" t="s">
        <v>689</v>
      </c>
      <c r="B314" s="10">
        <v>2026</v>
      </c>
      <c r="C314" s="10">
        <v>5</v>
      </c>
      <c r="D314" s="10">
        <v>50</v>
      </c>
      <c r="E314" s="10">
        <v>6</v>
      </c>
    </row>
    <row r="315" spans="1:5">
      <c r="A315" s="9" t="s">
        <v>691</v>
      </c>
      <c r="B315" s="10">
        <v>2026</v>
      </c>
      <c r="C315" s="10">
        <v>3</v>
      </c>
      <c r="D315" s="10">
        <v>16</v>
      </c>
      <c r="E315" s="10">
        <v>5</v>
      </c>
    </row>
    <row r="316" spans="1:5">
      <c r="A316" s="9" t="s">
        <v>693</v>
      </c>
      <c r="B316" s="10">
        <v>2026</v>
      </c>
      <c r="C316" s="10">
        <v>1</v>
      </c>
      <c r="D316" s="10">
        <v>28</v>
      </c>
      <c r="E316" s="10">
        <v>8</v>
      </c>
    </row>
    <row r="317" spans="1:5">
      <c r="A317" s="9" t="s">
        <v>695</v>
      </c>
      <c r="B317" s="10">
        <v>2026</v>
      </c>
      <c r="C317" s="10">
        <v>5</v>
      </c>
      <c r="D317" s="10">
        <v>39</v>
      </c>
      <c r="E317" s="10">
        <v>7</v>
      </c>
    </row>
    <row r="318" spans="1:5">
      <c r="A318" s="9" t="s">
        <v>697</v>
      </c>
      <c r="B318" s="10">
        <v>2026</v>
      </c>
      <c r="C318" s="10">
        <v>2</v>
      </c>
      <c r="D318" s="10">
        <v>40</v>
      </c>
      <c r="E318" s="10">
        <v>3</v>
      </c>
    </row>
    <row r="319" spans="1:5">
      <c r="A319" s="9" t="s">
        <v>699</v>
      </c>
      <c r="B319" s="10">
        <v>2026</v>
      </c>
      <c r="C319" s="10">
        <v>2</v>
      </c>
      <c r="D319" s="10">
        <v>32</v>
      </c>
      <c r="E319" s="10">
        <v>5</v>
      </c>
    </row>
    <row r="320" spans="1:5">
      <c r="A320" s="9" t="s">
        <v>701</v>
      </c>
      <c r="B320" s="10">
        <v>2026</v>
      </c>
      <c r="C320" s="10">
        <v>3</v>
      </c>
      <c r="D320" s="10">
        <v>39</v>
      </c>
      <c r="E320" s="10">
        <v>11</v>
      </c>
    </row>
    <row r="321" spans="1:5">
      <c r="A321" s="9" t="s">
        <v>703</v>
      </c>
      <c r="B321" s="10">
        <v>2026</v>
      </c>
      <c r="C321" s="10">
        <v>2</v>
      </c>
      <c r="D321" s="10">
        <v>30</v>
      </c>
      <c r="E321" s="10">
        <v>12</v>
      </c>
    </row>
    <row r="322" spans="1:5">
      <c r="A322" s="9" t="s">
        <v>705</v>
      </c>
      <c r="B322" s="10">
        <v>2026</v>
      </c>
      <c r="C322" s="10">
        <v>5</v>
      </c>
      <c r="D322" s="10">
        <v>54</v>
      </c>
      <c r="E322" s="10">
        <v>9</v>
      </c>
    </row>
    <row r="323" spans="1:5">
      <c r="A323" s="9" t="s">
        <v>707</v>
      </c>
      <c r="B323" s="10">
        <v>2026</v>
      </c>
      <c r="C323" s="10">
        <v>3</v>
      </c>
      <c r="D323" s="10">
        <v>22</v>
      </c>
      <c r="E323" s="10">
        <v>5</v>
      </c>
    </row>
    <row r="324" spans="1:5">
      <c r="A324" s="9" t="s">
        <v>709</v>
      </c>
      <c r="B324" s="10">
        <v>2026</v>
      </c>
      <c r="C324" s="10">
        <v>3</v>
      </c>
      <c r="D324" s="10">
        <v>20</v>
      </c>
      <c r="E324" s="10">
        <v>11</v>
      </c>
    </row>
    <row r="325" spans="1:5">
      <c r="A325" s="9" t="s">
        <v>711</v>
      </c>
      <c r="B325" s="10">
        <v>2026</v>
      </c>
      <c r="C325" s="10">
        <v>4</v>
      </c>
      <c r="D325" s="10">
        <v>3</v>
      </c>
      <c r="E325" s="10">
        <v>4</v>
      </c>
    </row>
    <row r="326" spans="1:5">
      <c r="A326" s="9" t="s">
        <v>713</v>
      </c>
      <c r="B326" s="10">
        <v>2026</v>
      </c>
      <c r="C326" s="10">
        <v>1</v>
      </c>
      <c r="D326" s="10">
        <v>15</v>
      </c>
      <c r="E326" s="10">
        <v>12</v>
      </c>
    </row>
    <row r="327" spans="1:5">
      <c r="A327" s="9" t="s">
        <v>715</v>
      </c>
      <c r="B327" s="10">
        <v>2026</v>
      </c>
      <c r="C327" s="10">
        <v>1</v>
      </c>
      <c r="D327" s="10">
        <v>52</v>
      </c>
      <c r="E327" s="10">
        <v>0</v>
      </c>
    </row>
    <row r="328" spans="1:5">
      <c r="A328" s="9" t="s">
        <v>717</v>
      </c>
      <c r="B328" s="10">
        <v>2026</v>
      </c>
      <c r="C328" s="10">
        <v>5</v>
      </c>
      <c r="D328" s="10">
        <v>47</v>
      </c>
      <c r="E328" s="10">
        <v>8</v>
      </c>
    </row>
    <row r="329" spans="1:5">
      <c r="A329" s="9" t="s">
        <v>719</v>
      </c>
      <c r="B329" s="10">
        <v>2026</v>
      </c>
      <c r="C329" s="10">
        <v>5</v>
      </c>
      <c r="D329" s="10">
        <v>40</v>
      </c>
      <c r="E329" s="10">
        <v>7</v>
      </c>
    </row>
    <row r="330" spans="1:5">
      <c r="A330" s="9" t="s">
        <v>721</v>
      </c>
      <c r="B330" s="10">
        <v>2026</v>
      </c>
      <c r="C330" s="10">
        <v>5</v>
      </c>
      <c r="D330" s="10">
        <v>53</v>
      </c>
      <c r="E330" s="10">
        <v>5</v>
      </c>
    </row>
    <row r="331" spans="1:5">
      <c r="A331" s="9" t="s">
        <v>723</v>
      </c>
      <c r="B331" s="10">
        <v>2026</v>
      </c>
      <c r="C331" s="10">
        <v>1</v>
      </c>
      <c r="D331" s="10">
        <v>49</v>
      </c>
      <c r="E331" s="10">
        <v>1</v>
      </c>
    </row>
    <row r="332" spans="1:5">
      <c r="A332" s="9" t="s">
        <v>725</v>
      </c>
      <c r="B332" s="10">
        <v>2026</v>
      </c>
      <c r="C332" s="10">
        <v>1</v>
      </c>
      <c r="D332" s="10">
        <v>48</v>
      </c>
      <c r="E332" s="10">
        <v>7</v>
      </c>
    </row>
    <row r="333" spans="1:5">
      <c r="A333" s="9" t="s">
        <v>727</v>
      </c>
      <c r="B333" s="10">
        <v>2026</v>
      </c>
      <c r="C333" s="10">
        <v>5</v>
      </c>
      <c r="D333" s="10">
        <v>48</v>
      </c>
      <c r="E333" s="10">
        <v>12</v>
      </c>
    </row>
    <row r="334" spans="1:5">
      <c r="A334" s="9" t="s">
        <v>729</v>
      </c>
      <c r="B334" s="10">
        <v>2026</v>
      </c>
      <c r="C334" s="10">
        <v>3</v>
      </c>
      <c r="D334" s="10">
        <v>59</v>
      </c>
      <c r="E334" s="10">
        <v>8</v>
      </c>
    </row>
    <row r="335" spans="1:5">
      <c r="A335" s="9" t="s">
        <v>731</v>
      </c>
      <c r="B335" s="10">
        <v>2026</v>
      </c>
      <c r="C335" s="10">
        <v>3</v>
      </c>
      <c r="D335" s="10">
        <v>50</v>
      </c>
      <c r="E335" s="10">
        <v>0</v>
      </c>
    </row>
    <row r="336" spans="1:5">
      <c r="A336" s="9" t="s">
        <v>733</v>
      </c>
      <c r="B336" s="10">
        <v>2026</v>
      </c>
      <c r="C336" s="10">
        <v>1</v>
      </c>
      <c r="D336" s="10">
        <v>51</v>
      </c>
      <c r="E336" s="10">
        <v>7</v>
      </c>
    </row>
    <row r="337" spans="1:5">
      <c r="A337" s="9" t="s">
        <v>735</v>
      </c>
      <c r="B337" s="10">
        <v>2026</v>
      </c>
      <c r="C337" s="10">
        <v>2</v>
      </c>
      <c r="D337" s="10">
        <v>57</v>
      </c>
      <c r="E337" s="10">
        <v>8</v>
      </c>
    </row>
    <row r="338" spans="1:5">
      <c r="A338" s="9" t="s">
        <v>737</v>
      </c>
      <c r="B338" s="10">
        <v>2026</v>
      </c>
      <c r="C338" s="10">
        <v>1</v>
      </c>
      <c r="D338" s="10">
        <v>2</v>
      </c>
      <c r="E338" s="10">
        <v>1</v>
      </c>
    </row>
    <row r="339" spans="1:5">
      <c r="A339" s="9" t="s">
        <v>739</v>
      </c>
      <c r="B339" s="10">
        <v>2026</v>
      </c>
      <c r="C339" s="10">
        <v>1</v>
      </c>
      <c r="D339" s="10">
        <v>49</v>
      </c>
      <c r="E339" s="10">
        <v>0</v>
      </c>
    </row>
    <row r="340" spans="1:5">
      <c r="A340" s="9" t="s">
        <v>741</v>
      </c>
      <c r="B340" s="10">
        <v>2026</v>
      </c>
      <c r="C340" s="10">
        <v>3</v>
      </c>
      <c r="D340" s="10">
        <v>21</v>
      </c>
      <c r="E340" s="10">
        <v>6</v>
      </c>
    </row>
    <row r="341" spans="1:5">
      <c r="A341" s="9" t="s">
        <v>743</v>
      </c>
      <c r="B341" s="10">
        <v>2026</v>
      </c>
      <c r="C341" s="10">
        <v>3</v>
      </c>
      <c r="D341" s="10">
        <v>9</v>
      </c>
      <c r="E341" s="10">
        <v>8</v>
      </c>
    </row>
    <row r="342" spans="1:5">
      <c r="A342" s="9" t="s">
        <v>745</v>
      </c>
      <c r="B342" s="10">
        <v>2026</v>
      </c>
      <c r="C342" s="10">
        <v>2</v>
      </c>
      <c r="D342" s="10">
        <v>29</v>
      </c>
      <c r="E342" s="10">
        <v>12</v>
      </c>
    </row>
    <row r="343" spans="1:5">
      <c r="A343" s="9" t="s">
        <v>747</v>
      </c>
      <c r="B343" s="10">
        <v>2026</v>
      </c>
      <c r="C343" s="10">
        <v>5</v>
      </c>
      <c r="D343" s="10">
        <v>17</v>
      </c>
      <c r="E343" s="10">
        <v>0</v>
      </c>
    </row>
    <row r="344" spans="1:5">
      <c r="A344" s="9" t="s">
        <v>749</v>
      </c>
      <c r="B344" s="10">
        <v>2026</v>
      </c>
      <c r="C344" s="10">
        <v>4</v>
      </c>
      <c r="D344" s="10">
        <v>1</v>
      </c>
      <c r="E344" s="10">
        <v>5</v>
      </c>
    </row>
    <row r="345" spans="1:5">
      <c r="A345" s="9" t="s">
        <v>751</v>
      </c>
      <c r="B345" s="10">
        <v>2026</v>
      </c>
      <c r="C345" s="10">
        <v>5</v>
      </c>
      <c r="D345" s="10">
        <v>23</v>
      </c>
      <c r="E345" s="10">
        <v>9</v>
      </c>
    </row>
    <row r="346" spans="1:5">
      <c r="A346" s="9" t="s">
        <v>753</v>
      </c>
      <c r="B346" s="10">
        <v>2026</v>
      </c>
      <c r="C346" s="10">
        <v>2</v>
      </c>
      <c r="D346" s="10">
        <v>30</v>
      </c>
      <c r="E346" s="10">
        <v>9</v>
      </c>
    </row>
    <row r="347" spans="1:5">
      <c r="A347" s="9" t="s">
        <v>755</v>
      </c>
      <c r="B347" s="10">
        <v>2026</v>
      </c>
      <c r="C347" s="10">
        <v>3</v>
      </c>
      <c r="D347" s="10">
        <v>44</v>
      </c>
      <c r="E347" s="10">
        <v>4</v>
      </c>
    </row>
    <row r="348" spans="1:5">
      <c r="A348" s="9" t="s">
        <v>757</v>
      </c>
      <c r="B348" s="10">
        <v>2026</v>
      </c>
      <c r="C348" s="10">
        <v>1</v>
      </c>
      <c r="D348" s="10">
        <v>46</v>
      </c>
      <c r="E348" s="10">
        <v>8</v>
      </c>
    </row>
    <row r="349" spans="1:5">
      <c r="A349" s="9" t="s">
        <v>759</v>
      </c>
      <c r="B349" s="10">
        <v>2026</v>
      </c>
      <c r="C349" s="10">
        <v>2</v>
      </c>
      <c r="D349" s="10">
        <v>1</v>
      </c>
      <c r="E349" s="10">
        <v>4</v>
      </c>
    </row>
    <row r="350" spans="1:5">
      <c r="A350" s="9" t="s">
        <v>761</v>
      </c>
      <c r="B350" s="10">
        <v>2026</v>
      </c>
      <c r="C350" s="10">
        <v>3</v>
      </c>
      <c r="D350" s="10">
        <v>7</v>
      </c>
      <c r="E350" s="10">
        <v>1</v>
      </c>
    </row>
    <row r="351" spans="1:5">
      <c r="A351" s="9" t="s">
        <v>763</v>
      </c>
      <c r="B351" s="10">
        <v>2026</v>
      </c>
      <c r="C351" s="10">
        <v>4</v>
      </c>
      <c r="D351" s="10">
        <v>19</v>
      </c>
      <c r="E351" s="10">
        <v>3</v>
      </c>
    </row>
    <row r="352" spans="1:5">
      <c r="A352" s="9" t="s">
        <v>765</v>
      </c>
      <c r="B352" s="10">
        <v>2026</v>
      </c>
      <c r="C352" s="10">
        <v>2</v>
      </c>
      <c r="D352" s="10">
        <v>43</v>
      </c>
      <c r="E352" s="10">
        <v>8</v>
      </c>
    </row>
    <row r="353" spans="1:5">
      <c r="A353" s="9" t="s">
        <v>767</v>
      </c>
      <c r="B353" s="10">
        <v>2026</v>
      </c>
      <c r="C353" s="10">
        <v>2</v>
      </c>
      <c r="D353" s="10">
        <v>55</v>
      </c>
      <c r="E353" s="10">
        <v>3</v>
      </c>
    </row>
    <row r="354" spans="1:5">
      <c r="A354" s="9" t="s">
        <v>769</v>
      </c>
      <c r="B354" s="10">
        <v>2026</v>
      </c>
      <c r="C354" s="10">
        <v>1</v>
      </c>
      <c r="D354" s="10">
        <v>25</v>
      </c>
      <c r="E354" s="10">
        <v>2</v>
      </c>
    </row>
    <row r="355" spans="1:5">
      <c r="A355" s="9" t="s">
        <v>771</v>
      </c>
      <c r="B355" s="10">
        <v>2026</v>
      </c>
      <c r="C355" s="10">
        <v>1</v>
      </c>
      <c r="D355" s="10">
        <v>57</v>
      </c>
      <c r="E355" s="10">
        <v>3</v>
      </c>
    </row>
    <row r="356" spans="1:5">
      <c r="A356" s="9" t="s">
        <v>773</v>
      </c>
      <c r="B356" s="10">
        <v>2026</v>
      </c>
      <c r="C356" s="10">
        <v>5</v>
      </c>
      <c r="D356" s="10">
        <v>36</v>
      </c>
      <c r="E356" s="10">
        <v>11</v>
      </c>
    </row>
    <row r="357" spans="1:5">
      <c r="A357" s="9" t="s">
        <v>775</v>
      </c>
      <c r="B357" s="10">
        <v>2026</v>
      </c>
      <c r="C357" s="10">
        <v>1</v>
      </c>
      <c r="D357" s="10">
        <v>6</v>
      </c>
      <c r="E357" s="10">
        <v>10</v>
      </c>
    </row>
    <row r="358" spans="1:5">
      <c r="A358" s="9" t="s">
        <v>777</v>
      </c>
      <c r="B358" s="10">
        <v>2026</v>
      </c>
      <c r="C358" s="10">
        <v>4</v>
      </c>
      <c r="D358" s="10">
        <v>56</v>
      </c>
      <c r="E358" s="10">
        <v>3</v>
      </c>
    </row>
    <row r="359" spans="1:5">
      <c r="A359" s="9" t="s">
        <v>779</v>
      </c>
      <c r="B359" s="10">
        <v>2026</v>
      </c>
      <c r="C359" s="10">
        <v>5</v>
      </c>
      <c r="D359" s="10">
        <v>58</v>
      </c>
      <c r="E359" s="10">
        <v>3</v>
      </c>
    </row>
    <row r="360" spans="1:5">
      <c r="A360" s="9" t="s">
        <v>781</v>
      </c>
      <c r="B360" s="10">
        <v>2026</v>
      </c>
      <c r="C360" s="10">
        <v>3</v>
      </c>
      <c r="D360" s="10">
        <v>40</v>
      </c>
      <c r="E360" s="10">
        <v>5</v>
      </c>
    </row>
    <row r="361" spans="1:5">
      <c r="A361" s="9" t="s">
        <v>783</v>
      </c>
      <c r="B361" s="10">
        <v>2026</v>
      </c>
      <c r="C361" s="10">
        <v>3</v>
      </c>
      <c r="D361" s="10">
        <v>40</v>
      </c>
      <c r="E361" s="10">
        <v>5</v>
      </c>
    </row>
    <row r="362" spans="1:5">
      <c r="A362" s="9" t="s">
        <v>785</v>
      </c>
      <c r="B362" s="10">
        <v>2026</v>
      </c>
      <c r="C362" s="10">
        <v>4</v>
      </c>
      <c r="D362" s="10">
        <v>32</v>
      </c>
      <c r="E362" s="10">
        <v>4</v>
      </c>
    </row>
    <row r="363" spans="1:5">
      <c r="A363" s="9" t="s">
        <v>787</v>
      </c>
      <c r="B363" s="10">
        <v>2026</v>
      </c>
      <c r="C363" s="10">
        <v>5</v>
      </c>
      <c r="D363" s="10">
        <v>7</v>
      </c>
      <c r="E363" s="10">
        <v>4</v>
      </c>
    </row>
    <row r="364" spans="1:5">
      <c r="A364" s="9" t="s">
        <v>789</v>
      </c>
      <c r="B364" s="10">
        <v>2026</v>
      </c>
      <c r="C364" s="10">
        <v>5</v>
      </c>
      <c r="D364" s="10">
        <v>1</v>
      </c>
      <c r="E364" s="10">
        <v>4</v>
      </c>
    </row>
    <row r="365" spans="1:5">
      <c r="A365" s="9" t="s">
        <v>791</v>
      </c>
      <c r="B365" s="10">
        <v>2026</v>
      </c>
      <c r="C365" s="10">
        <v>3</v>
      </c>
      <c r="D365" s="10">
        <v>37</v>
      </c>
      <c r="E365" s="10">
        <v>10</v>
      </c>
    </row>
    <row r="366" spans="1:5">
      <c r="A366" s="9" t="s">
        <v>793</v>
      </c>
      <c r="B366" s="10">
        <v>2026</v>
      </c>
      <c r="C366" s="10">
        <v>3</v>
      </c>
      <c r="D366" s="10">
        <v>26</v>
      </c>
      <c r="E366" s="10">
        <v>3</v>
      </c>
    </row>
    <row r="367" spans="1:5">
      <c r="A367" s="9" t="s">
        <v>795</v>
      </c>
      <c r="B367" s="10">
        <v>2026</v>
      </c>
      <c r="C367" s="10">
        <v>3</v>
      </c>
      <c r="D367" s="10">
        <v>39</v>
      </c>
      <c r="E367" s="10">
        <v>7</v>
      </c>
    </row>
    <row r="368" spans="1:5">
      <c r="A368" s="9" t="s">
        <v>797</v>
      </c>
      <c r="B368" s="10">
        <v>2026</v>
      </c>
      <c r="C368" s="10">
        <v>5</v>
      </c>
      <c r="D368" s="10">
        <v>37</v>
      </c>
      <c r="E368" s="10">
        <v>3</v>
      </c>
    </row>
    <row r="369" spans="1:5">
      <c r="A369" s="9" t="s">
        <v>799</v>
      </c>
      <c r="B369" s="10">
        <v>2026</v>
      </c>
      <c r="C369" s="10">
        <v>2</v>
      </c>
      <c r="D369" s="10">
        <v>60</v>
      </c>
      <c r="E369" s="10">
        <v>10</v>
      </c>
    </row>
    <row r="370" spans="1:5">
      <c r="A370" s="9" t="s">
        <v>801</v>
      </c>
      <c r="B370" s="10">
        <v>2026</v>
      </c>
      <c r="C370" s="10">
        <v>5</v>
      </c>
      <c r="D370" s="10">
        <v>21</v>
      </c>
      <c r="E370" s="10">
        <v>9</v>
      </c>
    </row>
    <row r="371" spans="1:5">
      <c r="A371" s="9" t="s">
        <v>803</v>
      </c>
      <c r="B371" s="10">
        <v>2026</v>
      </c>
      <c r="C371" s="10">
        <v>2</v>
      </c>
      <c r="D371" s="10">
        <v>11</v>
      </c>
      <c r="E371" s="10">
        <v>8</v>
      </c>
    </row>
    <row r="372" spans="1:5">
      <c r="A372" s="9" t="s">
        <v>805</v>
      </c>
      <c r="B372" s="10">
        <v>2026</v>
      </c>
      <c r="C372" s="10">
        <v>4</v>
      </c>
      <c r="D372" s="10">
        <v>28</v>
      </c>
      <c r="E372" s="10">
        <v>2</v>
      </c>
    </row>
    <row r="373" spans="1:5">
      <c r="A373" s="9" t="s">
        <v>807</v>
      </c>
      <c r="B373" s="10">
        <v>2026</v>
      </c>
      <c r="C373" s="10">
        <v>1</v>
      </c>
      <c r="D373" s="10">
        <v>55</v>
      </c>
      <c r="E373" s="10">
        <v>7</v>
      </c>
    </row>
    <row r="374" spans="1:5">
      <c r="A374" s="9" t="s">
        <v>809</v>
      </c>
      <c r="B374" s="10">
        <v>2026</v>
      </c>
      <c r="C374" s="10">
        <v>5</v>
      </c>
      <c r="D374" s="10">
        <v>31</v>
      </c>
      <c r="E374" s="10">
        <v>12</v>
      </c>
    </row>
    <row r="375" spans="1:5">
      <c r="A375" s="9" t="s">
        <v>811</v>
      </c>
      <c r="B375" s="10">
        <v>2026</v>
      </c>
      <c r="C375" s="10">
        <v>5</v>
      </c>
      <c r="D375" s="10">
        <v>53</v>
      </c>
      <c r="E375" s="10">
        <v>11</v>
      </c>
    </row>
    <row r="376" spans="1:5">
      <c r="A376" s="9" t="s">
        <v>813</v>
      </c>
      <c r="B376" s="10">
        <v>2026</v>
      </c>
      <c r="C376" s="10">
        <v>3</v>
      </c>
      <c r="D376" s="10">
        <v>29</v>
      </c>
      <c r="E376" s="10">
        <v>3</v>
      </c>
    </row>
    <row r="377" spans="1:5">
      <c r="A377" s="9" t="s">
        <v>815</v>
      </c>
      <c r="B377" s="10">
        <v>2026</v>
      </c>
      <c r="C377" s="10">
        <v>3</v>
      </c>
      <c r="D377" s="10">
        <v>36</v>
      </c>
      <c r="E377" s="10">
        <v>4</v>
      </c>
    </row>
    <row r="378" spans="1:5">
      <c r="A378" s="9" t="s">
        <v>817</v>
      </c>
      <c r="B378" s="10">
        <v>2026</v>
      </c>
      <c r="C378" s="10">
        <v>1</v>
      </c>
      <c r="D378" s="10">
        <v>40</v>
      </c>
      <c r="E378" s="10">
        <v>8</v>
      </c>
    </row>
    <row r="379" spans="1:5">
      <c r="A379" s="9" t="s">
        <v>819</v>
      </c>
      <c r="B379" s="10">
        <v>2026</v>
      </c>
      <c r="C379" s="10">
        <v>3</v>
      </c>
      <c r="D379" s="10">
        <v>53</v>
      </c>
      <c r="E379" s="10">
        <v>2</v>
      </c>
    </row>
    <row r="380" spans="1:5">
      <c r="A380" s="9" t="s">
        <v>821</v>
      </c>
      <c r="B380" s="10">
        <v>2026</v>
      </c>
      <c r="C380" s="10">
        <v>3</v>
      </c>
      <c r="D380" s="10">
        <v>53</v>
      </c>
      <c r="E380" s="10">
        <v>4</v>
      </c>
    </row>
    <row r="381" spans="1:5">
      <c r="A381" s="9" t="s">
        <v>823</v>
      </c>
      <c r="B381" s="10">
        <v>2026</v>
      </c>
      <c r="C381" s="10">
        <v>2</v>
      </c>
      <c r="D381" s="10">
        <v>52</v>
      </c>
      <c r="E381" s="10">
        <v>9</v>
      </c>
    </row>
    <row r="382" spans="1:5">
      <c r="A382" s="9" t="s">
        <v>825</v>
      </c>
      <c r="B382" s="10">
        <v>2026</v>
      </c>
      <c r="C382" s="10">
        <v>4</v>
      </c>
      <c r="D382" s="10">
        <v>3</v>
      </c>
      <c r="E382" s="10">
        <v>4</v>
      </c>
    </row>
    <row r="383" spans="1:5">
      <c r="A383" s="9" t="s">
        <v>827</v>
      </c>
      <c r="B383" s="10">
        <v>2026</v>
      </c>
      <c r="C383" s="10">
        <v>3</v>
      </c>
      <c r="D383" s="10">
        <v>11</v>
      </c>
      <c r="E383" s="10">
        <v>11</v>
      </c>
    </row>
    <row r="384" spans="1:5">
      <c r="A384" s="9" t="s">
        <v>829</v>
      </c>
      <c r="B384" s="10">
        <v>2026</v>
      </c>
      <c r="C384" s="10">
        <v>4</v>
      </c>
      <c r="D384" s="10">
        <v>18</v>
      </c>
      <c r="E384" s="10">
        <v>10</v>
      </c>
    </row>
    <row r="385" spans="1:5">
      <c r="A385" s="9" t="s">
        <v>831</v>
      </c>
      <c r="B385" s="10">
        <v>2026</v>
      </c>
      <c r="C385" s="10">
        <v>2</v>
      </c>
      <c r="D385" s="10">
        <v>36</v>
      </c>
      <c r="E385" s="10">
        <v>5</v>
      </c>
    </row>
    <row r="386" spans="1:5">
      <c r="A386" s="9" t="s">
        <v>833</v>
      </c>
      <c r="B386" s="10">
        <v>2026</v>
      </c>
      <c r="C386" s="10">
        <v>4</v>
      </c>
      <c r="D386" s="10">
        <v>41</v>
      </c>
      <c r="E386" s="10">
        <v>5</v>
      </c>
    </row>
    <row r="387" spans="1:5">
      <c r="A387" s="9" t="s">
        <v>835</v>
      </c>
      <c r="B387" s="10">
        <v>2026</v>
      </c>
      <c r="C387" s="10">
        <v>4</v>
      </c>
      <c r="D387" s="10">
        <v>12</v>
      </c>
      <c r="E387" s="10">
        <v>2</v>
      </c>
    </row>
    <row r="388" spans="1:5">
      <c r="A388" s="9" t="s">
        <v>837</v>
      </c>
      <c r="B388" s="10">
        <v>2026</v>
      </c>
      <c r="C388" s="10">
        <v>1</v>
      </c>
      <c r="D388" s="10">
        <v>50</v>
      </c>
      <c r="E388" s="10">
        <v>5</v>
      </c>
    </row>
    <row r="389" spans="1:5">
      <c r="A389" s="9" t="s">
        <v>839</v>
      </c>
      <c r="B389" s="10">
        <v>2026</v>
      </c>
      <c r="C389" s="10">
        <v>1</v>
      </c>
      <c r="D389" s="10">
        <v>1</v>
      </c>
      <c r="E389" s="10">
        <v>8</v>
      </c>
    </row>
    <row r="390" spans="1:5">
      <c r="A390" s="9" t="s">
        <v>841</v>
      </c>
      <c r="B390" s="10">
        <v>2026</v>
      </c>
      <c r="C390" s="10">
        <v>3</v>
      </c>
      <c r="D390" s="10">
        <v>3</v>
      </c>
      <c r="E390" s="10">
        <v>4</v>
      </c>
    </row>
    <row r="391" spans="1:5">
      <c r="A391" s="9" t="s">
        <v>843</v>
      </c>
      <c r="B391" s="10">
        <v>2026</v>
      </c>
      <c r="C391" s="10">
        <v>5</v>
      </c>
      <c r="D391" s="10">
        <v>14</v>
      </c>
      <c r="E391" s="10">
        <v>10</v>
      </c>
    </row>
    <row r="392" spans="1:5">
      <c r="A392" s="9" t="s">
        <v>845</v>
      </c>
      <c r="B392" s="10">
        <v>2026</v>
      </c>
      <c r="C392" s="10">
        <v>5</v>
      </c>
      <c r="D392" s="10">
        <v>26</v>
      </c>
      <c r="E392" s="10">
        <v>2</v>
      </c>
    </row>
    <row r="393" spans="1:5">
      <c r="A393" s="9" t="s">
        <v>847</v>
      </c>
      <c r="B393" s="10">
        <v>2026</v>
      </c>
      <c r="C393" s="10">
        <v>4</v>
      </c>
      <c r="D393" s="10">
        <v>11</v>
      </c>
      <c r="E393" s="10">
        <v>0</v>
      </c>
    </row>
    <row r="394" spans="1:5">
      <c r="A394" s="9" t="s">
        <v>849</v>
      </c>
      <c r="B394" s="10">
        <v>2026</v>
      </c>
      <c r="C394" s="10">
        <v>4</v>
      </c>
      <c r="D394" s="10">
        <v>49</v>
      </c>
      <c r="E394" s="10">
        <v>12</v>
      </c>
    </row>
    <row r="395" spans="1:5">
      <c r="A395" s="9" t="s">
        <v>851</v>
      </c>
      <c r="B395" s="10">
        <v>2026</v>
      </c>
      <c r="C395" s="10">
        <v>4</v>
      </c>
      <c r="D395" s="10">
        <v>46</v>
      </c>
      <c r="E395" s="10">
        <v>9</v>
      </c>
    </row>
    <row r="396" spans="1:5">
      <c r="A396" s="9" t="s">
        <v>853</v>
      </c>
      <c r="B396" s="10">
        <v>2026</v>
      </c>
      <c r="C396" s="10">
        <v>2</v>
      </c>
      <c r="D396" s="10">
        <v>27</v>
      </c>
      <c r="E396" s="10">
        <v>12</v>
      </c>
    </row>
    <row r="397" spans="1:5">
      <c r="A397" s="9" t="s">
        <v>855</v>
      </c>
      <c r="B397" s="10">
        <v>2026</v>
      </c>
      <c r="C397" s="10">
        <v>5</v>
      </c>
      <c r="D397" s="10">
        <v>26</v>
      </c>
      <c r="E397" s="10">
        <v>5</v>
      </c>
    </row>
    <row r="398" spans="1:5">
      <c r="A398" s="9" t="s">
        <v>857</v>
      </c>
      <c r="B398" s="10">
        <v>2026</v>
      </c>
      <c r="C398" s="10">
        <v>4</v>
      </c>
      <c r="D398" s="10">
        <v>39</v>
      </c>
      <c r="E398" s="10">
        <v>4</v>
      </c>
    </row>
    <row r="399" spans="1:5">
      <c r="A399" s="9" t="s">
        <v>859</v>
      </c>
      <c r="B399" s="10">
        <v>2026</v>
      </c>
      <c r="C399" s="10">
        <v>3</v>
      </c>
      <c r="D399" s="10">
        <v>6</v>
      </c>
      <c r="E399" s="10">
        <v>0</v>
      </c>
    </row>
    <row r="400" spans="1:5">
      <c r="A400" s="9" t="s">
        <v>861</v>
      </c>
      <c r="B400" s="10">
        <v>2026</v>
      </c>
      <c r="C400" s="10">
        <v>1</v>
      </c>
      <c r="D400" s="10">
        <v>47</v>
      </c>
      <c r="E400" s="10">
        <v>5</v>
      </c>
    </row>
    <row r="401" spans="1:5">
      <c r="A401" s="9" t="s">
        <v>863</v>
      </c>
      <c r="B401" s="10">
        <v>2026</v>
      </c>
      <c r="C401" s="10">
        <v>5</v>
      </c>
      <c r="D401" s="10">
        <v>47</v>
      </c>
      <c r="E401" s="10">
        <v>6</v>
      </c>
    </row>
    <row r="402" spans="1:5">
      <c r="A402" s="9" t="s">
        <v>865</v>
      </c>
      <c r="B402" s="10">
        <v>2026</v>
      </c>
      <c r="C402" s="10">
        <v>5</v>
      </c>
      <c r="D402" s="10">
        <v>23</v>
      </c>
      <c r="E402" s="10">
        <v>4</v>
      </c>
    </row>
    <row r="403" spans="1:5">
      <c r="A403" s="9" t="s">
        <v>867</v>
      </c>
      <c r="B403" s="10">
        <v>2026</v>
      </c>
      <c r="C403" s="10">
        <v>2</v>
      </c>
      <c r="D403" s="10">
        <v>9</v>
      </c>
      <c r="E403" s="10">
        <v>11</v>
      </c>
    </row>
    <row r="404" spans="1:5">
      <c r="A404" s="9" t="s">
        <v>869</v>
      </c>
      <c r="B404" s="10">
        <v>2026</v>
      </c>
      <c r="C404" s="10">
        <v>1</v>
      </c>
      <c r="D404" s="10">
        <v>34</v>
      </c>
      <c r="E404" s="10">
        <v>6</v>
      </c>
    </row>
    <row r="405" spans="1:5">
      <c r="A405" s="9" t="s">
        <v>871</v>
      </c>
      <c r="B405" s="10">
        <v>2026</v>
      </c>
      <c r="C405" s="10">
        <v>2</v>
      </c>
      <c r="D405" s="10">
        <v>33</v>
      </c>
      <c r="E405" s="10">
        <v>7</v>
      </c>
    </row>
    <row r="406" spans="1:5">
      <c r="A406" s="9" t="s">
        <v>873</v>
      </c>
      <c r="B406" s="10">
        <v>2026</v>
      </c>
      <c r="C406" s="10">
        <v>4</v>
      </c>
      <c r="D406" s="10">
        <v>44</v>
      </c>
      <c r="E406" s="10">
        <v>9</v>
      </c>
    </row>
    <row r="407" spans="1:5">
      <c r="A407" s="9" t="s">
        <v>875</v>
      </c>
      <c r="B407" s="10">
        <v>2026</v>
      </c>
      <c r="C407" s="10">
        <v>3</v>
      </c>
      <c r="D407" s="10">
        <v>13</v>
      </c>
      <c r="E407" s="10">
        <v>1</v>
      </c>
    </row>
    <row r="408" spans="1:5">
      <c r="A408" s="9" t="s">
        <v>877</v>
      </c>
      <c r="B408" s="10">
        <v>2026</v>
      </c>
      <c r="C408" s="10">
        <v>3</v>
      </c>
      <c r="D408" s="10">
        <v>33</v>
      </c>
      <c r="E408" s="10">
        <v>4</v>
      </c>
    </row>
    <row r="409" spans="1:5">
      <c r="A409" s="9" t="s">
        <v>879</v>
      </c>
      <c r="B409" s="10">
        <v>2026</v>
      </c>
      <c r="C409" s="10">
        <v>5</v>
      </c>
      <c r="D409" s="10">
        <v>36</v>
      </c>
      <c r="E409" s="10">
        <v>0</v>
      </c>
    </row>
    <row r="410" spans="1:5">
      <c r="A410" s="9" t="s">
        <v>881</v>
      </c>
      <c r="B410" s="10">
        <v>2026</v>
      </c>
      <c r="C410" s="10">
        <v>1</v>
      </c>
      <c r="D410" s="10">
        <v>39</v>
      </c>
      <c r="E410" s="10">
        <v>7</v>
      </c>
    </row>
    <row r="411" spans="1:5">
      <c r="A411" s="9" t="s">
        <v>883</v>
      </c>
      <c r="B411" s="10">
        <v>2026</v>
      </c>
      <c r="C411" s="10">
        <v>5</v>
      </c>
      <c r="D411" s="10">
        <v>22</v>
      </c>
      <c r="E411" s="10">
        <v>8</v>
      </c>
    </row>
    <row r="412" spans="1:5">
      <c r="A412" s="9" t="s">
        <v>885</v>
      </c>
      <c r="B412" s="10">
        <v>2026</v>
      </c>
      <c r="C412" s="10">
        <v>1</v>
      </c>
      <c r="D412" s="10">
        <v>57</v>
      </c>
      <c r="E412" s="10">
        <v>0</v>
      </c>
    </row>
    <row r="413" spans="1:5">
      <c r="A413" s="9" t="s">
        <v>887</v>
      </c>
      <c r="B413" s="10">
        <v>2026</v>
      </c>
      <c r="C413" s="10">
        <v>3</v>
      </c>
      <c r="D413" s="10">
        <v>30</v>
      </c>
      <c r="E413" s="10">
        <v>6</v>
      </c>
    </row>
    <row r="414" spans="1:5">
      <c r="A414" s="9" t="s">
        <v>889</v>
      </c>
      <c r="B414" s="10">
        <v>2026</v>
      </c>
      <c r="C414" s="10">
        <v>4</v>
      </c>
      <c r="D414" s="10">
        <v>24</v>
      </c>
      <c r="E414" s="10">
        <v>4</v>
      </c>
    </row>
    <row r="415" spans="1:5">
      <c r="A415" s="9" t="s">
        <v>891</v>
      </c>
      <c r="B415" s="10">
        <v>2026</v>
      </c>
      <c r="C415" s="10">
        <v>3</v>
      </c>
      <c r="D415" s="10">
        <v>10</v>
      </c>
      <c r="E415" s="10">
        <v>3</v>
      </c>
    </row>
    <row r="416" spans="1:5">
      <c r="A416" s="9" t="s">
        <v>893</v>
      </c>
      <c r="B416" s="10">
        <v>2026</v>
      </c>
      <c r="C416" s="10">
        <v>1</v>
      </c>
      <c r="D416" s="10">
        <v>22</v>
      </c>
      <c r="E416" s="10">
        <v>7</v>
      </c>
    </row>
    <row r="417" spans="1:5">
      <c r="A417" s="9" t="s">
        <v>895</v>
      </c>
      <c r="B417" s="10">
        <v>2026</v>
      </c>
      <c r="C417" s="10">
        <v>2</v>
      </c>
      <c r="D417" s="10">
        <v>3</v>
      </c>
      <c r="E417" s="10">
        <v>0</v>
      </c>
    </row>
    <row r="418" spans="1:5">
      <c r="A418" s="9" t="s">
        <v>897</v>
      </c>
      <c r="B418" s="10">
        <v>2026</v>
      </c>
      <c r="C418" s="10">
        <v>1</v>
      </c>
      <c r="D418" s="10">
        <v>45</v>
      </c>
      <c r="E418" s="10">
        <v>8</v>
      </c>
    </row>
    <row r="419" spans="1:5">
      <c r="A419" s="9" t="s">
        <v>899</v>
      </c>
      <c r="B419" s="10">
        <v>2026</v>
      </c>
      <c r="C419" s="10">
        <v>3</v>
      </c>
      <c r="D419" s="10">
        <v>31</v>
      </c>
      <c r="E419" s="10">
        <v>9</v>
      </c>
    </row>
    <row r="420" spans="1:5">
      <c r="A420" s="9" t="s">
        <v>901</v>
      </c>
      <c r="B420" s="10">
        <v>2026</v>
      </c>
      <c r="C420" s="10">
        <v>3</v>
      </c>
      <c r="D420" s="10">
        <v>47</v>
      </c>
      <c r="E420" s="10">
        <v>0</v>
      </c>
    </row>
    <row r="421" spans="1:5">
      <c r="A421" s="9" t="s">
        <v>903</v>
      </c>
      <c r="B421" s="10">
        <v>2026</v>
      </c>
      <c r="C421" s="10">
        <v>1</v>
      </c>
      <c r="D421" s="10">
        <v>18</v>
      </c>
      <c r="E421" s="10">
        <v>2</v>
      </c>
    </row>
    <row r="422" spans="1:5">
      <c r="A422" s="9" t="s">
        <v>905</v>
      </c>
      <c r="B422" s="10">
        <v>2026</v>
      </c>
      <c r="C422" s="10">
        <v>1</v>
      </c>
      <c r="D422" s="10">
        <v>25</v>
      </c>
      <c r="E422" s="10">
        <v>6</v>
      </c>
    </row>
    <row r="423" spans="1:5">
      <c r="A423" s="9" t="s">
        <v>907</v>
      </c>
      <c r="B423" s="10">
        <v>2026</v>
      </c>
      <c r="C423" s="10">
        <v>4</v>
      </c>
      <c r="D423" s="10">
        <v>60</v>
      </c>
      <c r="E423" s="10">
        <v>6</v>
      </c>
    </row>
    <row r="424" spans="1:5">
      <c r="A424" s="9" t="s">
        <v>909</v>
      </c>
      <c r="B424" s="10">
        <v>2026</v>
      </c>
      <c r="C424" s="10">
        <v>4</v>
      </c>
      <c r="D424" s="10">
        <v>53</v>
      </c>
      <c r="E424" s="10">
        <v>8</v>
      </c>
    </row>
    <row r="425" spans="1:5">
      <c r="A425" s="9" t="s">
        <v>911</v>
      </c>
      <c r="B425" s="10">
        <v>2026</v>
      </c>
      <c r="C425" s="10">
        <v>3</v>
      </c>
      <c r="D425" s="10">
        <v>17</v>
      </c>
      <c r="E425" s="10">
        <v>9</v>
      </c>
    </row>
    <row r="426" spans="1:5">
      <c r="A426" s="9" t="s">
        <v>913</v>
      </c>
      <c r="B426" s="10">
        <v>2026</v>
      </c>
      <c r="C426" s="10">
        <v>2</v>
      </c>
      <c r="D426" s="10">
        <v>25</v>
      </c>
      <c r="E426" s="10">
        <v>7</v>
      </c>
    </row>
    <row r="427" spans="1:5">
      <c r="A427" s="9" t="s">
        <v>915</v>
      </c>
      <c r="B427" s="10">
        <v>2026</v>
      </c>
      <c r="C427" s="10">
        <v>5</v>
      </c>
      <c r="D427" s="10">
        <v>42</v>
      </c>
      <c r="E427" s="10">
        <v>2</v>
      </c>
    </row>
    <row r="428" spans="1:5">
      <c r="A428" s="9" t="s">
        <v>917</v>
      </c>
      <c r="B428" s="10">
        <v>2026</v>
      </c>
      <c r="C428" s="10">
        <v>3</v>
      </c>
      <c r="D428" s="10">
        <v>2</v>
      </c>
      <c r="E428" s="10">
        <v>2</v>
      </c>
    </row>
    <row r="429" spans="1:5">
      <c r="A429" s="9" t="s">
        <v>919</v>
      </c>
      <c r="B429" s="10">
        <v>2026</v>
      </c>
      <c r="C429" s="10">
        <v>2</v>
      </c>
      <c r="D429" s="10">
        <v>19</v>
      </c>
      <c r="E429" s="10">
        <v>3</v>
      </c>
    </row>
    <row r="430" spans="1:5">
      <c r="A430" s="9" t="s">
        <v>921</v>
      </c>
      <c r="B430" s="10">
        <v>2026</v>
      </c>
      <c r="C430" s="10">
        <v>1</v>
      </c>
      <c r="D430" s="10">
        <v>35</v>
      </c>
      <c r="E430" s="10">
        <v>5</v>
      </c>
    </row>
    <row r="431" spans="1:5">
      <c r="A431" s="9" t="s">
        <v>923</v>
      </c>
      <c r="B431" s="10">
        <v>2026</v>
      </c>
      <c r="C431" s="10">
        <v>5</v>
      </c>
      <c r="D431" s="10">
        <v>12</v>
      </c>
      <c r="E431" s="10">
        <v>7</v>
      </c>
    </row>
    <row r="432" spans="1:5">
      <c r="A432" s="9" t="s">
        <v>925</v>
      </c>
      <c r="B432" s="10">
        <v>2026</v>
      </c>
      <c r="C432" s="10">
        <v>2</v>
      </c>
      <c r="D432" s="10">
        <v>55</v>
      </c>
      <c r="E432" s="10">
        <v>3</v>
      </c>
    </row>
    <row r="433" spans="1:5">
      <c r="A433" s="9" t="s">
        <v>927</v>
      </c>
      <c r="B433" s="10">
        <v>2026</v>
      </c>
      <c r="C433" s="10">
        <v>4</v>
      </c>
      <c r="D433" s="10">
        <v>41</v>
      </c>
      <c r="E433" s="10">
        <v>7</v>
      </c>
    </row>
    <row r="434" spans="1:5">
      <c r="A434" s="9" t="s">
        <v>929</v>
      </c>
      <c r="B434" s="10">
        <v>2026</v>
      </c>
      <c r="C434" s="10">
        <v>1</v>
      </c>
      <c r="D434" s="10">
        <v>45</v>
      </c>
      <c r="E434" s="10">
        <v>7</v>
      </c>
    </row>
    <row r="435" spans="1:5">
      <c r="A435" s="9" t="s">
        <v>931</v>
      </c>
      <c r="B435" s="10">
        <v>2026</v>
      </c>
      <c r="C435" s="10">
        <v>4</v>
      </c>
      <c r="D435" s="10">
        <v>51</v>
      </c>
      <c r="E435" s="10">
        <v>9</v>
      </c>
    </row>
    <row r="436" spans="1:5">
      <c r="A436" s="9" t="s">
        <v>933</v>
      </c>
      <c r="B436" s="10">
        <v>2026</v>
      </c>
      <c r="C436" s="10">
        <v>1</v>
      </c>
      <c r="D436" s="10">
        <v>5</v>
      </c>
      <c r="E436" s="10">
        <v>10</v>
      </c>
    </row>
    <row r="437" spans="1:5">
      <c r="A437" s="9" t="s">
        <v>935</v>
      </c>
      <c r="B437" s="10">
        <v>2026</v>
      </c>
      <c r="C437" s="10">
        <v>1</v>
      </c>
      <c r="D437" s="10">
        <v>27</v>
      </c>
      <c r="E437" s="10">
        <v>9</v>
      </c>
    </row>
    <row r="438" spans="1:5">
      <c r="A438" s="9" t="s">
        <v>937</v>
      </c>
      <c r="B438" s="10">
        <v>2026</v>
      </c>
      <c r="C438" s="10">
        <v>2</v>
      </c>
      <c r="D438" s="10">
        <v>41</v>
      </c>
      <c r="E438" s="10">
        <v>5</v>
      </c>
    </row>
    <row r="439" spans="1:5">
      <c r="A439" s="9" t="s">
        <v>939</v>
      </c>
      <c r="B439" s="10">
        <v>2026</v>
      </c>
      <c r="C439" s="10">
        <v>2</v>
      </c>
      <c r="D439" s="10">
        <v>58</v>
      </c>
      <c r="E439" s="10">
        <v>11</v>
      </c>
    </row>
    <row r="440" spans="1:5">
      <c r="A440" s="9" t="s">
        <v>941</v>
      </c>
      <c r="B440" s="10">
        <v>2026</v>
      </c>
      <c r="C440" s="10">
        <v>2</v>
      </c>
      <c r="D440" s="10">
        <v>58</v>
      </c>
      <c r="E440" s="10">
        <v>9</v>
      </c>
    </row>
    <row r="441" spans="1:5">
      <c r="A441" s="9" t="s">
        <v>943</v>
      </c>
      <c r="B441" s="10">
        <v>2026</v>
      </c>
      <c r="C441" s="10">
        <v>4</v>
      </c>
      <c r="D441" s="10">
        <v>28</v>
      </c>
      <c r="E441" s="10">
        <v>1</v>
      </c>
    </row>
    <row r="442" spans="1:5">
      <c r="A442" s="9" t="s">
        <v>945</v>
      </c>
      <c r="B442" s="10">
        <v>2026</v>
      </c>
      <c r="C442" s="10">
        <v>2</v>
      </c>
      <c r="D442" s="10">
        <v>35</v>
      </c>
      <c r="E442" s="10">
        <v>12</v>
      </c>
    </row>
    <row r="443" spans="1:5">
      <c r="A443" s="9" t="s">
        <v>947</v>
      </c>
      <c r="B443" s="10">
        <v>2026</v>
      </c>
      <c r="C443" s="10">
        <v>2</v>
      </c>
      <c r="D443" s="10">
        <v>37</v>
      </c>
      <c r="E443" s="10">
        <v>6</v>
      </c>
    </row>
    <row r="444" spans="1:5">
      <c r="A444" s="9" t="s">
        <v>949</v>
      </c>
      <c r="B444" s="10">
        <v>2026</v>
      </c>
      <c r="C444" s="10">
        <v>2</v>
      </c>
      <c r="D444" s="10">
        <v>51</v>
      </c>
      <c r="E444" s="10">
        <v>2</v>
      </c>
    </row>
    <row r="445" spans="1:5">
      <c r="A445" s="9" t="s">
        <v>951</v>
      </c>
      <c r="B445" s="10">
        <v>2026</v>
      </c>
      <c r="C445" s="10">
        <v>2</v>
      </c>
      <c r="D445" s="10">
        <v>13</v>
      </c>
      <c r="E445" s="10">
        <v>5</v>
      </c>
    </row>
    <row r="446" spans="1:5">
      <c r="A446" s="9" t="s">
        <v>953</v>
      </c>
      <c r="B446" s="10">
        <v>2026</v>
      </c>
      <c r="C446" s="10">
        <v>2</v>
      </c>
      <c r="D446" s="10">
        <v>27</v>
      </c>
      <c r="E446" s="10">
        <v>10</v>
      </c>
    </row>
    <row r="447" spans="1:5">
      <c r="A447" s="9" t="s">
        <v>955</v>
      </c>
      <c r="B447" s="10">
        <v>2026</v>
      </c>
      <c r="C447" s="10">
        <v>1</v>
      </c>
      <c r="D447" s="10">
        <v>58</v>
      </c>
      <c r="E447" s="10">
        <v>11</v>
      </c>
    </row>
    <row r="448" spans="1:5">
      <c r="A448" s="9" t="s">
        <v>957</v>
      </c>
      <c r="B448" s="10">
        <v>2026</v>
      </c>
      <c r="C448" s="10">
        <v>1</v>
      </c>
      <c r="D448" s="10">
        <v>32</v>
      </c>
      <c r="E448" s="10">
        <v>10</v>
      </c>
    </row>
    <row r="449" spans="1:5">
      <c r="A449" s="9" t="s">
        <v>959</v>
      </c>
      <c r="B449" s="10">
        <v>2026</v>
      </c>
      <c r="C449" s="10">
        <v>4</v>
      </c>
      <c r="D449" s="10">
        <v>57</v>
      </c>
      <c r="E449" s="10">
        <v>6</v>
      </c>
    </row>
    <row r="450" spans="1:5">
      <c r="A450" s="9" t="s">
        <v>961</v>
      </c>
      <c r="B450" s="10">
        <v>2026</v>
      </c>
      <c r="C450" s="10">
        <v>1</v>
      </c>
      <c r="D450" s="10">
        <v>32</v>
      </c>
      <c r="E450" s="10">
        <v>0</v>
      </c>
    </row>
    <row r="451" spans="1:5">
      <c r="A451" s="9" t="s">
        <v>963</v>
      </c>
      <c r="B451" s="10">
        <v>2026</v>
      </c>
      <c r="C451" s="10">
        <v>2</v>
      </c>
      <c r="D451" s="10">
        <v>59</v>
      </c>
      <c r="E451" s="10">
        <v>9</v>
      </c>
    </row>
    <row r="452" spans="1:5">
      <c r="A452" s="9" t="s">
        <v>965</v>
      </c>
      <c r="B452" s="10">
        <v>2026</v>
      </c>
      <c r="C452" s="10">
        <v>5</v>
      </c>
      <c r="D452" s="10">
        <v>49</v>
      </c>
      <c r="E452" s="10">
        <v>6</v>
      </c>
    </row>
    <row r="453" spans="1:5">
      <c r="A453" s="9" t="s">
        <v>967</v>
      </c>
      <c r="B453" s="10">
        <v>2026</v>
      </c>
      <c r="C453" s="10">
        <v>3</v>
      </c>
      <c r="D453" s="10">
        <v>5</v>
      </c>
      <c r="E453" s="10">
        <v>1</v>
      </c>
    </row>
    <row r="454" spans="1:5">
      <c r="A454" s="9" t="s">
        <v>969</v>
      </c>
      <c r="B454" s="10">
        <v>2026</v>
      </c>
      <c r="C454" s="10">
        <v>4</v>
      </c>
      <c r="D454" s="10">
        <v>58</v>
      </c>
      <c r="E454" s="10">
        <v>10</v>
      </c>
    </row>
    <row r="455" spans="1:5">
      <c r="A455" s="9" t="s">
        <v>971</v>
      </c>
      <c r="B455" s="10">
        <v>2026</v>
      </c>
      <c r="C455" s="10">
        <v>2</v>
      </c>
      <c r="D455" s="10">
        <v>35</v>
      </c>
      <c r="E455" s="10">
        <v>4</v>
      </c>
    </row>
    <row r="456" spans="1:5">
      <c r="A456" s="9" t="s">
        <v>973</v>
      </c>
      <c r="B456" s="10">
        <v>2026</v>
      </c>
      <c r="C456" s="10">
        <v>3</v>
      </c>
      <c r="D456" s="10">
        <v>1</v>
      </c>
      <c r="E456" s="10">
        <v>1</v>
      </c>
    </row>
    <row r="457" spans="1:5">
      <c r="A457" s="9" t="s">
        <v>975</v>
      </c>
      <c r="B457" s="10">
        <v>2026</v>
      </c>
      <c r="C457" s="10">
        <v>4</v>
      </c>
      <c r="D457" s="10">
        <v>17</v>
      </c>
      <c r="E457" s="10">
        <v>5</v>
      </c>
    </row>
    <row r="458" spans="1:5">
      <c r="A458" s="9" t="s">
        <v>977</v>
      </c>
      <c r="B458" s="10">
        <v>2026</v>
      </c>
      <c r="C458" s="10">
        <v>1</v>
      </c>
      <c r="D458" s="10">
        <v>47</v>
      </c>
      <c r="E458" s="10">
        <v>7</v>
      </c>
    </row>
    <row r="459" spans="1:5">
      <c r="A459" s="9" t="s">
        <v>979</v>
      </c>
      <c r="B459" s="10">
        <v>2026</v>
      </c>
      <c r="C459" s="10">
        <v>4</v>
      </c>
      <c r="D459" s="10">
        <v>18</v>
      </c>
      <c r="E459" s="10">
        <v>3</v>
      </c>
    </row>
    <row r="460" spans="1:5">
      <c r="A460" s="9" t="s">
        <v>981</v>
      </c>
      <c r="B460" s="10">
        <v>2026</v>
      </c>
      <c r="C460" s="10">
        <v>3</v>
      </c>
      <c r="D460" s="10">
        <v>21</v>
      </c>
      <c r="E460" s="10">
        <v>12</v>
      </c>
    </row>
    <row r="461" spans="1:5">
      <c r="A461" s="9" t="s">
        <v>983</v>
      </c>
      <c r="B461" s="10">
        <v>2026</v>
      </c>
      <c r="C461" s="10">
        <v>1</v>
      </c>
      <c r="D461" s="10">
        <v>41</v>
      </c>
      <c r="E461" s="10">
        <v>5</v>
      </c>
    </row>
    <row r="462" spans="1:5">
      <c r="A462" s="9" t="s">
        <v>985</v>
      </c>
      <c r="B462" s="10">
        <v>2026</v>
      </c>
      <c r="C462" s="10">
        <v>2</v>
      </c>
      <c r="D462" s="10">
        <v>29</v>
      </c>
      <c r="E462" s="10">
        <v>0</v>
      </c>
    </row>
    <row r="463" spans="1:5">
      <c r="A463" s="9" t="s">
        <v>987</v>
      </c>
      <c r="B463" s="10">
        <v>2026</v>
      </c>
      <c r="C463" s="10">
        <v>2</v>
      </c>
      <c r="D463" s="10">
        <v>21</v>
      </c>
      <c r="E463" s="10">
        <v>0</v>
      </c>
    </row>
    <row r="464" spans="1:5">
      <c r="A464" s="9" t="s">
        <v>989</v>
      </c>
      <c r="B464" s="10">
        <v>2026</v>
      </c>
      <c r="C464" s="10">
        <v>1</v>
      </c>
      <c r="D464" s="10">
        <v>1</v>
      </c>
      <c r="E464" s="10">
        <v>5</v>
      </c>
    </row>
    <row r="465" spans="1:5">
      <c r="A465" s="9" t="s">
        <v>991</v>
      </c>
      <c r="B465" s="10">
        <v>2026</v>
      </c>
      <c r="C465" s="10">
        <v>4</v>
      </c>
      <c r="D465" s="10">
        <v>30</v>
      </c>
      <c r="E465" s="10">
        <v>9</v>
      </c>
    </row>
    <row r="466" spans="1:5">
      <c r="A466" s="9" t="s">
        <v>993</v>
      </c>
      <c r="B466" s="10">
        <v>2026</v>
      </c>
      <c r="C466" s="10">
        <v>3</v>
      </c>
      <c r="D466" s="10">
        <v>35</v>
      </c>
      <c r="E466" s="10">
        <v>9</v>
      </c>
    </row>
    <row r="467" spans="1:5">
      <c r="A467" s="9" t="s">
        <v>995</v>
      </c>
      <c r="B467" s="10">
        <v>2026</v>
      </c>
      <c r="C467" s="10">
        <v>1</v>
      </c>
      <c r="D467" s="10">
        <v>25</v>
      </c>
      <c r="E467" s="10">
        <v>5</v>
      </c>
    </row>
    <row r="468" spans="1:5">
      <c r="A468" s="9" t="s">
        <v>997</v>
      </c>
      <c r="B468" s="10">
        <v>2026</v>
      </c>
      <c r="C468" s="10">
        <v>2</v>
      </c>
      <c r="D468" s="10">
        <v>44</v>
      </c>
      <c r="E468" s="10">
        <v>2</v>
      </c>
    </row>
    <row r="469" spans="1:5">
      <c r="A469" s="9" t="s">
        <v>999</v>
      </c>
      <c r="B469" s="10">
        <v>2026</v>
      </c>
      <c r="C469" s="10">
        <v>2</v>
      </c>
      <c r="D469" s="10">
        <v>38</v>
      </c>
      <c r="E469" s="10">
        <v>11</v>
      </c>
    </row>
    <row r="470" spans="1:5">
      <c r="A470" s="9" t="s">
        <v>1001</v>
      </c>
      <c r="B470" s="10">
        <v>2026</v>
      </c>
      <c r="C470" s="10">
        <v>4</v>
      </c>
      <c r="D470" s="10">
        <v>56</v>
      </c>
      <c r="E470" s="10">
        <v>6</v>
      </c>
    </row>
    <row r="471" spans="1:5">
      <c r="A471" s="9" t="s">
        <v>1003</v>
      </c>
      <c r="B471" s="10">
        <v>2026</v>
      </c>
      <c r="C471" s="10">
        <v>1</v>
      </c>
      <c r="D471" s="10">
        <v>20</v>
      </c>
      <c r="E471" s="10">
        <v>4</v>
      </c>
    </row>
    <row r="472" spans="1:5">
      <c r="A472" s="9" t="s">
        <v>1005</v>
      </c>
      <c r="B472" s="10">
        <v>2026</v>
      </c>
      <c r="C472" s="10">
        <v>4</v>
      </c>
      <c r="D472" s="10">
        <v>28</v>
      </c>
      <c r="E472" s="10">
        <v>4</v>
      </c>
    </row>
    <row r="473" spans="1:5">
      <c r="A473" s="9" t="s">
        <v>1007</v>
      </c>
      <c r="B473" s="10">
        <v>2026</v>
      </c>
      <c r="C473" s="10">
        <v>4</v>
      </c>
      <c r="D473" s="10">
        <v>30</v>
      </c>
      <c r="E473" s="10">
        <v>5</v>
      </c>
    </row>
    <row r="474" spans="1:5">
      <c r="A474" s="9" t="s">
        <v>1009</v>
      </c>
      <c r="B474" s="10">
        <v>2026</v>
      </c>
      <c r="C474" s="10">
        <v>5</v>
      </c>
      <c r="D474" s="10">
        <v>47</v>
      </c>
      <c r="E474" s="10">
        <v>4</v>
      </c>
    </row>
    <row r="475" spans="1:5">
      <c r="A475" s="9" t="s">
        <v>1011</v>
      </c>
      <c r="B475" s="10">
        <v>2026</v>
      </c>
      <c r="C475" s="10">
        <v>4</v>
      </c>
      <c r="D475" s="10">
        <v>32</v>
      </c>
      <c r="E475" s="10">
        <v>8</v>
      </c>
    </row>
    <row r="476" spans="1:5">
      <c r="A476" s="9" t="s">
        <v>1013</v>
      </c>
      <c r="B476" s="10">
        <v>2026</v>
      </c>
      <c r="C476" s="10">
        <v>4</v>
      </c>
      <c r="D476" s="10">
        <v>25</v>
      </c>
      <c r="E476" s="10">
        <v>1</v>
      </c>
    </row>
    <row r="477" spans="1:5">
      <c r="A477" s="9" t="s">
        <v>1015</v>
      </c>
      <c r="B477" s="10">
        <v>2026</v>
      </c>
      <c r="C477" s="10">
        <v>5</v>
      </c>
      <c r="D477" s="10">
        <v>20</v>
      </c>
      <c r="E477" s="10">
        <v>3</v>
      </c>
    </row>
    <row r="478" spans="1:5">
      <c r="A478" s="9" t="s">
        <v>1017</v>
      </c>
      <c r="B478" s="10">
        <v>2026</v>
      </c>
      <c r="C478" s="10">
        <v>3</v>
      </c>
      <c r="D478" s="10">
        <v>50</v>
      </c>
      <c r="E478" s="10">
        <v>11</v>
      </c>
    </row>
    <row r="479" spans="1:5">
      <c r="A479" s="9" t="s">
        <v>1019</v>
      </c>
      <c r="B479" s="10">
        <v>2026</v>
      </c>
      <c r="C479" s="10">
        <v>3</v>
      </c>
      <c r="D479" s="10">
        <v>17</v>
      </c>
      <c r="E479" s="10">
        <v>0</v>
      </c>
    </row>
    <row r="480" spans="1:5">
      <c r="A480" s="9" t="s">
        <v>1021</v>
      </c>
      <c r="B480" s="10">
        <v>2026</v>
      </c>
      <c r="C480" s="10">
        <v>3</v>
      </c>
      <c r="D480" s="10">
        <v>28</v>
      </c>
      <c r="E480" s="10">
        <v>9</v>
      </c>
    </row>
    <row r="481" spans="1:5">
      <c r="A481" s="9" t="s">
        <v>1023</v>
      </c>
      <c r="B481" s="10">
        <v>2026</v>
      </c>
      <c r="C481" s="10">
        <v>2</v>
      </c>
      <c r="D481" s="10">
        <v>19</v>
      </c>
      <c r="E481" s="10">
        <v>10</v>
      </c>
    </row>
    <row r="482" spans="1:5">
      <c r="A482" s="9" t="s">
        <v>1025</v>
      </c>
      <c r="B482" s="10">
        <v>2026</v>
      </c>
      <c r="C482" s="10">
        <v>5</v>
      </c>
      <c r="D482" s="10">
        <v>1</v>
      </c>
      <c r="E482" s="10">
        <v>3</v>
      </c>
    </row>
    <row r="483" spans="1:5">
      <c r="A483" s="9" t="s">
        <v>1027</v>
      </c>
      <c r="B483" s="10">
        <v>2026</v>
      </c>
      <c r="C483" s="10">
        <v>3</v>
      </c>
      <c r="D483" s="10">
        <v>16</v>
      </c>
      <c r="E483" s="10">
        <v>2</v>
      </c>
    </row>
    <row r="484" spans="1:5">
      <c r="A484" s="9" t="s">
        <v>1029</v>
      </c>
      <c r="B484" s="10">
        <v>2026</v>
      </c>
      <c r="C484" s="10">
        <v>3</v>
      </c>
      <c r="D484" s="10">
        <v>32</v>
      </c>
      <c r="E484" s="10">
        <v>6</v>
      </c>
    </row>
    <row r="485" spans="1:5">
      <c r="A485" s="9" t="s">
        <v>1031</v>
      </c>
      <c r="B485" s="10">
        <v>2026</v>
      </c>
      <c r="C485" s="10">
        <v>2</v>
      </c>
      <c r="D485" s="10">
        <v>52</v>
      </c>
      <c r="E485" s="10">
        <v>2</v>
      </c>
    </row>
    <row r="486" spans="1:5">
      <c r="A486" s="9" t="s">
        <v>1033</v>
      </c>
      <c r="B486" s="10">
        <v>2026</v>
      </c>
      <c r="C486" s="10">
        <v>4</v>
      </c>
      <c r="D486" s="10">
        <v>14</v>
      </c>
      <c r="E486" s="10">
        <v>4</v>
      </c>
    </row>
    <row r="487" spans="1:5">
      <c r="A487" s="9" t="s">
        <v>1035</v>
      </c>
      <c r="B487" s="10">
        <v>2026</v>
      </c>
      <c r="C487" s="10">
        <v>4</v>
      </c>
      <c r="D487" s="10">
        <v>15</v>
      </c>
      <c r="E487" s="10">
        <v>6</v>
      </c>
    </row>
    <row r="488" spans="1:5">
      <c r="A488" s="9" t="s">
        <v>1037</v>
      </c>
      <c r="B488" s="10">
        <v>2026</v>
      </c>
      <c r="C488" s="10">
        <v>2</v>
      </c>
      <c r="D488" s="10">
        <v>45</v>
      </c>
      <c r="E488" s="10">
        <v>8</v>
      </c>
    </row>
    <row r="489" spans="1:5">
      <c r="A489" s="9" t="s">
        <v>1039</v>
      </c>
      <c r="B489" s="10">
        <v>2026</v>
      </c>
      <c r="C489" s="10">
        <v>1</v>
      </c>
      <c r="D489" s="10">
        <v>30</v>
      </c>
      <c r="E489" s="10">
        <v>3</v>
      </c>
    </row>
    <row r="490" spans="1:5">
      <c r="A490" s="9" t="s">
        <v>1041</v>
      </c>
      <c r="B490" s="10">
        <v>2026</v>
      </c>
      <c r="C490" s="10">
        <v>5</v>
      </c>
      <c r="D490" s="10">
        <v>1</v>
      </c>
      <c r="E490" s="10">
        <v>2</v>
      </c>
    </row>
    <row r="491" spans="1:5">
      <c r="A491" s="9" t="s">
        <v>1043</v>
      </c>
      <c r="B491" s="10">
        <v>2026</v>
      </c>
      <c r="C491" s="10">
        <v>2</v>
      </c>
      <c r="D491" s="10">
        <v>54</v>
      </c>
      <c r="E491" s="10">
        <v>11</v>
      </c>
    </row>
    <row r="492" spans="1:5">
      <c r="A492" s="9" t="s">
        <v>1045</v>
      </c>
      <c r="B492" s="10">
        <v>2026</v>
      </c>
      <c r="C492" s="10">
        <v>4</v>
      </c>
      <c r="D492" s="10">
        <v>9</v>
      </c>
      <c r="E492" s="10">
        <v>6</v>
      </c>
    </row>
    <row r="493" spans="1:5">
      <c r="A493" s="9" t="s">
        <v>1047</v>
      </c>
      <c r="B493" s="10">
        <v>2026</v>
      </c>
      <c r="C493" s="10">
        <v>5</v>
      </c>
      <c r="D493" s="10">
        <v>33</v>
      </c>
      <c r="E493" s="10">
        <v>7</v>
      </c>
    </row>
    <row r="494" spans="1:5">
      <c r="A494" s="9" t="s">
        <v>1049</v>
      </c>
      <c r="B494" s="10">
        <v>2026</v>
      </c>
      <c r="C494" s="10">
        <v>1</v>
      </c>
      <c r="D494" s="10">
        <v>18</v>
      </c>
      <c r="E494" s="10">
        <v>12</v>
      </c>
    </row>
    <row r="495" spans="1:5">
      <c r="A495" s="9" t="s">
        <v>1051</v>
      </c>
      <c r="B495" s="10">
        <v>2026</v>
      </c>
      <c r="C495" s="10">
        <v>5</v>
      </c>
      <c r="D495" s="10">
        <v>53</v>
      </c>
      <c r="E495" s="10">
        <v>2</v>
      </c>
    </row>
    <row r="496" spans="1:5">
      <c r="A496" s="9" t="s">
        <v>1053</v>
      </c>
      <c r="B496" s="10">
        <v>2026</v>
      </c>
      <c r="C496" s="10">
        <v>4</v>
      </c>
      <c r="D496" s="10">
        <v>12</v>
      </c>
      <c r="E496" s="10">
        <v>0</v>
      </c>
    </row>
    <row r="497" spans="1:5">
      <c r="A497" s="9" t="s">
        <v>1055</v>
      </c>
      <c r="B497" s="10">
        <v>2026</v>
      </c>
      <c r="C497" s="10">
        <v>1</v>
      </c>
      <c r="D497" s="10">
        <v>54</v>
      </c>
      <c r="E497" s="10">
        <v>0</v>
      </c>
    </row>
    <row r="498" spans="1:5">
      <c r="A498" s="9" t="s">
        <v>1057</v>
      </c>
      <c r="B498" s="10">
        <v>2026</v>
      </c>
      <c r="C498" s="10">
        <v>2</v>
      </c>
      <c r="D498" s="10">
        <v>28</v>
      </c>
      <c r="E498" s="10">
        <v>11</v>
      </c>
    </row>
    <row r="499" spans="1:5">
      <c r="A499" s="9" t="s">
        <v>1059</v>
      </c>
      <c r="B499" s="10">
        <v>2026</v>
      </c>
      <c r="C499" s="10">
        <v>2</v>
      </c>
      <c r="D499" s="10">
        <v>36</v>
      </c>
      <c r="E499" s="10">
        <v>2</v>
      </c>
    </row>
    <row r="500" spans="1:5">
      <c r="A500" s="9" t="s">
        <v>1061</v>
      </c>
      <c r="B500" s="10">
        <v>2026</v>
      </c>
      <c r="C500" s="10">
        <v>3</v>
      </c>
      <c r="D500" s="10">
        <v>4</v>
      </c>
      <c r="E500" s="10">
        <v>2</v>
      </c>
    </row>
    <row r="501" spans="1:5">
      <c r="A501" s="9" t="s">
        <v>1063</v>
      </c>
      <c r="B501" s="10">
        <v>2026</v>
      </c>
      <c r="C501" s="10">
        <v>3</v>
      </c>
      <c r="D501" s="10">
        <v>47</v>
      </c>
      <c r="E501" s="1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818D-3C66-41A8-96EA-3B4BD97B65A8}">
  <dimension ref="A1:O501"/>
  <sheetViews>
    <sheetView workbookViewId="0">
      <selection activeCell="S4" sqref="S4"/>
    </sheetView>
  </sheetViews>
  <sheetFormatPr defaultRowHeight="15"/>
  <cols>
    <col min="1" max="1" width="6.5703125" bestFit="1" customWidth="1"/>
    <col min="2" max="2" width="6.140625" bestFit="1" customWidth="1"/>
    <col min="3" max="3" width="6.85546875" bestFit="1" customWidth="1"/>
    <col min="4" max="4" width="7.42578125" bestFit="1" customWidth="1"/>
    <col min="5" max="5" width="3.28515625" bestFit="1" customWidth="1"/>
    <col min="6" max="6" width="4.5703125" bestFit="1" customWidth="1"/>
    <col min="7" max="7" width="11.7109375" bestFit="1" customWidth="1"/>
    <col min="8" max="8" width="11.42578125" bestFit="1" customWidth="1"/>
    <col min="9" max="9" width="7.7109375" bestFit="1" customWidth="1"/>
    <col min="10" max="10" width="10" bestFit="1" customWidth="1"/>
    <col min="11" max="11" width="29.5703125" bestFit="1" customWidth="1"/>
    <col min="12" max="12" width="8" bestFit="1" customWidth="1"/>
    <col min="13" max="13" width="10.140625" bestFit="1" customWidth="1"/>
    <col min="14" max="14" width="2.28515625" bestFit="1" customWidth="1"/>
    <col min="15" max="15" width="9.28515625" bestFit="1" customWidth="1"/>
  </cols>
  <sheetData>
    <row r="1" spans="1:1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4" t="s">
        <v>11</v>
      </c>
      <c r="M1" s="35" t="s">
        <v>12</v>
      </c>
      <c r="N1" s="35" t="s">
        <v>13</v>
      </c>
      <c r="O1" s="36" t="s">
        <v>14</v>
      </c>
    </row>
    <row r="2" spans="1:15">
      <c r="A2" s="24" t="s">
        <v>16</v>
      </c>
      <c r="B2" s="25" t="s">
        <v>17</v>
      </c>
      <c r="C2" s="25" t="s">
        <v>18</v>
      </c>
      <c r="D2" s="25" t="s">
        <v>19</v>
      </c>
      <c r="E2" s="25">
        <v>30</v>
      </c>
      <c r="F2" s="25" t="s">
        <v>20</v>
      </c>
      <c r="G2" s="25" t="s">
        <v>21</v>
      </c>
      <c r="H2" s="26">
        <v>43517</v>
      </c>
      <c r="I2" s="25">
        <v>105257</v>
      </c>
      <c r="J2" s="25" t="s">
        <v>22</v>
      </c>
      <c r="K2" s="25" t="s">
        <v>23</v>
      </c>
      <c r="L2" s="27" t="s">
        <v>24</v>
      </c>
      <c r="M2" s="28" t="str">
        <f>_xlfn.XLOOKUP(F2,Department!$A$2:$A$6,Department!$B$2:$B$6)</f>
        <v>HR</v>
      </c>
      <c r="N2" s="29">
        <f>_xlfn.XLOOKUP(A2,Performance!$A$2:$A$501,Performance!$C$2:$C$501)</f>
        <v>1</v>
      </c>
      <c r="O2" s="28" cm="1">
        <f t="array" ref="O2">_xlfn.IFS(N2=5,I2*15%,N2=4,I2*10%,N2=3,I2*7%,N2&lt;3,I2*5%)</f>
        <v>5262.85</v>
      </c>
    </row>
    <row r="3" spans="1:15">
      <c r="A3" s="24" t="s">
        <v>26</v>
      </c>
      <c r="B3" s="25" t="s">
        <v>17</v>
      </c>
      <c r="C3" s="25" t="s">
        <v>27</v>
      </c>
      <c r="D3" s="25" t="s">
        <v>28</v>
      </c>
      <c r="E3" s="25">
        <v>48</v>
      </c>
      <c r="F3" s="25" t="s">
        <v>29</v>
      </c>
      <c r="G3" s="25" t="s">
        <v>30</v>
      </c>
      <c r="H3" s="26">
        <v>44548</v>
      </c>
      <c r="I3" s="25">
        <v>97903</v>
      </c>
      <c r="J3" s="25" t="s">
        <v>22</v>
      </c>
      <c r="K3" s="25" t="s">
        <v>31</v>
      </c>
      <c r="L3" s="27" t="s">
        <v>24</v>
      </c>
      <c r="M3" s="28" t="str">
        <f>_xlfn.XLOOKUP(F3,Department!$A$2:$A$6,Department!$B$2:$B$6)</f>
        <v>IT</v>
      </c>
      <c r="N3" s="30">
        <f>_xlfn.XLOOKUP(A3,Performance!$A$2:$A$501,Performance!$C$2:$C$501)</f>
        <v>4</v>
      </c>
      <c r="O3" s="28" cm="1">
        <f t="array" ref="O3">_xlfn.IFS(N3=5,I3*15%,N3=4,I3*10%,N3=3,I3*7%,N3&lt;3,I3*5%)</f>
        <v>9790.3000000000011</v>
      </c>
    </row>
    <row r="4" spans="1:15">
      <c r="A4" s="24" t="s">
        <v>33</v>
      </c>
      <c r="B4" s="25" t="s">
        <v>34</v>
      </c>
      <c r="C4" s="25" t="s">
        <v>27</v>
      </c>
      <c r="D4" s="25" t="s">
        <v>28</v>
      </c>
      <c r="E4" s="25">
        <v>48</v>
      </c>
      <c r="F4" s="25" t="s">
        <v>35</v>
      </c>
      <c r="G4" s="25" t="s">
        <v>36</v>
      </c>
      <c r="H4" s="26">
        <v>44037</v>
      </c>
      <c r="I4" s="25">
        <v>73429</v>
      </c>
      <c r="J4" s="25" t="s">
        <v>37</v>
      </c>
      <c r="K4" s="25" t="s">
        <v>38</v>
      </c>
      <c r="L4" s="27" t="s">
        <v>39</v>
      </c>
      <c r="M4" s="28" t="str">
        <f>_xlfn.XLOOKUP(F4,Department!$A$2:$A$6,Department!$B$2:$B$6)</f>
        <v>Sales</v>
      </c>
      <c r="N4" s="30">
        <f>_xlfn.XLOOKUP(A4,Performance!$A$2:$A$501,Performance!$C$2:$C$501)</f>
        <v>2</v>
      </c>
      <c r="O4" s="28" cm="1">
        <f t="array" ref="O4">_xlfn.IFS(N4=5,I4*15%,N4=4,I4*10%,N4=3,I4*7%,N4&lt;3,I4*5%)</f>
        <v>3671.4500000000003</v>
      </c>
    </row>
    <row r="5" spans="1:15">
      <c r="A5" s="24" t="s">
        <v>41</v>
      </c>
      <c r="B5" s="25" t="s">
        <v>42</v>
      </c>
      <c r="C5" s="25" t="s">
        <v>18</v>
      </c>
      <c r="D5" s="25" t="s">
        <v>19</v>
      </c>
      <c r="E5" s="25">
        <v>50</v>
      </c>
      <c r="F5" s="25" t="s">
        <v>43</v>
      </c>
      <c r="G5" s="25" t="s">
        <v>44</v>
      </c>
      <c r="H5" s="26">
        <v>44413</v>
      </c>
      <c r="I5" s="25">
        <v>99336</v>
      </c>
      <c r="J5" s="25" t="s">
        <v>37</v>
      </c>
      <c r="K5" s="25" t="s">
        <v>45</v>
      </c>
      <c r="L5" s="27" t="s">
        <v>24</v>
      </c>
      <c r="M5" s="28" t="str">
        <f>_xlfn.XLOOKUP(F5,Department!$A$2:$A$6,Department!$B$2:$B$6)</f>
        <v>Marketing</v>
      </c>
      <c r="N5" s="30">
        <f>_xlfn.XLOOKUP(A5,Performance!$A$2:$A$501,Performance!$C$2:$C$501)</f>
        <v>4</v>
      </c>
      <c r="O5" s="28" cm="1">
        <f t="array" ref="O5">_xlfn.IFS(N5=5,I5*15%,N5=4,I5*10%,N5=3,I5*7%,N5&lt;3,I5*5%)</f>
        <v>9933.6</v>
      </c>
    </row>
    <row r="6" spans="1:15">
      <c r="A6" s="24" t="s">
        <v>47</v>
      </c>
      <c r="B6" s="25" t="s">
        <v>48</v>
      </c>
      <c r="C6" s="25" t="s">
        <v>49</v>
      </c>
      <c r="D6" s="25" t="s">
        <v>28</v>
      </c>
      <c r="E6" s="25">
        <v>60</v>
      </c>
      <c r="F6" s="25" t="s">
        <v>20</v>
      </c>
      <c r="G6" s="25" t="s">
        <v>36</v>
      </c>
      <c r="H6" s="26">
        <v>43990</v>
      </c>
      <c r="I6" s="25">
        <v>105020</v>
      </c>
      <c r="J6" s="25" t="s">
        <v>37</v>
      </c>
      <c r="K6" s="25" t="s">
        <v>50</v>
      </c>
      <c r="L6" s="27" t="s">
        <v>24</v>
      </c>
      <c r="M6" s="28" t="str">
        <f>_xlfn.XLOOKUP(F6,Department!$A$2:$A$6,Department!$B$2:$B$6)</f>
        <v>HR</v>
      </c>
      <c r="N6" s="30">
        <f>_xlfn.XLOOKUP(A6,Performance!$A$2:$A$501,Performance!$C$2:$C$501)</f>
        <v>2</v>
      </c>
      <c r="O6" s="28" cm="1">
        <f t="array" ref="O6">_xlfn.IFS(N6=5,I6*15%,N6=4,I6*10%,N6=3,I6*7%,N6&lt;3,I6*5%)</f>
        <v>5251</v>
      </c>
    </row>
    <row r="7" spans="1:15">
      <c r="A7" s="24" t="s">
        <v>52</v>
      </c>
      <c r="B7" s="25" t="s">
        <v>53</v>
      </c>
      <c r="C7" s="25" t="s">
        <v>18</v>
      </c>
      <c r="D7" s="25" t="s">
        <v>28</v>
      </c>
      <c r="E7" s="25">
        <v>33</v>
      </c>
      <c r="F7" s="25" t="s">
        <v>54</v>
      </c>
      <c r="G7" s="25" t="s">
        <v>36</v>
      </c>
      <c r="H7" s="26">
        <v>43681</v>
      </c>
      <c r="I7" s="25">
        <v>93173</v>
      </c>
      <c r="J7" s="25" t="s">
        <v>37</v>
      </c>
      <c r="K7" s="25" t="s">
        <v>55</v>
      </c>
      <c r="L7" s="27" t="s">
        <v>24</v>
      </c>
      <c r="M7" s="28" t="str">
        <f>_xlfn.XLOOKUP(F7,Department!$A$2:$A$6,Department!$B$2:$B$6)</f>
        <v>Finance</v>
      </c>
      <c r="N7" s="30">
        <f>_xlfn.XLOOKUP(A7,Performance!$A$2:$A$501,Performance!$C$2:$C$501)</f>
        <v>3</v>
      </c>
      <c r="O7" s="28" cm="1">
        <f t="array" ref="O7">_xlfn.IFS(N7=5,I7*15%,N7=4,I7*10%,N7=3,I7*7%,N7&lt;3,I7*5%)</f>
        <v>6522.1100000000006</v>
      </c>
    </row>
    <row r="8" spans="1:15">
      <c r="A8" s="24" t="s">
        <v>57</v>
      </c>
      <c r="B8" s="25" t="s">
        <v>58</v>
      </c>
      <c r="C8" s="25" t="s">
        <v>49</v>
      </c>
      <c r="D8" s="25" t="s">
        <v>28</v>
      </c>
      <c r="E8" s="25">
        <v>52</v>
      </c>
      <c r="F8" s="25" t="s">
        <v>43</v>
      </c>
      <c r="G8" s="25" t="s">
        <v>21</v>
      </c>
      <c r="H8" s="26">
        <v>44219</v>
      </c>
      <c r="I8" s="25">
        <v>106626</v>
      </c>
      <c r="J8" s="25" t="s">
        <v>37</v>
      </c>
      <c r="K8" s="25" t="s">
        <v>59</v>
      </c>
      <c r="L8" s="27" t="s">
        <v>24</v>
      </c>
      <c r="M8" s="28" t="str">
        <f>_xlfn.XLOOKUP(F8,Department!$A$2:$A$6,Department!$B$2:$B$6)</f>
        <v>Marketing</v>
      </c>
      <c r="N8" s="30">
        <f>_xlfn.XLOOKUP(A8,Performance!$A$2:$A$501,Performance!$C$2:$C$501)</f>
        <v>2</v>
      </c>
      <c r="O8" s="28" cm="1">
        <f t="array" ref="O8">_xlfn.IFS(N8=5,I8*15%,N8=4,I8*10%,N8=3,I8*7%,N8&lt;3,I8*5%)</f>
        <v>5331.3</v>
      </c>
    </row>
    <row r="9" spans="1:15">
      <c r="A9" s="24" t="s">
        <v>60</v>
      </c>
      <c r="B9" s="25" t="s">
        <v>61</v>
      </c>
      <c r="C9" s="25" t="s">
        <v>18</v>
      </c>
      <c r="D9" s="25" t="s">
        <v>19</v>
      </c>
      <c r="E9" s="25">
        <v>42</v>
      </c>
      <c r="F9" s="25" t="s">
        <v>54</v>
      </c>
      <c r="G9" s="25" t="s">
        <v>44</v>
      </c>
      <c r="H9" s="26">
        <v>43978</v>
      </c>
      <c r="I9" s="25">
        <v>114547</v>
      </c>
      <c r="J9" s="25" t="s">
        <v>62</v>
      </c>
      <c r="K9" s="25" t="s">
        <v>63</v>
      </c>
      <c r="L9" s="27" t="s">
        <v>39</v>
      </c>
      <c r="M9" s="28" t="str">
        <f>_xlfn.XLOOKUP(F9,Department!$A$2:$A$6,Department!$B$2:$B$6)</f>
        <v>Finance</v>
      </c>
      <c r="N9" s="30">
        <f>_xlfn.XLOOKUP(A9,Performance!$A$2:$A$501,Performance!$C$2:$C$501)</f>
        <v>1</v>
      </c>
      <c r="O9" s="28" cm="1">
        <f t="array" ref="O9">_xlfn.IFS(N9=5,I9*15%,N9=4,I9*10%,N9=3,I9*7%,N9&lt;3,I9*5%)</f>
        <v>5727.35</v>
      </c>
    </row>
    <row r="10" spans="1:15">
      <c r="A10" s="24" t="s">
        <v>65</v>
      </c>
      <c r="B10" s="25" t="s">
        <v>61</v>
      </c>
      <c r="C10" s="25" t="s">
        <v>66</v>
      </c>
      <c r="D10" s="25" t="s">
        <v>19</v>
      </c>
      <c r="E10" s="25">
        <v>40</v>
      </c>
      <c r="F10" s="25" t="s">
        <v>20</v>
      </c>
      <c r="G10" s="25" t="s">
        <v>36</v>
      </c>
      <c r="H10" s="26">
        <v>44681</v>
      </c>
      <c r="I10" s="25">
        <v>51139</v>
      </c>
      <c r="J10" s="25" t="s">
        <v>67</v>
      </c>
      <c r="K10" s="25" t="s">
        <v>68</v>
      </c>
      <c r="L10" s="27" t="s">
        <v>39</v>
      </c>
      <c r="M10" s="28" t="str">
        <f>_xlfn.XLOOKUP(F10,Department!$A$2:$A$6,Department!$B$2:$B$6)</f>
        <v>HR</v>
      </c>
      <c r="N10" s="30">
        <f>_xlfn.XLOOKUP(A10,Performance!$A$2:$A$501,Performance!$C$2:$C$501)</f>
        <v>4</v>
      </c>
      <c r="O10" s="28" cm="1">
        <f t="array" ref="O10">_xlfn.IFS(N10=5,I10*15%,N10=4,I10*10%,N10=3,I10*7%,N10&lt;3,I10*5%)</f>
        <v>5113.9000000000005</v>
      </c>
    </row>
    <row r="11" spans="1:15">
      <c r="A11" s="24" t="s">
        <v>70</v>
      </c>
      <c r="B11" s="25" t="s">
        <v>17</v>
      </c>
      <c r="C11" s="25" t="s">
        <v>27</v>
      </c>
      <c r="D11" s="25" t="s">
        <v>19</v>
      </c>
      <c r="E11" s="25">
        <v>25</v>
      </c>
      <c r="F11" s="25" t="s">
        <v>43</v>
      </c>
      <c r="G11" s="25" t="s">
        <v>21</v>
      </c>
      <c r="H11" s="26">
        <v>43457</v>
      </c>
      <c r="I11" s="25">
        <v>60673</v>
      </c>
      <c r="J11" s="25" t="s">
        <v>67</v>
      </c>
      <c r="K11" s="25" t="s">
        <v>71</v>
      </c>
      <c r="L11" s="27" t="s">
        <v>39</v>
      </c>
      <c r="M11" s="28" t="str">
        <f>_xlfn.XLOOKUP(F11,Department!$A$2:$A$6,Department!$B$2:$B$6)</f>
        <v>Marketing</v>
      </c>
      <c r="N11" s="30">
        <f>_xlfn.XLOOKUP(A11,Performance!$A$2:$A$501,Performance!$C$2:$C$501)</f>
        <v>5</v>
      </c>
      <c r="O11" s="28" cm="1">
        <f t="array" ref="O11">_xlfn.IFS(N11=5,I11*15%,N11=4,I11*10%,N11=3,I11*7%,N11&lt;3,I11*5%)</f>
        <v>9100.9499999999989</v>
      </c>
    </row>
    <row r="12" spans="1:15">
      <c r="A12" s="24" t="s">
        <v>73</v>
      </c>
      <c r="B12" s="25" t="s">
        <v>74</v>
      </c>
      <c r="C12" s="25" t="s">
        <v>27</v>
      </c>
      <c r="D12" s="25" t="s">
        <v>19</v>
      </c>
      <c r="E12" s="25">
        <v>25</v>
      </c>
      <c r="F12" s="25" t="s">
        <v>43</v>
      </c>
      <c r="G12" s="25" t="s">
        <v>36</v>
      </c>
      <c r="H12" s="26">
        <v>44356</v>
      </c>
      <c r="I12" s="25">
        <v>65690</v>
      </c>
      <c r="J12" s="25" t="s">
        <v>22</v>
      </c>
      <c r="K12" s="25" t="s">
        <v>75</v>
      </c>
      <c r="L12" s="27" t="s">
        <v>39</v>
      </c>
      <c r="M12" s="28" t="str">
        <f>_xlfn.XLOOKUP(F12,Department!$A$2:$A$6,Department!$B$2:$B$6)</f>
        <v>Marketing</v>
      </c>
      <c r="N12" s="30">
        <f>_xlfn.XLOOKUP(A12,Performance!$A$2:$A$501,Performance!$C$2:$C$501)</f>
        <v>3</v>
      </c>
      <c r="O12" s="28" cm="1">
        <f t="array" ref="O12">_xlfn.IFS(N12=5,I12*15%,N12=4,I12*10%,N12=3,I12*7%,N12&lt;3,I12*5%)</f>
        <v>4598.3</v>
      </c>
    </row>
    <row r="13" spans="1:15">
      <c r="A13" s="24" t="s">
        <v>77</v>
      </c>
      <c r="B13" s="25" t="s">
        <v>34</v>
      </c>
      <c r="C13" s="25" t="s">
        <v>49</v>
      </c>
      <c r="D13" s="25" t="s">
        <v>28</v>
      </c>
      <c r="E13" s="25">
        <v>49</v>
      </c>
      <c r="F13" s="25" t="s">
        <v>29</v>
      </c>
      <c r="G13" s="25" t="s">
        <v>30</v>
      </c>
      <c r="H13" s="26">
        <v>43520</v>
      </c>
      <c r="I13" s="25">
        <v>63823</v>
      </c>
      <c r="J13" s="25" t="s">
        <v>67</v>
      </c>
      <c r="K13" s="25" t="s">
        <v>78</v>
      </c>
      <c r="L13" s="27" t="s">
        <v>24</v>
      </c>
      <c r="M13" s="28" t="str">
        <f>_xlfn.XLOOKUP(F13,Department!$A$2:$A$6,Department!$B$2:$B$6)</f>
        <v>IT</v>
      </c>
      <c r="N13" s="30">
        <f>_xlfn.XLOOKUP(A13,Performance!$A$2:$A$501,Performance!$C$2:$C$501)</f>
        <v>2</v>
      </c>
      <c r="O13" s="28" cm="1">
        <f t="array" ref="O13">_xlfn.IFS(N13=5,I13*15%,N13=4,I13*10%,N13=3,I13*7%,N13&lt;3,I13*5%)</f>
        <v>3191.15</v>
      </c>
    </row>
    <row r="14" spans="1:15">
      <c r="A14" s="24" t="s">
        <v>79</v>
      </c>
      <c r="B14" s="25" t="s">
        <v>34</v>
      </c>
      <c r="C14" s="25" t="s">
        <v>80</v>
      </c>
      <c r="D14" s="25" t="s">
        <v>19</v>
      </c>
      <c r="E14" s="25">
        <v>56</v>
      </c>
      <c r="F14" s="25" t="s">
        <v>43</v>
      </c>
      <c r="G14" s="25" t="s">
        <v>21</v>
      </c>
      <c r="H14" s="26">
        <v>44651</v>
      </c>
      <c r="I14" s="25">
        <v>49557</v>
      </c>
      <c r="J14" s="25" t="s">
        <v>81</v>
      </c>
      <c r="K14" s="25" t="s">
        <v>82</v>
      </c>
      <c r="L14" s="27" t="s">
        <v>39</v>
      </c>
      <c r="M14" s="28" t="str">
        <f>_xlfn.XLOOKUP(F14,Department!$A$2:$A$6,Department!$B$2:$B$6)</f>
        <v>Marketing</v>
      </c>
      <c r="N14" s="30">
        <f>_xlfn.XLOOKUP(A14,Performance!$A$2:$A$501,Performance!$C$2:$C$501)</f>
        <v>3</v>
      </c>
      <c r="O14" s="28" cm="1">
        <f t="array" ref="O14">_xlfn.IFS(N14=5,I14*15%,N14=4,I14*10%,N14=3,I14*7%,N14&lt;3,I14*5%)</f>
        <v>3468.9900000000002</v>
      </c>
    </row>
    <row r="15" spans="1:15">
      <c r="A15" s="24" t="s">
        <v>83</v>
      </c>
      <c r="B15" s="25" t="s">
        <v>34</v>
      </c>
      <c r="C15" s="25" t="s">
        <v>84</v>
      </c>
      <c r="D15" s="25" t="s">
        <v>28</v>
      </c>
      <c r="E15" s="25">
        <v>44</v>
      </c>
      <c r="F15" s="25" t="s">
        <v>20</v>
      </c>
      <c r="G15" s="25" t="s">
        <v>36</v>
      </c>
      <c r="H15" s="26">
        <v>44827</v>
      </c>
      <c r="I15" s="25">
        <v>116901</v>
      </c>
      <c r="J15" s="25" t="s">
        <v>67</v>
      </c>
      <c r="K15" s="25" t="s">
        <v>85</v>
      </c>
      <c r="L15" s="27" t="s">
        <v>24</v>
      </c>
      <c r="M15" s="28" t="str">
        <f>_xlfn.XLOOKUP(F15,Department!$A$2:$A$6,Department!$B$2:$B$6)</f>
        <v>HR</v>
      </c>
      <c r="N15" s="30">
        <f>_xlfn.XLOOKUP(A15,Performance!$A$2:$A$501,Performance!$C$2:$C$501)</f>
        <v>2</v>
      </c>
      <c r="O15" s="28" cm="1">
        <f t="array" ref="O15">_xlfn.IFS(N15=5,I15*15%,N15=4,I15*10%,N15=3,I15*7%,N15&lt;3,I15*5%)</f>
        <v>5845.05</v>
      </c>
    </row>
    <row r="16" spans="1:15">
      <c r="A16" s="24" t="s">
        <v>86</v>
      </c>
      <c r="B16" s="25" t="s">
        <v>42</v>
      </c>
      <c r="C16" s="25" t="s">
        <v>84</v>
      </c>
      <c r="D16" s="25" t="s">
        <v>19</v>
      </c>
      <c r="E16" s="25">
        <v>55</v>
      </c>
      <c r="F16" s="25" t="s">
        <v>54</v>
      </c>
      <c r="G16" s="25" t="s">
        <v>21</v>
      </c>
      <c r="H16" s="26">
        <v>43284</v>
      </c>
      <c r="I16" s="25">
        <v>85190</v>
      </c>
      <c r="J16" s="25" t="s">
        <v>62</v>
      </c>
      <c r="K16" s="25" t="s">
        <v>87</v>
      </c>
      <c r="L16" s="27" t="s">
        <v>39</v>
      </c>
      <c r="M16" s="28" t="str">
        <f>_xlfn.XLOOKUP(F16,Department!$A$2:$A$6,Department!$B$2:$B$6)</f>
        <v>Finance</v>
      </c>
      <c r="N16" s="30">
        <f>_xlfn.XLOOKUP(A16,Performance!$A$2:$A$501,Performance!$C$2:$C$501)</f>
        <v>4</v>
      </c>
      <c r="O16" s="28" cm="1">
        <f t="array" ref="O16">_xlfn.IFS(N16=5,I16*15%,N16=4,I16*10%,N16=3,I16*7%,N16&lt;3,I16*5%)</f>
        <v>8519</v>
      </c>
    </row>
    <row r="17" spans="1:15">
      <c r="A17" s="24" t="s">
        <v>88</v>
      </c>
      <c r="B17" s="25" t="s">
        <v>58</v>
      </c>
      <c r="C17" s="25" t="s">
        <v>89</v>
      </c>
      <c r="D17" s="25" t="s">
        <v>19</v>
      </c>
      <c r="E17" s="25">
        <v>30</v>
      </c>
      <c r="F17" s="25" t="s">
        <v>35</v>
      </c>
      <c r="G17" s="25" t="s">
        <v>36</v>
      </c>
      <c r="H17" s="26">
        <v>45393</v>
      </c>
      <c r="I17" s="25">
        <v>95723</v>
      </c>
      <c r="J17" s="25" t="s">
        <v>67</v>
      </c>
      <c r="K17" s="25" t="s">
        <v>90</v>
      </c>
      <c r="L17" s="27" t="s">
        <v>39</v>
      </c>
      <c r="M17" s="28" t="str">
        <f>_xlfn.XLOOKUP(F17,Department!$A$2:$A$6,Department!$B$2:$B$6)</f>
        <v>Sales</v>
      </c>
      <c r="N17" s="30">
        <f>_xlfn.XLOOKUP(A17,Performance!$A$2:$A$501,Performance!$C$2:$C$501)</f>
        <v>2</v>
      </c>
      <c r="O17" s="28" cm="1">
        <f t="array" ref="O17">_xlfn.IFS(N17=5,I17*15%,N17=4,I17*10%,N17=3,I17*7%,N17&lt;3,I17*5%)</f>
        <v>4786.1500000000005</v>
      </c>
    </row>
    <row r="18" spans="1:15">
      <c r="A18" s="24" t="s">
        <v>91</v>
      </c>
      <c r="B18" s="25" t="s">
        <v>92</v>
      </c>
      <c r="C18" s="25" t="s">
        <v>93</v>
      </c>
      <c r="D18" s="25" t="s">
        <v>19</v>
      </c>
      <c r="E18" s="25">
        <v>51</v>
      </c>
      <c r="F18" s="25" t="s">
        <v>35</v>
      </c>
      <c r="G18" s="25" t="s">
        <v>30</v>
      </c>
      <c r="H18" s="26">
        <v>43578</v>
      </c>
      <c r="I18" s="25">
        <v>35234</v>
      </c>
      <c r="J18" s="25" t="s">
        <v>62</v>
      </c>
      <c r="K18" s="25" t="s">
        <v>94</v>
      </c>
      <c r="L18" s="27" t="s">
        <v>39</v>
      </c>
      <c r="M18" s="28" t="str">
        <f>_xlfn.XLOOKUP(F18,Department!$A$2:$A$6,Department!$B$2:$B$6)</f>
        <v>Sales</v>
      </c>
      <c r="N18" s="30">
        <f>_xlfn.XLOOKUP(A18,Performance!$A$2:$A$501,Performance!$C$2:$C$501)</f>
        <v>1</v>
      </c>
      <c r="O18" s="28" cm="1">
        <f t="array" ref="O18">_xlfn.IFS(N18=5,I18*15%,N18=4,I18*10%,N18=3,I18*7%,N18&lt;3,I18*5%)</f>
        <v>1761.7</v>
      </c>
    </row>
    <row r="19" spans="1:15">
      <c r="A19" s="24" t="s">
        <v>95</v>
      </c>
      <c r="B19" s="25" t="s">
        <v>61</v>
      </c>
      <c r="C19" s="25" t="s">
        <v>27</v>
      </c>
      <c r="D19" s="25" t="s">
        <v>28</v>
      </c>
      <c r="E19" s="25">
        <v>38</v>
      </c>
      <c r="F19" s="25" t="s">
        <v>20</v>
      </c>
      <c r="G19" s="25" t="s">
        <v>30</v>
      </c>
      <c r="H19" s="26">
        <v>43291</v>
      </c>
      <c r="I19" s="25">
        <v>102733</v>
      </c>
      <c r="J19" s="25" t="s">
        <v>22</v>
      </c>
      <c r="K19" s="25" t="s">
        <v>96</v>
      </c>
      <c r="L19" s="27" t="s">
        <v>39</v>
      </c>
      <c r="M19" s="28" t="str">
        <f>_xlfn.XLOOKUP(F19,Department!$A$2:$A$6,Department!$B$2:$B$6)</f>
        <v>HR</v>
      </c>
      <c r="N19" s="30">
        <f>_xlfn.XLOOKUP(A19,Performance!$A$2:$A$501,Performance!$C$2:$C$501)</f>
        <v>4</v>
      </c>
      <c r="O19" s="28" cm="1">
        <f t="array" ref="O19">_xlfn.IFS(N19=5,I19*15%,N19=4,I19*10%,N19=3,I19*7%,N19&lt;3,I19*5%)</f>
        <v>10273.300000000001</v>
      </c>
    </row>
    <row r="20" spans="1:15">
      <c r="A20" s="24" t="s">
        <v>97</v>
      </c>
      <c r="B20" s="25" t="s">
        <v>34</v>
      </c>
      <c r="C20" s="25" t="s">
        <v>80</v>
      </c>
      <c r="D20" s="25" t="s">
        <v>19</v>
      </c>
      <c r="E20" s="25">
        <v>46</v>
      </c>
      <c r="F20" s="25" t="s">
        <v>20</v>
      </c>
      <c r="G20" s="25" t="s">
        <v>44</v>
      </c>
      <c r="H20" s="26">
        <v>44789</v>
      </c>
      <c r="I20" s="25">
        <v>76829</v>
      </c>
      <c r="J20" s="25" t="s">
        <v>67</v>
      </c>
      <c r="K20" s="25" t="s">
        <v>98</v>
      </c>
      <c r="L20" s="27" t="s">
        <v>24</v>
      </c>
      <c r="M20" s="28" t="str">
        <f>_xlfn.XLOOKUP(F20,Department!$A$2:$A$6,Department!$B$2:$B$6)</f>
        <v>HR</v>
      </c>
      <c r="N20" s="30">
        <f>_xlfn.XLOOKUP(A20,Performance!$A$2:$A$501,Performance!$C$2:$C$501)</f>
        <v>5</v>
      </c>
      <c r="O20" s="28" cm="1">
        <f t="array" ref="O20">_xlfn.IFS(N20=5,I20*15%,N20=4,I20*10%,N20=3,I20*7%,N20&lt;3,I20*5%)</f>
        <v>11524.35</v>
      </c>
    </row>
    <row r="21" spans="1:15">
      <c r="A21" s="24" t="s">
        <v>99</v>
      </c>
      <c r="B21" s="25" t="s">
        <v>92</v>
      </c>
      <c r="C21" s="25" t="s">
        <v>18</v>
      </c>
      <c r="D21" s="25" t="s">
        <v>28</v>
      </c>
      <c r="E21" s="25">
        <v>60</v>
      </c>
      <c r="F21" s="25" t="s">
        <v>43</v>
      </c>
      <c r="G21" s="25" t="s">
        <v>36</v>
      </c>
      <c r="H21" s="26">
        <v>43181</v>
      </c>
      <c r="I21" s="25">
        <v>69718</v>
      </c>
      <c r="J21" s="25" t="s">
        <v>37</v>
      </c>
      <c r="K21" s="25" t="s">
        <v>100</v>
      </c>
      <c r="L21" s="27" t="s">
        <v>39</v>
      </c>
      <c r="M21" s="28" t="str">
        <f>_xlfn.XLOOKUP(F21,Department!$A$2:$A$6,Department!$B$2:$B$6)</f>
        <v>Marketing</v>
      </c>
      <c r="N21" s="30">
        <f>_xlfn.XLOOKUP(A21,Performance!$A$2:$A$501,Performance!$C$2:$C$501)</f>
        <v>5</v>
      </c>
      <c r="O21" s="28" cm="1">
        <f t="array" ref="O21">_xlfn.IFS(N21=5,I21*15%,N21=4,I21*10%,N21=3,I21*7%,N21&lt;3,I21*5%)</f>
        <v>10457.699999999999</v>
      </c>
    </row>
    <row r="22" spans="1:15">
      <c r="A22" s="24" t="s">
        <v>101</v>
      </c>
      <c r="B22" s="25" t="s">
        <v>92</v>
      </c>
      <c r="C22" s="25" t="s">
        <v>84</v>
      </c>
      <c r="D22" s="25" t="s">
        <v>19</v>
      </c>
      <c r="E22" s="25">
        <v>24</v>
      </c>
      <c r="F22" s="25" t="s">
        <v>35</v>
      </c>
      <c r="G22" s="25" t="s">
        <v>102</v>
      </c>
      <c r="H22" s="26">
        <v>44461</v>
      </c>
      <c r="I22" s="25">
        <v>90834</v>
      </c>
      <c r="J22" s="25" t="s">
        <v>81</v>
      </c>
      <c r="K22" s="25" t="s">
        <v>103</v>
      </c>
      <c r="L22" s="27" t="s">
        <v>24</v>
      </c>
      <c r="M22" s="28" t="str">
        <f>_xlfn.XLOOKUP(F22,Department!$A$2:$A$6,Department!$B$2:$B$6)</f>
        <v>Sales</v>
      </c>
      <c r="N22" s="30">
        <f>_xlfn.XLOOKUP(A22,Performance!$A$2:$A$501,Performance!$C$2:$C$501)</f>
        <v>1</v>
      </c>
      <c r="O22" s="28" cm="1">
        <f t="array" ref="O22">_xlfn.IFS(N22=5,I22*15%,N22=4,I22*10%,N22=3,I22*7%,N22&lt;3,I22*5%)</f>
        <v>4541.7</v>
      </c>
    </row>
    <row r="23" spans="1:15">
      <c r="A23" s="24" t="s">
        <v>104</v>
      </c>
      <c r="B23" s="25" t="s">
        <v>17</v>
      </c>
      <c r="C23" s="25" t="s">
        <v>18</v>
      </c>
      <c r="D23" s="25" t="s">
        <v>28</v>
      </c>
      <c r="E23" s="25">
        <v>51</v>
      </c>
      <c r="F23" s="25" t="s">
        <v>20</v>
      </c>
      <c r="G23" s="25" t="s">
        <v>102</v>
      </c>
      <c r="H23" s="26">
        <v>44884</v>
      </c>
      <c r="I23" s="25">
        <v>51631</v>
      </c>
      <c r="J23" s="25" t="s">
        <v>67</v>
      </c>
      <c r="K23" s="25" t="s">
        <v>105</v>
      </c>
      <c r="L23" s="27" t="s">
        <v>39</v>
      </c>
      <c r="M23" s="28" t="str">
        <f>_xlfn.XLOOKUP(F23,Department!$A$2:$A$6,Department!$B$2:$B$6)</f>
        <v>HR</v>
      </c>
      <c r="N23" s="30">
        <f>_xlfn.XLOOKUP(A23,Performance!$A$2:$A$501,Performance!$C$2:$C$501)</f>
        <v>5</v>
      </c>
      <c r="O23" s="28" cm="1">
        <f t="array" ref="O23">_xlfn.IFS(N23=5,I23*15%,N23=4,I23*10%,N23=3,I23*7%,N23&lt;3,I23*5%)</f>
        <v>7744.65</v>
      </c>
    </row>
    <row r="24" spans="1:15">
      <c r="A24" s="24" t="s">
        <v>106</v>
      </c>
      <c r="B24" s="25" t="s">
        <v>74</v>
      </c>
      <c r="C24" s="25" t="s">
        <v>66</v>
      </c>
      <c r="D24" s="25" t="s">
        <v>28</v>
      </c>
      <c r="E24" s="25">
        <v>45</v>
      </c>
      <c r="F24" s="25" t="s">
        <v>35</v>
      </c>
      <c r="G24" s="25" t="s">
        <v>30</v>
      </c>
      <c r="H24" s="26">
        <v>44552</v>
      </c>
      <c r="I24" s="25">
        <v>51414</v>
      </c>
      <c r="J24" s="25" t="s">
        <v>67</v>
      </c>
      <c r="K24" s="25" t="s">
        <v>107</v>
      </c>
      <c r="L24" s="27" t="s">
        <v>24</v>
      </c>
      <c r="M24" s="28" t="str">
        <f>_xlfn.XLOOKUP(F24,Department!$A$2:$A$6,Department!$B$2:$B$6)</f>
        <v>Sales</v>
      </c>
      <c r="N24" s="30">
        <f>_xlfn.XLOOKUP(A24,Performance!$A$2:$A$501,Performance!$C$2:$C$501)</f>
        <v>3</v>
      </c>
      <c r="O24" s="28" cm="1">
        <f t="array" ref="O24">_xlfn.IFS(N24=5,I24*15%,N24=4,I24*10%,N24=3,I24*7%,N24&lt;3,I24*5%)</f>
        <v>3598.9800000000005</v>
      </c>
    </row>
    <row r="25" spans="1:15">
      <c r="A25" s="24" t="s">
        <v>108</v>
      </c>
      <c r="B25" s="25" t="s">
        <v>48</v>
      </c>
      <c r="C25" s="25" t="s">
        <v>66</v>
      </c>
      <c r="D25" s="25" t="s">
        <v>28</v>
      </c>
      <c r="E25" s="25">
        <v>35</v>
      </c>
      <c r="F25" s="25" t="s">
        <v>54</v>
      </c>
      <c r="G25" s="25" t="s">
        <v>21</v>
      </c>
      <c r="H25" s="26">
        <v>43624</v>
      </c>
      <c r="I25" s="25">
        <v>79578</v>
      </c>
      <c r="J25" s="25" t="s">
        <v>22</v>
      </c>
      <c r="K25" s="25" t="s">
        <v>109</v>
      </c>
      <c r="L25" s="27" t="s">
        <v>39</v>
      </c>
      <c r="M25" s="28" t="str">
        <f>_xlfn.XLOOKUP(F25,Department!$A$2:$A$6,Department!$B$2:$B$6)</f>
        <v>Finance</v>
      </c>
      <c r="N25" s="30">
        <f>_xlfn.XLOOKUP(A25,Performance!$A$2:$A$501,Performance!$C$2:$C$501)</f>
        <v>4</v>
      </c>
      <c r="O25" s="28" cm="1">
        <f t="array" ref="O25">_xlfn.IFS(N25=5,I25*15%,N25=4,I25*10%,N25=3,I25*7%,N25&lt;3,I25*5%)</f>
        <v>7957.8</v>
      </c>
    </row>
    <row r="26" spans="1:15">
      <c r="A26" s="24" t="s">
        <v>110</v>
      </c>
      <c r="B26" s="25" t="s">
        <v>74</v>
      </c>
      <c r="C26" s="25" t="s">
        <v>84</v>
      </c>
      <c r="D26" s="25" t="s">
        <v>28</v>
      </c>
      <c r="E26" s="25">
        <v>47</v>
      </c>
      <c r="F26" s="25" t="s">
        <v>29</v>
      </c>
      <c r="G26" s="25" t="s">
        <v>102</v>
      </c>
      <c r="H26" s="26">
        <v>44537</v>
      </c>
      <c r="I26" s="25">
        <v>111899</v>
      </c>
      <c r="J26" s="25" t="s">
        <v>67</v>
      </c>
      <c r="K26" s="25" t="s">
        <v>111</v>
      </c>
      <c r="L26" s="27" t="s">
        <v>39</v>
      </c>
      <c r="M26" s="28" t="str">
        <f>_xlfn.XLOOKUP(F26,Department!$A$2:$A$6,Department!$B$2:$B$6)</f>
        <v>IT</v>
      </c>
      <c r="N26" s="30">
        <f>_xlfn.XLOOKUP(A26,Performance!$A$2:$A$501,Performance!$C$2:$C$501)</f>
        <v>4</v>
      </c>
      <c r="O26" s="28" cm="1">
        <f t="array" ref="O26">_xlfn.IFS(N26=5,I26*15%,N26=4,I26*10%,N26=3,I26*7%,N26&lt;3,I26*5%)</f>
        <v>11189.900000000001</v>
      </c>
    </row>
    <row r="27" spans="1:15">
      <c r="A27" s="24" t="s">
        <v>112</v>
      </c>
      <c r="B27" s="25" t="s">
        <v>61</v>
      </c>
      <c r="C27" s="25" t="s">
        <v>18</v>
      </c>
      <c r="D27" s="25" t="s">
        <v>28</v>
      </c>
      <c r="E27" s="25">
        <v>47</v>
      </c>
      <c r="F27" s="25" t="s">
        <v>35</v>
      </c>
      <c r="G27" s="25" t="s">
        <v>30</v>
      </c>
      <c r="H27" s="26">
        <v>45101</v>
      </c>
      <c r="I27" s="25">
        <v>95862</v>
      </c>
      <c r="J27" s="25" t="s">
        <v>22</v>
      </c>
      <c r="K27" s="25" t="s">
        <v>113</v>
      </c>
      <c r="L27" s="27" t="s">
        <v>24</v>
      </c>
      <c r="M27" s="28" t="str">
        <f>_xlfn.XLOOKUP(F27,Department!$A$2:$A$6,Department!$B$2:$B$6)</f>
        <v>Sales</v>
      </c>
      <c r="N27" s="30">
        <f>_xlfn.XLOOKUP(A27,Performance!$A$2:$A$501,Performance!$C$2:$C$501)</f>
        <v>1</v>
      </c>
      <c r="O27" s="28" cm="1">
        <f t="array" ref="O27">_xlfn.IFS(N27=5,I27*15%,N27=4,I27*10%,N27=3,I27*7%,N27&lt;3,I27*5%)</f>
        <v>4793.1000000000004</v>
      </c>
    </row>
    <row r="28" spans="1:15">
      <c r="A28" s="24" t="s">
        <v>114</v>
      </c>
      <c r="B28" s="25" t="s">
        <v>17</v>
      </c>
      <c r="C28" s="25" t="s">
        <v>84</v>
      </c>
      <c r="D28" s="25" t="s">
        <v>19</v>
      </c>
      <c r="E28" s="25">
        <v>49</v>
      </c>
      <c r="F28" s="25" t="s">
        <v>29</v>
      </c>
      <c r="G28" s="25" t="s">
        <v>21</v>
      </c>
      <c r="H28" s="26">
        <v>44113</v>
      </c>
      <c r="I28" s="25">
        <v>110397</v>
      </c>
      <c r="J28" s="25" t="s">
        <v>81</v>
      </c>
      <c r="K28" s="25" t="s">
        <v>115</v>
      </c>
      <c r="L28" s="27" t="s">
        <v>39</v>
      </c>
      <c r="M28" s="28" t="str">
        <f>_xlfn.XLOOKUP(F28,Department!$A$2:$A$6,Department!$B$2:$B$6)</f>
        <v>IT</v>
      </c>
      <c r="N28" s="30">
        <f>_xlfn.XLOOKUP(A28,Performance!$A$2:$A$501,Performance!$C$2:$C$501)</f>
        <v>1</v>
      </c>
      <c r="O28" s="28" cm="1">
        <f t="array" ref="O28">_xlfn.IFS(N28=5,I28*15%,N28=4,I28*10%,N28=3,I28*7%,N28&lt;3,I28*5%)</f>
        <v>5519.85</v>
      </c>
    </row>
    <row r="29" spans="1:15">
      <c r="A29" s="24" t="s">
        <v>116</v>
      </c>
      <c r="B29" s="25" t="s">
        <v>48</v>
      </c>
      <c r="C29" s="25" t="s">
        <v>117</v>
      </c>
      <c r="D29" s="25" t="s">
        <v>19</v>
      </c>
      <c r="E29" s="25">
        <v>27</v>
      </c>
      <c r="F29" s="25" t="s">
        <v>54</v>
      </c>
      <c r="G29" s="25" t="s">
        <v>30</v>
      </c>
      <c r="H29" s="26">
        <v>44355</v>
      </c>
      <c r="I29" s="25">
        <v>111149</v>
      </c>
      <c r="J29" s="25" t="s">
        <v>81</v>
      </c>
      <c r="K29" s="25" t="s">
        <v>118</v>
      </c>
      <c r="L29" s="27" t="s">
        <v>24</v>
      </c>
      <c r="M29" s="28" t="str">
        <f>_xlfn.XLOOKUP(F29,Department!$A$2:$A$6,Department!$B$2:$B$6)</f>
        <v>Finance</v>
      </c>
      <c r="N29" s="30">
        <f>_xlfn.XLOOKUP(A29,Performance!$A$2:$A$501,Performance!$C$2:$C$501)</f>
        <v>4</v>
      </c>
      <c r="O29" s="28" cm="1">
        <f t="array" ref="O29">_xlfn.IFS(N29=5,I29*15%,N29=4,I29*10%,N29=3,I29*7%,N29&lt;3,I29*5%)</f>
        <v>11114.900000000001</v>
      </c>
    </row>
    <row r="30" spans="1:15">
      <c r="A30" s="24" t="s">
        <v>119</v>
      </c>
      <c r="B30" s="25" t="s">
        <v>58</v>
      </c>
      <c r="C30" s="25" t="s">
        <v>80</v>
      </c>
      <c r="D30" s="25" t="s">
        <v>28</v>
      </c>
      <c r="E30" s="25">
        <v>36</v>
      </c>
      <c r="F30" s="25" t="s">
        <v>35</v>
      </c>
      <c r="G30" s="25" t="s">
        <v>21</v>
      </c>
      <c r="H30" s="26">
        <v>44600</v>
      </c>
      <c r="I30" s="25">
        <v>67035</v>
      </c>
      <c r="J30" s="25" t="s">
        <v>81</v>
      </c>
      <c r="K30" s="25" t="s">
        <v>120</v>
      </c>
      <c r="L30" s="27" t="s">
        <v>39</v>
      </c>
      <c r="M30" s="28" t="str">
        <f>_xlfn.XLOOKUP(F30,Department!$A$2:$A$6,Department!$B$2:$B$6)</f>
        <v>Sales</v>
      </c>
      <c r="N30" s="30">
        <f>_xlfn.XLOOKUP(A30,Performance!$A$2:$A$501,Performance!$C$2:$C$501)</f>
        <v>5</v>
      </c>
      <c r="O30" s="28" cm="1">
        <f t="array" ref="O30">_xlfn.IFS(N30=5,I30*15%,N30=4,I30*10%,N30=3,I30*7%,N30&lt;3,I30*5%)</f>
        <v>10055.25</v>
      </c>
    </row>
    <row r="31" spans="1:15">
      <c r="A31" s="24" t="s">
        <v>121</v>
      </c>
      <c r="B31" s="25" t="s">
        <v>42</v>
      </c>
      <c r="C31" s="25" t="s">
        <v>18</v>
      </c>
      <c r="D31" s="25" t="s">
        <v>28</v>
      </c>
      <c r="E31" s="25">
        <v>41</v>
      </c>
      <c r="F31" s="25" t="s">
        <v>29</v>
      </c>
      <c r="G31" s="25" t="s">
        <v>21</v>
      </c>
      <c r="H31" s="26">
        <v>44336</v>
      </c>
      <c r="I31" s="25">
        <v>103851</v>
      </c>
      <c r="J31" s="25" t="s">
        <v>37</v>
      </c>
      <c r="K31" s="25" t="s">
        <v>122</v>
      </c>
      <c r="L31" s="27" t="s">
        <v>39</v>
      </c>
      <c r="M31" s="28" t="str">
        <f>_xlfn.XLOOKUP(F31,Department!$A$2:$A$6,Department!$B$2:$B$6)</f>
        <v>IT</v>
      </c>
      <c r="N31" s="30">
        <f>_xlfn.XLOOKUP(A31,Performance!$A$2:$A$501,Performance!$C$2:$C$501)</f>
        <v>2</v>
      </c>
      <c r="O31" s="28" cm="1">
        <f t="array" ref="O31">_xlfn.IFS(N31=5,I31*15%,N31=4,I31*10%,N31=3,I31*7%,N31&lt;3,I31*5%)</f>
        <v>5192.55</v>
      </c>
    </row>
    <row r="32" spans="1:15">
      <c r="A32" s="24" t="s">
        <v>123</v>
      </c>
      <c r="B32" s="25" t="s">
        <v>17</v>
      </c>
      <c r="C32" s="25" t="s">
        <v>49</v>
      </c>
      <c r="D32" s="25" t="s">
        <v>19</v>
      </c>
      <c r="E32" s="25">
        <v>26</v>
      </c>
      <c r="F32" s="25" t="s">
        <v>43</v>
      </c>
      <c r="G32" s="25" t="s">
        <v>102</v>
      </c>
      <c r="H32" s="26">
        <v>43685</v>
      </c>
      <c r="I32" s="25">
        <v>63676</v>
      </c>
      <c r="J32" s="25" t="s">
        <v>22</v>
      </c>
      <c r="K32" s="25" t="s">
        <v>124</v>
      </c>
      <c r="L32" s="27" t="s">
        <v>39</v>
      </c>
      <c r="M32" s="28" t="str">
        <f>_xlfn.XLOOKUP(F32,Department!$A$2:$A$6,Department!$B$2:$B$6)</f>
        <v>Marketing</v>
      </c>
      <c r="N32" s="30">
        <f>_xlfn.XLOOKUP(A32,Performance!$A$2:$A$501,Performance!$C$2:$C$501)</f>
        <v>1</v>
      </c>
      <c r="O32" s="28" cm="1">
        <f t="array" ref="O32">_xlfn.IFS(N32=5,I32*15%,N32=4,I32*10%,N32=3,I32*7%,N32&lt;3,I32*5%)</f>
        <v>3183.8</v>
      </c>
    </row>
    <row r="33" spans="1:15">
      <c r="A33" s="24" t="s">
        <v>125</v>
      </c>
      <c r="B33" s="25" t="s">
        <v>126</v>
      </c>
      <c r="C33" s="25" t="s">
        <v>93</v>
      </c>
      <c r="D33" s="25" t="s">
        <v>19</v>
      </c>
      <c r="E33" s="25">
        <v>31</v>
      </c>
      <c r="F33" s="25" t="s">
        <v>20</v>
      </c>
      <c r="G33" s="25" t="s">
        <v>44</v>
      </c>
      <c r="H33" s="26">
        <v>43784</v>
      </c>
      <c r="I33" s="25">
        <v>115269</v>
      </c>
      <c r="J33" s="25" t="s">
        <v>81</v>
      </c>
      <c r="K33" s="25" t="s">
        <v>127</v>
      </c>
      <c r="L33" s="27" t="s">
        <v>39</v>
      </c>
      <c r="M33" s="28" t="str">
        <f>_xlfn.XLOOKUP(F33,Department!$A$2:$A$6,Department!$B$2:$B$6)</f>
        <v>HR</v>
      </c>
      <c r="N33" s="30">
        <f>_xlfn.XLOOKUP(A33,Performance!$A$2:$A$501,Performance!$C$2:$C$501)</f>
        <v>4</v>
      </c>
      <c r="O33" s="28" cm="1">
        <f t="array" ref="O33">_xlfn.IFS(N33=5,I33*15%,N33=4,I33*10%,N33=3,I33*7%,N33&lt;3,I33*5%)</f>
        <v>11526.900000000001</v>
      </c>
    </row>
    <row r="34" spans="1:15">
      <c r="A34" s="24" t="s">
        <v>128</v>
      </c>
      <c r="B34" s="25" t="s">
        <v>126</v>
      </c>
      <c r="C34" s="25" t="s">
        <v>66</v>
      </c>
      <c r="D34" s="25" t="s">
        <v>28</v>
      </c>
      <c r="E34" s="25">
        <v>47</v>
      </c>
      <c r="F34" s="25" t="s">
        <v>35</v>
      </c>
      <c r="G34" s="25" t="s">
        <v>21</v>
      </c>
      <c r="H34" s="26">
        <v>43634</v>
      </c>
      <c r="I34" s="25">
        <v>77203</v>
      </c>
      <c r="J34" s="25" t="s">
        <v>37</v>
      </c>
      <c r="K34" s="25" t="s">
        <v>129</v>
      </c>
      <c r="L34" s="27" t="s">
        <v>24</v>
      </c>
      <c r="M34" s="28" t="str">
        <f>_xlfn.XLOOKUP(F34,Department!$A$2:$A$6,Department!$B$2:$B$6)</f>
        <v>Sales</v>
      </c>
      <c r="N34" s="30">
        <f>_xlfn.XLOOKUP(A34,Performance!$A$2:$A$501,Performance!$C$2:$C$501)</f>
        <v>5</v>
      </c>
      <c r="O34" s="28" cm="1">
        <f t="array" ref="O34">_xlfn.IFS(N34=5,I34*15%,N34=4,I34*10%,N34=3,I34*7%,N34&lt;3,I34*5%)</f>
        <v>11580.449999999999</v>
      </c>
    </row>
    <row r="35" spans="1:15">
      <c r="A35" s="24" t="s">
        <v>130</v>
      </c>
      <c r="B35" s="25" t="s">
        <v>61</v>
      </c>
      <c r="C35" s="25" t="s">
        <v>84</v>
      </c>
      <c r="D35" s="25" t="s">
        <v>28</v>
      </c>
      <c r="E35" s="25">
        <v>57</v>
      </c>
      <c r="F35" s="25" t="s">
        <v>20</v>
      </c>
      <c r="G35" s="25" t="s">
        <v>102</v>
      </c>
      <c r="H35" s="26">
        <v>45366</v>
      </c>
      <c r="I35" s="25">
        <v>113291</v>
      </c>
      <c r="J35" s="25" t="s">
        <v>81</v>
      </c>
      <c r="K35" s="25" t="s">
        <v>131</v>
      </c>
      <c r="L35" s="27" t="s">
        <v>39</v>
      </c>
      <c r="M35" s="28" t="str">
        <f>_xlfn.XLOOKUP(F35,Department!$A$2:$A$6,Department!$B$2:$B$6)</f>
        <v>HR</v>
      </c>
      <c r="N35" s="30">
        <f>_xlfn.XLOOKUP(A35,Performance!$A$2:$A$501,Performance!$C$2:$C$501)</f>
        <v>1</v>
      </c>
      <c r="O35" s="28" cm="1">
        <f t="array" ref="O35">_xlfn.IFS(N35=5,I35*15%,N35=4,I35*10%,N35=3,I35*7%,N35&lt;3,I35*5%)</f>
        <v>5664.55</v>
      </c>
    </row>
    <row r="36" spans="1:15">
      <c r="A36" s="24" t="s">
        <v>132</v>
      </c>
      <c r="B36" s="25" t="s">
        <v>42</v>
      </c>
      <c r="C36" s="25" t="s">
        <v>80</v>
      </c>
      <c r="D36" s="25" t="s">
        <v>19</v>
      </c>
      <c r="E36" s="25">
        <v>45</v>
      </c>
      <c r="F36" s="25" t="s">
        <v>20</v>
      </c>
      <c r="G36" s="25" t="s">
        <v>21</v>
      </c>
      <c r="H36" s="26">
        <v>44525</v>
      </c>
      <c r="I36" s="25">
        <v>93729</v>
      </c>
      <c r="J36" s="25" t="s">
        <v>81</v>
      </c>
      <c r="K36" s="25" t="s">
        <v>133</v>
      </c>
      <c r="L36" s="27" t="s">
        <v>39</v>
      </c>
      <c r="M36" s="28" t="str">
        <f>_xlfn.XLOOKUP(F36,Department!$A$2:$A$6,Department!$B$2:$B$6)</f>
        <v>HR</v>
      </c>
      <c r="N36" s="30">
        <f>_xlfn.XLOOKUP(A36,Performance!$A$2:$A$501,Performance!$C$2:$C$501)</f>
        <v>5</v>
      </c>
      <c r="O36" s="28" cm="1">
        <f t="array" ref="O36">_xlfn.IFS(N36=5,I36*15%,N36=4,I36*10%,N36=3,I36*7%,N36&lt;3,I36*5%)</f>
        <v>14059.35</v>
      </c>
    </row>
    <row r="37" spans="1:15">
      <c r="A37" s="24" t="s">
        <v>134</v>
      </c>
      <c r="B37" s="25" t="s">
        <v>34</v>
      </c>
      <c r="C37" s="25" t="s">
        <v>49</v>
      </c>
      <c r="D37" s="25" t="s">
        <v>28</v>
      </c>
      <c r="E37" s="25">
        <v>40</v>
      </c>
      <c r="F37" s="25" t="s">
        <v>43</v>
      </c>
      <c r="G37" s="25" t="s">
        <v>102</v>
      </c>
      <c r="H37" s="26">
        <v>43266</v>
      </c>
      <c r="I37" s="25">
        <v>35947</v>
      </c>
      <c r="J37" s="25" t="s">
        <v>67</v>
      </c>
      <c r="K37" s="25" t="s">
        <v>135</v>
      </c>
      <c r="L37" s="27" t="s">
        <v>39</v>
      </c>
      <c r="M37" s="28" t="str">
        <f>_xlfn.XLOOKUP(F37,Department!$A$2:$A$6,Department!$B$2:$B$6)</f>
        <v>Marketing</v>
      </c>
      <c r="N37" s="30">
        <f>_xlfn.XLOOKUP(A37,Performance!$A$2:$A$501,Performance!$C$2:$C$501)</f>
        <v>1</v>
      </c>
      <c r="O37" s="28" cm="1">
        <f t="array" ref="O37">_xlfn.IFS(N37=5,I37*15%,N37=4,I37*10%,N37=3,I37*7%,N37&lt;3,I37*5%)</f>
        <v>1797.3500000000001</v>
      </c>
    </row>
    <row r="38" spans="1:15">
      <c r="A38" s="24" t="s">
        <v>136</v>
      </c>
      <c r="B38" s="25" t="s">
        <v>17</v>
      </c>
      <c r="C38" s="25" t="s">
        <v>49</v>
      </c>
      <c r="D38" s="25" t="s">
        <v>19</v>
      </c>
      <c r="E38" s="25">
        <v>49</v>
      </c>
      <c r="F38" s="25" t="s">
        <v>43</v>
      </c>
      <c r="G38" s="25" t="s">
        <v>30</v>
      </c>
      <c r="H38" s="26">
        <v>44340</v>
      </c>
      <c r="I38" s="25">
        <v>72311</v>
      </c>
      <c r="J38" s="25" t="s">
        <v>81</v>
      </c>
      <c r="K38" s="25" t="s">
        <v>137</v>
      </c>
      <c r="L38" s="27" t="s">
        <v>39</v>
      </c>
      <c r="M38" s="28" t="str">
        <f>_xlfn.XLOOKUP(F38,Department!$A$2:$A$6,Department!$B$2:$B$6)</f>
        <v>Marketing</v>
      </c>
      <c r="N38" s="30">
        <f>_xlfn.XLOOKUP(A38,Performance!$A$2:$A$501,Performance!$C$2:$C$501)</f>
        <v>4</v>
      </c>
      <c r="O38" s="28" cm="1">
        <f t="array" ref="O38">_xlfn.IFS(N38=5,I38*15%,N38=4,I38*10%,N38=3,I38*7%,N38&lt;3,I38*5%)</f>
        <v>7231.1</v>
      </c>
    </row>
    <row r="39" spans="1:15">
      <c r="A39" s="24" t="s">
        <v>138</v>
      </c>
      <c r="B39" s="25" t="s">
        <v>126</v>
      </c>
      <c r="C39" s="25" t="s">
        <v>89</v>
      </c>
      <c r="D39" s="25" t="s">
        <v>28</v>
      </c>
      <c r="E39" s="25">
        <v>53</v>
      </c>
      <c r="F39" s="25" t="s">
        <v>54</v>
      </c>
      <c r="G39" s="25" t="s">
        <v>44</v>
      </c>
      <c r="H39" s="26">
        <v>44148</v>
      </c>
      <c r="I39" s="25">
        <v>38763</v>
      </c>
      <c r="J39" s="25" t="s">
        <v>62</v>
      </c>
      <c r="K39" s="25" t="s">
        <v>139</v>
      </c>
      <c r="L39" s="27" t="s">
        <v>24</v>
      </c>
      <c r="M39" s="28" t="str">
        <f>_xlfn.XLOOKUP(F39,Department!$A$2:$A$6,Department!$B$2:$B$6)</f>
        <v>Finance</v>
      </c>
      <c r="N39" s="30">
        <f>_xlfn.XLOOKUP(A39,Performance!$A$2:$A$501,Performance!$C$2:$C$501)</f>
        <v>4</v>
      </c>
      <c r="O39" s="28" cm="1">
        <f t="array" ref="O39">_xlfn.IFS(N39=5,I39*15%,N39=4,I39*10%,N39=3,I39*7%,N39&lt;3,I39*5%)</f>
        <v>3876.3</v>
      </c>
    </row>
    <row r="40" spans="1:15">
      <c r="A40" s="24" t="s">
        <v>140</v>
      </c>
      <c r="B40" s="25" t="s">
        <v>42</v>
      </c>
      <c r="C40" s="25" t="s">
        <v>141</v>
      </c>
      <c r="D40" s="25" t="s">
        <v>19</v>
      </c>
      <c r="E40" s="25">
        <v>54</v>
      </c>
      <c r="F40" s="25" t="s">
        <v>35</v>
      </c>
      <c r="G40" s="25" t="s">
        <v>36</v>
      </c>
      <c r="H40" s="26">
        <v>43271</v>
      </c>
      <c r="I40" s="25">
        <v>101175</v>
      </c>
      <c r="J40" s="25" t="s">
        <v>62</v>
      </c>
      <c r="K40" s="25" t="s">
        <v>142</v>
      </c>
      <c r="L40" s="27" t="s">
        <v>24</v>
      </c>
      <c r="M40" s="28" t="str">
        <f>_xlfn.XLOOKUP(F40,Department!$A$2:$A$6,Department!$B$2:$B$6)</f>
        <v>Sales</v>
      </c>
      <c r="N40" s="30">
        <f>_xlfn.XLOOKUP(A40,Performance!$A$2:$A$501,Performance!$C$2:$C$501)</f>
        <v>3</v>
      </c>
      <c r="O40" s="28" cm="1">
        <f t="array" ref="O40">_xlfn.IFS(N40=5,I40*15%,N40=4,I40*10%,N40=3,I40*7%,N40&lt;3,I40*5%)</f>
        <v>7082.2500000000009</v>
      </c>
    </row>
    <row r="41" spans="1:15">
      <c r="A41" s="24" t="s">
        <v>143</v>
      </c>
      <c r="B41" s="25" t="s">
        <v>126</v>
      </c>
      <c r="C41" s="25" t="s">
        <v>89</v>
      </c>
      <c r="D41" s="25" t="s">
        <v>19</v>
      </c>
      <c r="E41" s="25">
        <v>41</v>
      </c>
      <c r="F41" s="25" t="s">
        <v>29</v>
      </c>
      <c r="G41" s="25" t="s">
        <v>102</v>
      </c>
      <c r="H41" s="26">
        <v>43431</v>
      </c>
      <c r="I41" s="25">
        <v>36386</v>
      </c>
      <c r="J41" s="25" t="s">
        <v>67</v>
      </c>
      <c r="K41" s="25" t="s">
        <v>144</v>
      </c>
      <c r="L41" s="27" t="s">
        <v>24</v>
      </c>
      <c r="M41" s="28" t="str">
        <f>_xlfn.XLOOKUP(F41,Department!$A$2:$A$6,Department!$B$2:$B$6)</f>
        <v>IT</v>
      </c>
      <c r="N41" s="30">
        <f>_xlfn.XLOOKUP(A41,Performance!$A$2:$A$501,Performance!$C$2:$C$501)</f>
        <v>2</v>
      </c>
      <c r="O41" s="28" cm="1">
        <f t="array" ref="O41">_xlfn.IFS(N41=5,I41*15%,N41=4,I41*10%,N41=3,I41*7%,N41&lt;3,I41*5%)</f>
        <v>1819.3000000000002</v>
      </c>
    </row>
    <row r="42" spans="1:15">
      <c r="A42" s="24" t="s">
        <v>145</v>
      </c>
      <c r="B42" s="25" t="s">
        <v>74</v>
      </c>
      <c r="C42" s="25" t="s">
        <v>49</v>
      </c>
      <c r="D42" s="25" t="s">
        <v>19</v>
      </c>
      <c r="E42" s="25">
        <v>56</v>
      </c>
      <c r="F42" s="25" t="s">
        <v>43</v>
      </c>
      <c r="G42" s="25" t="s">
        <v>44</v>
      </c>
      <c r="H42" s="26">
        <v>44526</v>
      </c>
      <c r="I42" s="25">
        <v>76395</v>
      </c>
      <c r="J42" s="25" t="s">
        <v>22</v>
      </c>
      <c r="K42" s="25" t="s">
        <v>146</v>
      </c>
      <c r="L42" s="27" t="s">
        <v>39</v>
      </c>
      <c r="M42" s="28" t="str">
        <f>_xlfn.XLOOKUP(F42,Department!$A$2:$A$6,Department!$B$2:$B$6)</f>
        <v>Marketing</v>
      </c>
      <c r="N42" s="30">
        <f>_xlfn.XLOOKUP(A42,Performance!$A$2:$A$501,Performance!$C$2:$C$501)</f>
        <v>4</v>
      </c>
      <c r="O42" s="28" cm="1">
        <f t="array" ref="O42">_xlfn.IFS(N42=5,I42*15%,N42=4,I42*10%,N42=3,I42*7%,N42&lt;3,I42*5%)</f>
        <v>7639.5</v>
      </c>
    </row>
    <row r="43" spans="1:15">
      <c r="A43" s="24" t="s">
        <v>147</v>
      </c>
      <c r="B43" s="25" t="s">
        <v>48</v>
      </c>
      <c r="C43" s="25" t="s">
        <v>93</v>
      </c>
      <c r="D43" s="25" t="s">
        <v>28</v>
      </c>
      <c r="E43" s="25">
        <v>49</v>
      </c>
      <c r="F43" s="25" t="s">
        <v>35</v>
      </c>
      <c r="G43" s="25" t="s">
        <v>102</v>
      </c>
      <c r="H43" s="26">
        <v>43489</v>
      </c>
      <c r="I43" s="25">
        <v>43701</v>
      </c>
      <c r="J43" s="25" t="s">
        <v>62</v>
      </c>
      <c r="K43" s="25" t="s">
        <v>148</v>
      </c>
      <c r="L43" s="27" t="s">
        <v>24</v>
      </c>
      <c r="M43" s="28" t="str">
        <f>_xlfn.XLOOKUP(F43,Department!$A$2:$A$6,Department!$B$2:$B$6)</f>
        <v>Sales</v>
      </c>
      <c r="N43" s="30">
        <f>_xlfn.XLOOKUP(A43,Performance!$A$2:$A$501,Performance!$C$2:$C$501)</f>
        <v>3</v>
      </c>
      <c r="O43" s="28" cm="1">
        <f t="array" ref="O43">_xlfn.IFS(N43=5,I43*15%,N43=4,I43*10%,N43=3,I43*7%,N43&lt;3,I43*5%)</f>
        <v>3059.07</v>
      </c>
    </row>
    <row r="44" spans="1:15">
      <c r="A44" s="24" t="s">
        <v>149</v>
      </c>
      <c r="B44" s="25" t="s">
        <v>92</v>
      </c>
      <c r="C44" s="25" t="s">
        <v>117</v>
      </c>
      <c r="D44" s="25" t="s">
        <v>28</v>
      </c>
      <c r="E44" s="25">
        <v>32</v>
      </c>
      <c r="F44" s="25" t="s">
        <v>29</v>
      </c>
      <c r="G44" s="25" t="s">
        <v>21</v>
      </c>
      <c r="H44" s="26">
        <v>43116</v>
      </c>
      <c r="I44" s="25">
        <v>85198</v>
      </c>
      <c r="J44" s="25" t="s">
        <v>62</v>
      </c>
      <c r="K44" s="25" t="s">
        <v>150</v>
      </c>
      <c r="L44" s="27" t="s">
        <v>24</v>
      </c>
      <c r="M44" s="28" t="str">
        <f>_xlfn.XLOOKUP(F44,Department!$A$2:$A$6,Department!$B$2:$B$6)</f>
        <v>IT</v>
      </c>
      <c r="N44" s="30">
        <f>_xlfn.XLOOKUP(A44,Performance!$A$2:$A$501,Performance!$C$2:$C$501)</f>
        <v>5</v>
      </c>
      <c r="O44" s="28" cm="1">
        <f t="array" ref="O44">_xlfn.IFS(N44=5,I44*15%,N44=4,I44*10%,N44=3,I44*7%,N44&lt;3,I44*5%)</f>
        <v>12779.699999999999</v>
      </c>
    </row>
    <row r="45" spans="1:15">
      <c r="A45" s="24" t="s">
        <v>151</v>
      </c>
      <c r="B45" s="25" t="s">
        <v>17</v>
      </c>
      <c r="C45" s="25" t="s">
        <v>117</v>
      </c>
      <c r="D45" s="25" t="s">
        <v>19</v>
      </c>
      <c r="E45" s="25">
        <v>26</v>
      </c>
      <c r="F45" s="25" t="s">
        <v>20</v>
      </c>
      <c r="G45" s="25" t="s">
        <v>44</v>
      </c>
      <c r="H45" s="26">
        <v>44932</v>
      </c>
      <c r="I45" s="25">
        <v>39451</v>
      </c>
      <c r="J45" s="25" t="s">
        <v>81</v>
      </c>
      <c r="K45" s="25" t="s">
        <v>152</v>
      </c>
      <c r="L45" s="27" t="s">
        <v>24</v>
      </c>
      <c r="M45" s="28" t="str">
        <f>_xlfn.XLOOKUP(F45,Department!$A$2:$A$6,Department!$B$2:$B$6)</f>
        <v>HR</v>
      </c>
      <c r="N45" s="30">
        <f>_xlfn.XLOOKUP(A45,Performance!$A$2:$A$501,Performance!$C$2:$C$501)</f>
        <v>3</v>
      </c>
      <c r="O45" s="28" cm="1">
        <f t="array" ref="O45">_xlfn.IFS(N45=5,I45*15%,N45=4,I45*10%,N45=3,I45*7%,N45&lt;3,I45*5%)</f>
        <v>2761.57</v>
      </c>
    </row>
    <row r="46" spans="1:15">
      <c r="A46" s="24" t="s">
        <v>153</v>
      </c>
      <c r="B46" s="25" t="s">
        <v>126</v>
      </c>
      <c r="C46" s="25" t="s">
        <v>141</v>
      </c>
      <c r="D46" s="25" t="s">
        <v>19</v>
      </c>
      <c r="E46" s="25">
        <v>26</v>
      </c>
      <c r="F46" s="25" t="s">
        <v>35</v>
      </c>
      <c r="G46" s="25" t="s">
        <v>44</v>
      </c>
      <c r="H46" s="26">
        <v>45499</v>
      </c>
      <c r="I46" s="25">
        <v>45087</v>
      </c>
      <c r="J46" s="25" t="s">
        <v>81</v>
      </c>
      <c r="K46" s="25" t="s">
        <v>154</v>
      </c>
      <c r="L46" s="27" t="s">
        <v>24</v>
      </c>
      <c r="M46" s="28" t="str">
        <f>_xlfn.XLOOKUP(F46,Department!$A$2:$A$6,Department!$B$2:$B$6)</f>
        <v>Sales</v>
      </c>
      <c r="N46" s="30">
        <f>_xlfn.XLOOKUP(A46,Performance!$A$2:$A$501,Performance!$C$2:$C$501)</f>
        <v>1</v>
      </c>
      <c r="O46" s="28" cm="1">
        <f t="array" ref="O46">_xlfn.IFS(N46=5,I46*15%,N46=4,I46*10%,N46=3,I46*7%,N46&lt;3,I46*5%)</f>
        <v>2254.35</v>
      </c>
    </row>
    <row r="47" spans="1:15">
      <c r="A47" s="24" t="s">
        <v>155</v>
      </c>
      <c r="B47" s="25" t="s">
        <v>34</v>
      </c>
      <c r="C47" s="25" t="s">
        <v>93</v>
      </c>
      <c r="D47" s="25" t="s">
        <v>28</v>
      </c>
      <c r="E47" s="25">
        <v>26</v>
      </c>
      <c r="F47" s="25" t="s">
        <v>35</v>
      </c>
      <c r="G47" s="25" t="s">
        <v>21</v>
      </c>
      <c r="H47" s="26">
        <v>45395</v>
      </c>
      <c r="I47" s="25">
        <v>38222</v>
      </c>
      <c r="J47" s="25" t="s">
        <v>67</v>
      </c>
      <c r="K47" s="25" t="s">
        <v>156</v>
      </c>
      <c r="L47" s="27" t="s">
        <v>39</v>
      </c>
      <c r="M47" s="28" t="str">
        <f>_xlfn.XLOOKUP(F47,Department!$A$2:$A$6,Department!$B$2:$B$6)</f>
        <v>Sales</v>
      </c>
      <c r="N47" s="30">
        <f>_xlfn.XLOOKUP(A47,Performance!$A$2:$A$501,Performance!$C$2:$C$501)</f>
        <v>4</v>
      </c>
      <c r="O47" s="28" cm="1">
        <f t="array" ref="O47">_xlfn.IFS(N47=5,I47*15%,N47=4,I47*10%,N47=3,I47*7%,N47&lt;3,I47*5%)</f>
        <v>3822.2000000000003</v>
      </c>
    </row>
    <row r="48" spans="1:15">
      <c r="A48" s="24" t="s">
        <v>157</v>
      </c>
      <c r="B48" s="25" t="s">
        <v>74</v>
      </c>
      <c r="C48" s="25" t="s">
        <v>66</v>
      </c>
      <c r="D48" s="25" t="s">
        <v>19</v>
      </c>
      <c r="E48" s="25">
        <v>57</v>
      </c>
      <c r="F48" s="25" t="s">
        <v>29</v>
      </c>
      <c r="G48" s="25" t="s">
        <v>30</v>
      </c>
      <c r="H48" s="26">
        <v>43708</v>
      </c>
      <c r="I48" s="25">
        <v>96188</v>
      </c>
      <c r="J48" s="25" t="s">
        <v>62</v>
      </c>
      <c r="K48" s="25" t="s">
        <v>158</v>
      </c>
      <c r="L48" s="27" t="s">
        <v>24</v>
      </c>
      <c r="M48" s="28" t="str">
        <f>_xlfn.XLOOKUP(F48,Department!$A$2:$A$6,Department!$B$2:$B$6)</f>
        <v>IT</v>
      </c>
      <c r="N48" s="30">
        <f>_xlfn.XLOOKUP(A48,Performance!$A$2:$A$501,Performance!$C$2:$C$501)</f>
        <v>5</v>
      </c>
      <c r="O48" s="28" cm="1">
        <f t="array" ref="O48">_xlfn.IFS(N48=5,I48*15%,N48=4,I48*10%,N48=3,I48*7%,N48&lt;3,I48*5%)</f>
        <v>14428.199999999999</v>
      </c>
    </row>
    <row r="49" spans="1:15">
      <c r="A49" s="24" t="s">
        <v>159</v>
      </c>
      <c r="B49" s="25" t="s">
        <v>53</v>
      </c>
      <c r="C49" s="25" t="s">
        <v>84</v>
      </c>
      <c r="D49" s="25" t="s">
        <v>28</v>
      </c>
      <c r="E49" s="25">
        <v>32</v>
      </c>
      <c r="F49" s="25" t="s">
        <v>54</v>
      </c>
      <c r="G49" s="25" t="s">
        <v>21</v>
      </c>
      <c r="H49" s="26">
        <v>44546</v>
      </c>
      <c r="I49" s="25">
        <v>106013</v>
      </c>
      <c r="J49" s="25" t="s">
        <v>81</v>
      </c>
      <c r="K49" s="25" t="s">
        <v>160</v>
      </c>
      <c r="L49" s="27" t="s">
        <v>24</v>
      </c>
      <c r="M49" s="28" t="str">
        <f>_xlfn.XLOOKUP(F49,Department!$A$2:$A$6,Department!$B$2:$B$6)</f>
        <v>Finance</v>
      </c>
      <c r="N49" s="30">
        <f>_xlfn.XLOOKUP(A49,Performance!$A$2:$A$501,Performance!$C$2:$C$501)</f>
        <v>5</v>
      </c>
      <c r="O49" s="28" cm="1">
        <f t="array" ref="O49">_xlfn.IFS(N49=5,I49*15%,N49=4,I49*10%,N49=3,I49*7%,N49&lt;3,I49*5%)</f>
        <v>15901.949999999999</v>
      </c>
    </row>
    <row r="50" spans="1:15">
      <c r="A50" s="24" t="s">
        <v>161</v>
      </c>
      <c r="B50" s="25" t="s">
        <v>58</v>
      </c>
      <c r="C50" s="25" t="s">
        <v>93</v>
      </c>
      <c r="D50" s="25" t="s">
        <v>28</v>
      </c>
      <c r="E50" s="25">
        <v>52</v>
      </c>
      <c r="F50" s="25" t="s">
        <v>35</v>
      </c>
      <c r="G50" s="25" t="s">
        <v>30</v>
      </c>
      <c r="H50" s="26">
        <v>44212</v>
      </c>
      <c r="I50" s="25">
        <v>82014</v>
      </c>
      <c r="J50" s="25" t="s">
        <v>22</v>
      </c>
      <c r="K50" s="25" t="s">
        <v>162</v>
      </c>
      <c r="L50" s="27" t="s">
        <v>24</v>
      </c>
      <c r="M50" s="28" t="str">
        <f>_xlfn.XLOOKUP(F50,Department!$A$2:$A$6,Department!$B$2:$B$6)</f>
        <v>Sales</v>
      </c>
      <c r="N50" s="30">
        <f>_xlfn.XLOOKUP(A50,Performance!$A$2:$A$501,Performance!$C$2:$C$501)</f>
        <v>2</v>
      </c>
      <c r="O50" s="28" cm="1">
        <f t="array" ref="O50">_xlfn.IFS(N50=5,I50*15%,N50=4,I50*10%,N50=3,I50*7%,N50&lt;3,I50*5%)</f>
        <v>4100.7</v>
      </c>
    </row>
    <row r="51" spans="1:15">
      <c r="A51" s="24" t="s">
        <v>163</v>
      </c>
      <c r="B51" s="25" t="s">
        <v>42</v>
      </c>
      <c r="C51" s="25" t="s">
        <v>93</v>
      </c>
      <c r="D51" s="25" t="s">
        <v>28</v>
      </c>
      <c r="E51" s="25">
        <v>46</v>
      </c>
      <c r="F51" s="25" t="s">
        <v>35</v>
      </c>
      <c r="G51" s="25" t="s">
        <v>44</v>
      </c>
      <c r="H51" s="26">
        <v>45101</v>
      </c>
      <c r="I51" s="25">
        <v>84323</v>
      </c>
      <c r="J51" s="25" t="s">
        <v>37</v>
      </c>
      <c r="K51" s="25" t="s">
        <v>164</v>
      </c>
      <c r="L51" s="27" t="s">
        <v>24</v>
      </c>
      <c r="M51" s="28" t="str">
        <f>_xlfn.XLOOKUP(F51,Department!$A$2:$A$6,Department!$B$2:$B$6)</f>
        <v>Sales</v>
      </c>
      <c r="N51" s="30">
        <f>_xlfn.XLOOKUP(A51,Performance!$A$2:$A$501,Performance!$C$2:$C$501)</f>
        <v>1</v>
      </c>
      <c r="O51" s="28" cm="1">
        <f t="array" ref="O51">_xlfn.IFS(N51=5,I51*15%,N51=4,I51*10%,N51=3,I51*7%,N51&lt;3,I51*5%)</f>
        <v>4216.1500000000005</v>
      </c>
    </row>
    <row r="52" spans="1:15">
      <c r="A52" s="24" t="s">
        <v>165</v>
      </c>
      <c r="B52" s="25" t="s">
        <v>61</v>
      </c>
      <c r="C52" s="25" t="s">
        <v>66</v>
      </c>
      <c r="D52" s="25" t="s">
        <v>19</v>
      </c>
      <c r="E52" s="25">
        <v>42</v>
      </c>
      <c r="F52" s="25" t="s">
        <v>20</v>
      </c>
      <c r="G52" s="25" t="s">
        <v>21</v>
      </c>
      <c r="H52" s="26">
        <v>43514</v>
      </c>
      <c r="I52" s="25">
        <v>93289</v>
      </c>
      <c r="J52" s="25" t="s">
        <v>67</v>
      </c>
      <c r="K52" s="25" t="s">
        <v>166</v>
      </c>
      <c r="L52" s="27" t="s">
        <v>39</v>
      </c>
      <c r="M52" s="28" t="str">
        <f>_xlfn.XLOOKUP(F52,Department!$A$2:$A$6,Department!$B$2:$B$6)</f>
        <v>HR</v>
      </c>
      <c r="N52" s="30">
        <f>_xlfn.XLOOKUP(A52,Performance!$A$2:$A$501,Performance!$C$2:$C$501)</f>
        <v>5</v>
      </c>
      <c r="O52" s="28" cm="1">
        <f t="array" ref="O52">_xlfn.IFS(N52=5,I52*15%,N52=4,I52*10%,N52=3,I52*7%,N52&lt;3,I52*5%)</f>
        <v>13993.35</v>
      </c>
    </row>
    <row r="53" spans="1:15">
      <c r="A53" s="24" t="s">
        <v>167</v>
      </c>
      <c r="B53" s="25" t="s">
        <v>42</v>
      </c>
      <c r="C53" s="25" t="s">
        <v>117</v>
      </c>
      <c r="D53" s="25" t="s">
        <v>19</v>
      </c>
      <c r="E53" s="25">
        <v>46</v>
      </c>
      <c r="F53" s="25" t="s">
        <v>43</v>
      </c>
      <c r="G53" s="25" t="s">
        <v>44</v>
      </c>
      <c r="H53" s="26">
        <v>43228</v>
      </c>
      <c r="I53" s="25">
        <v>43926</v>
      </c>
      <c r="J53" s="25" t="s">
        <v>81</v>
      </c>
      <c r="K53" s="25" t="s">
        <v>168</v>
      </c>
      <c r="L53" s="27" t="s">
        <v>39</v>
      </c>
      <c r="M53" s="28" t="str">
        <f>_xlfn.XLOOKUP(F53,Department!$A$2:$A$6,Department!$B$2:$B$6)</f>
        <v>Marketing</v>
      </c>
      <c r="N53" s="30">
        <f>_xlfn.XLOOKUP(A53,Performance!$A$2:$A$501,Performance!$C$2:$C$501)</f>
        <v>4</v>
      </c>
      <c r="O53" s="28" cm="1">
        <f t="array" ref="O53">_xlfn.IFS(N53=5,I53*15%,N53=4,I53*10%,N53=3,I53*7%,N53&lt;3,I53*5%)</f>
        <v>4392.6000000000004</v>
      </c>
    </row>
    <row r="54" spans="1:15">
      <c r="A54" s="24" t="s">
        <v>169</v>
      </c>
      <c r="B54" s="25" t="s">
        <v>34</v>
      </c>
      <c r="C54" s="25" t="s">
        <v>27</v>
      </c>
      <c r="D54" s="25" t="s">
        <v>28</v>
      </c>
      <c r="E54" s="25">
        <v>57</v>
      </c>
      <c r="F54" s="25" t="s">
        <v>20</v>
      </c>
      <c r="G54" s="25" t="s">
        <v>36</v>
      </c>
      <c r="H54" s="26">
        <v>43385</v>
      </c>
      <c r="I54" s="25">
        <v>102761</v>
      </c>
      <c r="J54" s="25" t="s">
        <v>67</v>
      </c>
      <c r="K54" s="25" t="s">
        <v>170</v>
      </c>
      <c r="L54" s="27" t="s">
        <v>39</v>
      </c>
      <c r="M54" s="28" t="str">
        <f>_xlfn.XLOOKUP(F54,Department!$A$2:$A$6,Department!$B$2:$B$6)</f>
        <v>HR</v>
      </c>
      <c r="N54" s="30">
        <f>_xlfn.XLOOKUP(A54,Performance!$A$2:$A$501,Performance!$C$2:$C$501)</f>
        <v>4</v>
      </c>
      <c r="O54" s="28" cm="1">
        <f t="array" ref="O54">_xlfn.IFS(N54=5,I54*15%,N54=4,I54*10%,N54=3,I54*7%,N54&lt;3,I54*5%)</f>
        <v>10276.1</v>
      </c>
    </row>
    <row r="55" spans="1:15">
      <c r="A55" s="24" t="s">
        <v>171</v>
      </c>
      <c r="B55" s="25" t="s">
        <v>92</v>
      </c>
      <c r="C55" s="25" t="s">
        <v>93</v>
      </c>
      <c r="D55" s="25" t="s">
        <v>28</v>
      </c>
      <c r="E55" s="25">
        <v>58</v>
      </c>
      <c r="F55" s="25" t="s">
        <v>54</v>
      </c>
      <c r="G55" s="25" t="s">
        <v>102</v>
      </c>
      <c r="H55" s="26">
        <v>44189</v>
      </c>
      <c r="I55" s="25">
        <v>109960</v>
      </c>
      <c r="J55" s="25" t="s">
        <v>67</v>
      </c>
      <c r="K55" s="25" t="s">
        <v>172</v>
      </c>
      <c r="L55" s="27" t="s">
        <v>39</v>
      </c>
      <c r="M55" s="28" t="str">
        <f>_xlfn.XLOOKUP(F55,Department!$A$2:$A$6,Department!$B$2:$B$6)</f>
        <v>Finance</v>
      </c>
      <c r="N55" s="30">
        <f>_xlfn.XLOOKUP(A55,Performance!$A$2:$A$501,Performance!$C$2:$C$501)</f>
        <v>2</v>
      </c>
      <c r="O55" s="28" cm="1">
        <f t="array" ref="O55">_xlfn.IFS(N55=5,I55*15%,N55=4,I55*10%,N55=3,I55*7%,N55&lt;3,I55*5%)</f>
        <v>5498</v>
      </c>
    </row>
    <row r="56" spans="1:15">
      <c r="A56" s="24" t="s">
        <v>173</v>
      </c>
      <c r="B56" s="25" t="s">
        <v>74</v>
      </c>
      <c r="C56" s="25" t="s">
        <v>141</v>
      </c>
      <c r="D56" s="25" t="s">
        <v>28</v>
      </c>
      <c r="E56" s="25">
        <v>42</v>
      </c>
      <c r="F56" s="25" t="s">
        <v>54</v>
      </c>
      <c r="G56" s="25" t="s">
        <v>30</v>
      </c>
      <c r="H56" s="26">
        <v>44217</v>
      </c>
      <c r="I56" s="25">
        <v>83308</v>
      </c>
      <c r="J56" s="25" t="s">
        <v>62</v>
      </c>
      <c r="K56" s="25" t="s">
        <v>174</v>
      </c>
      <c r="L56" s="27" t="s">
        <v>39</v>
      </c>
      <c r="M56" s="28" t="str">
        <f>_xlfn.XLOOKUP(F56,Department!$A$2:$A$6,Department!$B$2:$B$6)</f>
        <v>Finance</v>
      </c>
      <c r="N56" s="30">
        <f>_xlfn.XLOOKUP(A56,Performance!$A$2:$A$501,Performance!$C$2:$C$501)</f>
        <v>1</v>
      </c>
      <c r="O56" s="28" cm="1">
        <f t="array" ref="O56">_xlfn.IFS(N56=5,I56*15%,N56=4,I56*10%,N56=3,I56*7%,N56&lt;3,I56*5%)</f>
        <v>4165.4000000000005</v>
      </c>
    </row>
    <row r="57" spans="1:15">
      <c r="A57" s="24" t="s">
        <v>175</v>
      </c>
      <c r="B57" s="25" t="s">
        <v>74</v>
      </c>
      <c r="C57" s="25" t="s">
        <v>49</v>
      </c>
      <c r="D57" s="25" t="s">
        <v>28</v>
      </c>
      <c r="E57" s="25">
        <v>26</v>
      </c>
      <c r="F57" s="25" t="s">
        <v>54</v>
      </c>
      <c r="G57" s="25" t="s">
        <v>102</v>
      </c>
      <c r="H57" s="26">
        <v>44155</v>
      </c>
      <c r="I57" s="25">
        <v>44078</v>
      </c>
      <c r="J57" s="25" t="s">
        <v>67</v>
      </c>
      <c r="K57" s="25" t="s">
        <v>176</v>
      </c>
      <c r="L57" s="27" t="s">
        <v>39</v>
      </c>
      <c r="M57" s="28" t="str">
        <f>_xlfn.XLOOKUP(F57,Department!$A$2:$A$6,Department!$B$2:$B$6)</f>
        <v>Finance</v>
      </c>
      <c r="N57" s="30">
        <f>_xlfn.XLOOKUP(A57,Performance!$A$2:$A$501,Performance!$C$2:$C$501)</f>
        <v>3</v>
      </c>
      <c r="O57" s="28" cm="1">
        <f t="array" ref="O57">_xlfn.IFS(N57=5,I57*15%,N57=4,I57*10%,N57=3,I57*7%,N57&lt;3,I57*5%)</f>
        <v>3085.4600000000005</v>
      </c>
    </row>
    <row r="58" spans="1:15">
      <c r="A58" s="24" t="s">
        <v>177</v>
      </c>
      <c r="B58" s="25" t="s">
        <v>34</v>
      </c>
      <c r="C58" s="25" t="s">
        <v>66</v>
      </c>
      <c r="D58" s="25" t="s">
        <v>28</v>
      </c>
      <c r="E58" s="25">
        <v>32</v>
      </c>
      <c r="F58" s="25" t="s">
        <v>20</v>
      </c>
      <c r="G58" s="25" t="s">
        <v>30</v>
      </c>
      <c r="H58" s="26">
        <v>44118</v>
      </c>
      <c r="I58" s="25">
        <v>60444</v>
      </c>
      <c r="J58" s="25" t="s">
        <v>67</v>
      </c>
      <c r="K58" s="25" t="s">
        <v>178</v>
      </c>
      <c r="L58" s="27" t="s">
        <v>39</v>
      </c>
      <c r="M58" s="28" t="str">
        <f>_xlfn.XLOOKUP(F58,Department!$A$2:$A$6,Department!$B$2:$B$6)</f>
        <v>HR</v>
      </c>
      <c r="N58" s="30">
        <f>_xlfn.XLOOKUP(A58,Performance!$A$2:$A$501,Performance!$C$2:$C$501)</f>
        <v>4</v>
      </c>
      <c r="O58" s="28" cm="1">
        <f t="array" ref="O58">_xlfn.IFS(N58=5,I58*15%,N58=4,I58*10%,N58=3,I58*7%,N58&lt;3,I58*5%)</f>
        <v>6044.4000000000005</v>
      </c>
    </row>
    <row r="59" spans="1:15">
      <c r="A59" s="24" t="s">
        <v>179</v>
      </c>
      <c r="B59" s="25" t="s">
        <v>61</v>
      </c>
      <c r="C59" s="25" t="s">
        <v>80</v>
      </c>
      <c r="D59" s="25" t="s">
        <v>28</v>
      </c>
      <c r="E59" s="25">
        <v>26</v>
      </c>
      <c r="F59" s="25" t="s">
        <v>35</v>
      </c>
      <c r="G59" s="25" t="s">
        <v>30</v>
      </c>
      <c r="H59" s="26">
        <v>45475</v>
      </c>
      <c r="I59" s="25">
        <v>37951</v>
      </c>
      <c r="J59" s="25" t="s">
        <v>37</v>
      </c>
      <c r="K59" s="25" t="s">
        <v>180</v>
      </c>
      <c r="L59" s="27" t="s">
        <v>39</v>
      </c>
      <c r="M59" s="28" t="str">
        <f>_xlfn.XLOOKUP(F59,Department!$A$2:$A$6,Department!$B$2:$B$6)</f>
        <v>Sales</v>
      </c>
      <c r="N59" s="30">
        <f>_xlfn.XLOOKUP(A59,Performance!$A$2:$A$501,Performance!$C$2:$C$501)</f>
        <v>2</v>
      </c>
      <c r="O59" s="28" cm="1">
        <f t="array" ref="O59">_xlfn.IFS(N59=5,I59*15%,N59=4,I59*10%,N59=3,I59*7%,N59&lt;3,I59*5%)</f>
        <v>1897.5500000000002</v>
      </c>
    </row>
    <row r="60" spans="1:15">
      <c r="A60" s="24" t="s">
        <v>181</v>
      </c>
      <c r="B60" s="25" t="s">
        <v>74</v>
      </c>
      <c r="C60" s="25" t="s">
        <v>117</v>
      </c>
      <c r="D60" s="25" t="s">
        <v>28</v>
      </c>
      <c r="E60" s="25">
        <v>36</v>
      </c>
      <c r="F60" s="25" t="s">
        <v>54</v>
      </c>
      <c r="G60" s="25" t="s">
        <v>30</v>
      </c>
      <c r="H60" s="26">
        <v>45502</v>
      </c>
      <c r="I60" s="25">
        <v>88790</v>
      </c>
      <c r="J60" s="25" t="s">
        <v>81</v>
      </c>
      <c r="K60" s="25" t="s">
        <v>182</v>
      </c>
      <c r="L60" s="27" t="s">
        <v>39</v>
      </c>
      <c r="M60" s="28" t="str">
        <f>_xlfn.XLOOKUP(F60,Department!$A$2:$A$6,Department!$B$2:$B$6)</f>
        <v>Finance</v>
      </c>
      <c r="N60" s="30">
        <f>_xlfn.XLOOKUP(A60,Performance!$A$2:$A$501,Performance!$C$2:$C$501)</f>
        <v>3</v>
      </c>
      <c r="O60" s="28" cm="1">
        <f t="array" ref="O60">_xlfn.IFS(N60=5,I60*15%,N60=4,I60*10%,N60=3,I60*7%,N60&lt;3,I60*5%)</f>
        <v>6215.3</v>
      </c>
    </row>
    <row r="61" spans="1:15">
      <c r="A61" s="24" t="s">
        <v>183</v>
      </c>
      <c r="B61" s="25" t="s">
        <v>42</v>
      </c>
      <c r="C61" s="25" t="s">
        <v>66</v>
      </c>
      <c r="D61" s="25" t="s">
        <v>28</v>
      </c>
      <c r="E61" s="25">
        <v>50</v>
      </c>
      <c r="F61" s="25" t="s">
        <v>54</v>
      </c>
      <c r="G61" s="25" t="s">
        <v>36</v>
      </c>
      <c r="H61" s="26">
        <v>44493</v>
      </c>
      <c r="I61" s="25">
        <v>119530</v>
      </c>
      <c r="J61" s="25" t="s">
        <v>22</v>
      </c>
      <c r="K61" s="25" t="s">
        <v>184</v>
      </c>
      <c r="L61" s="27" t="s">
        <v>39</v>
      </c>
      <c r="M61" s="28" t="str">
        <f>_xlfn.XLOOKUP(F61,Department!$A$2:$A$6,Department!$B$2:$B$6)</f>
        <v>Finance</v>
      </c>
      <c r="N61" s="30">
        <f>_xlfn.XLOOKUP(A61,Performance!$A$2:$A$501,Performance!$C$2:$C$501)</f>
        <v>3</v>
      </c>
      <c r="O61" s="28" cm="1">
        <f t="array" ref="O61">_xlfn.IFS(N61=5,I61*15%,N61=4,I61*10%,N61=3,I61*7%,N61&lt;3,I61*5%)</f>
        <v>8367.1</v>
      </c>
    </row>
    <row r="62" spans="1:15">
      <c r="A62" s="24" t="s">
        <v>185</v>
      </c>
      <c r="B62" s="25" t="s">
        <v>126</v>
      </c>
      <c r="C62" s="25" t="s">
        <v>80</v>
      </c>
      <c r="D62" s="25" t="s">
        <v>19</v>
      </c>
      <c r="E62" s="25">
        <v>30</v>
      </c>
      <c r="F62" s="25" t="s">
        <v>20</v>
      </c>
      <c r="G62" s="25" t="s">
        <v>102</v>
      </c>
      <c r="H62" s="26">
        <v>43763</v>
      </c>
      <c r="I62" s="25">
        <v>72048</v>
      </c>
      <c r="J62" s="25" t="s">
        <v>67</v>
      </c>
      <c r="K62" s="25" t="s">
        <v>186</v>
      </c>
      <c r="L62" s="27" t="s">
        <v>39</v>
      </c>
      <c r="M62" s="28" t="str">
        <f>_xlfn.XLOOKUP(F62,Department!$A$2:$A$6,Department!$B$2:$B$6)</f>
        <v>HR</v>
      </c>
      <c r="N62" s="30">
        <f>_xlfn.XLOOKUP(A62,Performance!$A$2:$A$501,Performance!$C$2:$C$501)</f>
        <v>4</v>
      </c>
      <c r="O62" s="28" cm="1">
        <f t="array" ref="O62">_xlfn.IFS(N62=5,I62*15%,N62=4,I62*10%,N62=3,I62*7%,N62&lt;3,I62*5%)</f>
        <v>7204.8</v>
      </c>
    </row>
    <row r="63" spans="1:15">
      <c r="A63" s="24" t="s">
        <v>187</v>
      </c>
      <c r="B63" s="25" t="s">
        <v>58</v>
      </c>
      <c r="C63" s="25" t="s">
        <v>89</v>
      </c>
      <c r="D63" s="25" t="s">
        <v>28</v>
      </c>
      <c r="E63" s="25">
        <v>33</v>
      </c>
      <c r="F63" s="25" t="s">
        <v>35</v>
      </c>
      <c r="G63" s="25" t="s">
        <v>36</v>
      </c>
      <c r="H63" s="26">
        <v>45317</v>
      </c>
      <c r="I63" s="25">
        <v>76700</v>
      </c>
      <c r="J63" s="25" t="s">
        <v>62</v>
      </c>
      <c r="K63" s="25" t="s">
        <v>188</v>
      </c>
      <c r="L63" s="27" t="s">
        <v>39</v>
      </c>
      <c r="M63" s="28" t="str">
        <f>_xlfn.XLOOKUP(F63,Department!$A$2:$A$6,Department!$B$2:$B$6)</f>
        <v>Sales</v>
      </c>
      <c r="N63" s="30">
        <f>_xlfn.XLOOKUP(A63,Performance!$A$2:$A$501,Performance!$C$2:$C$501)</f>
        <v>5</v>
      </c>
      <c r="O63" s="28" cm="1">
        <f t="array" ref="O63">_xlfn.IFS(N63=5,I63*15%,N63=4,I63*10%,N63=3,I63*7%,N63&lt;3,I63*5%)</f>
        <v>11505</v>
      </c>
    </row>
    <row r="64" spans="1:15">
      <c r="A64" s="24" t="s">
        <v>189</v>
      </c>
      <c r="B64" s="25" t="s">
        <v>74</v>
      </c>
      <c r="C64" s="25" t="s">
        <v>117</v>
      </c>
      <c r="D64" s="25" t="s">
        <v>28</v>
      </c>
      <c r="E64" s="25">
        <v>22</v>
      </c>
      <c r="F64" s="25" t="s">
        <v>20</v>
      </c>
      <c r="G64" s="25" t="s">
        <v>44</v>
      </c>
      <c r="H64" s="26">
        <v>44980</v>
      </c>
      <c r="I64" s="25">
        <v>86315</v>
      </c>
      <c r="J64" s="25" t="s">
        <v>62</v>
      </c>
      <c r="K64" s="25" t="s">
        <v>190</v>
      </c>
      <c r="L64" s="27" t="s">
        <v>39</v>
      </c>
      <c r="M64" s="28" t="str">
        <f>_xlfn.XLOOKUP(F64,Department!$A$2:$A$6,Department!$B$2:$B$6)</f>
        <v>HR</v>
      </c>
      <c r="N64" s="30">
        <f>_xlfn.XLOOKUP(A64,Performance!$A$2:$A$501,Performance!$C$2:$C$501)</f>
        <v>1</v>
      </c>
      <c r="O64" s="28" cm="1">
        <f t="array" ref="O64">_xlfn.IFS(N64=5,I64*15%,N64=4,I64*10%,N64=3,I64*7%,N64&lt;3,I64*5%)</f>
        <v>4315.75</v>
      </c>
    </row>
    <row r="65" spans="1:15">
      <c r="A65" s="24" t="s">
        <v>191</v>
      </c>
      <c r="B65" s="25" t="s">
        <v>42</v>
      </c>
      <c r="C65" s="25" t="s">
        <v>84</v>
      </c>
      <c r="D65" s="25" t="s">
        <v>19</v>
      </c>
      <c r="E65" s="25">
        <v>49</v>
      </c>
      <c r="F65" s="25" t="s">
        <v>54</v>
      </c>
      <c r="G65" s="25" t="s">
        <v>36</v>
      </c>
      <c r="H65" s="26">
        <v>43973</v>
      </c>
      <c r="I65" s="25">
        <v>85454</v>
      </c>
      <c r="J65" s="25" t="s">
        <v>37</v>
      </c>
      <c r="K65" s="25" t="s">
        <v>192</v>
      </c>
      <c r="L65" s="27" t="s">
        <v>24</v>
      </c>
      <c r="M65" s="28" t="str">
        <f>_xlfn.XLOOKUP(F65,Department!$A$2:$A$6,Department!$B$2:$B$6)</f>
        <v>Finance</v>
      </c>
      <c r="N65" s="30">
        <f>_xlfn.XLOOKUP(A65,Performance!$A$2:$A$501,Performance!$C$2:$C$501)</f>
        <v>3</v>
      </c>
      <c r="O65" s="28" cm="1">
        <f t="array" ref="O65">_xlfn.IFS(N65=5,I65*15%,N65=4,I65*10%,N65=3,I65*7%,N65&lt;3,I65*5%)</f>
        <v>5981.7800000000007</v>
      </c>
    </row>
    <row r="66" spans="1:15">
      <c r="A66" s="24" t="s">
        <v>193</v>
      </c>
      <c r="B66" s="25" t="s">
        <v>34</v>
      </c>
      <c r="C66" s="25" t="s">
        <v>89</v>
      </c>
      <c r="D66" s="25" t="s">
        <v>28</v>
      </c>
      <c r="E66" s="25">
        <v>31</v>
      </c>
      <c r="F66" s="25" t="s">
        <v>20</v>
      </c>
      <c r="G66" s="25" t="s">
        <v>36</v>
      </c>
      <c r="H66" s="26">
        <v>43697</v>
      </c>
      <c r="I66" s="25">
        <v>83281</v>
      </c>
      <c r="J66" s="25" t="s">
        <v>62</v>
      </c>
      <c r="K66" s="25" t="s">
        <v>194</v>
      </c>
      <c r="L66" s="27" t="s">
        <v>39</v>
      </c>
      <c r="M66" s="28" t="str">
        <f>_xlfn.XLOOKUP(F66,Department!$A$2:$A$6,Department!$B$2:$B$6)</f>
        <v>HR</v>
      </c>
      <c r="N66" s="30">
        <f>_xlfn.XLOOKUP(A66,Performance!$A$2:$A$501,Performance!$C$2:$C$501)</f>
        <v>3</v>
      </c>
      <c r="O66" s="28" cm="1">
        <f t="array" ref="O66">_xlfn.IFS(N66=5,I66*15%,N66=4,I66*10%,N66=3,I66*7%,N66&lt;3,I66*5%)</f>
        <v>5829.670000000001</v>
      </c>
    </row>
    <row r="67" spans="1:15">
      <c r="A67" s="24" t="s">
        <v>195</v>
      </c>
      <c r="B67" s="25" t="s">
        <v>61</v>
      </c>
      <c r="C67" s="25" t="s">
        <v>141</v>
      </c>
      <c r="D67" s="25" t="s">
        <v>19</v>
      </c>
      <c r="E67" s="25">
        <v>31</v>
      </c>
      <c r="F67" s="25" t="s">
        <v>20</v>
      </c>
      <c r="G67" s="25" t="s">
        <v>44</v>
      </c>
      <c r="H67" s="26">
        <v>44367</v>
      </c>
      <c r="I67" s="25">
        <v>44531</v>
      </c>
      <c r="J67" s="25" t="s">
        <v>37</v>
      </c>
      <c r="K67" s="25" t="s">
        <v>196</v>
      </c>
      <c r="L67" s="27" t="s">
        <v>24</v>
      </c>
      <c r="M67" s="28" t="str">
        <f>_xlfn.XLOOKUP(F67,Department!$A$2:$A$6,Department!$B$2:$B$6)</f>
        <v>HR</v>
      </c>
      <c r="N67" s="30">
        <f>_xlfn.XLOOKUP(A67,Performance!$A$2:$A$501,Performance!$C$2:$C$501)</f>
        <v>5</v>
      </c>
      <c r="O67" s="28" cm="1">
        <f t="array" ref="O67">_xlfn.IFS(N67=5,I67*15%,N67=4,I67*10%,N67=3,I67*7%,N67&lt;3,I67*5%)</f>
        <v>6679.65</v>
      </c>
    </row>
    <row r="68" spans="1:15">
      <c r="A68" s="24" t="s">
        <v>197</v>
      </c>
      <c r="B68" s="25" t="s">
        <v>42</v>
      </c>
      <c r="C68" s="25" t="s">
        <v>117</v>
      </c>
      <c r="D68" s="25" t="s">
        <v>28</v>
      </c>
      <c r="E68" s="25">
        <v>36</v>
      </c>
      <c r="F68" s="25" t="s">
        <v>35</v>
      </c>
      <c r="G68" s="25" t="s">
        <v>21</v>
      </c>
      <c r="H68" s="26">
        <v>43839</v>
      </c>
      <c r="I68" s="25">
        <v>44990</v>
      </c>
      <c r="J68" s="25" t="s">
        <v>81</v>
      </c>
      <c r="K68" s="25" t="s">
        <v>198</v>
      </c>
      <c r="L68" s="27" t="s">
        <v>24</v>
      </c>
      <c r="M68" s="28" t="str">
        <f>_xlfn.XLOOKUP(F68,Department!$A$2:$A$6,Department!$B$2:$B$6)</f>
        <v>Sales</v>
      </c>
      <c r="N68" s="30">
        <f>_xlfn.XLOOKUP(A68,Performance!$A$2:$A$501,Performance!$C$2:$C$501)</f>
        <v>3</v>
      </c>
      <c r="O68" s="28" cm="1">
        <f t="array" ref="O68">_xlfn.IFS(N68=5,I68*15%,N68=4,I68*10%,N68=3,I68*7%,N68&lt;3,I68*5%)</f>
        <v>3149.3</v>
      </c>
    </row>
    <row r="69" spans="1:15">
      <c r="A69" s="24" t="s">
        <v>199</v>
      </c>
      <c r="B69" s="25" t="s">
        <v>48</v>
      </c>
      <c r="C69" s="25" t="s">
        <v>27</v>
      </c>
      <c r="D69" s="25" t="s">
        <v>19</v>
      </c>
      <c r="E69" s="25">
        <v>34</v>
      </c>
      <c r="F69" s="25" t="s">
        <v>20</v>
      </c>
      <c r="G69" s="25" t="s">
        <v>36</v>
      </c>
      <c r="H69" s="26">
        <v>45134</v>
      </c>
      <c r="I69" s="25">
        <v>39110</v>
      </c>
      <c r="J69" s="25" t="s">
        <v>37</v>
      </c>
      <c r="K69" s="25" t="s">
        <v>200</v>
      </c>
      <c r="L69" s="27" t="s">
        <v>39</v>
      </c>
      <c r="M69" s="28" t="str">
        <f>_xlfn.XLOOKUP(F69,Department!$A$2:$A$6,Department!$B$2:$B$6)</f>
        <v>HR</v>
      </c>
      <c r="N69" s="30">
        <f>_xlfn.XLOOKUP(A69,Performance!$A$2:$A$501,Performance!$C$2:$C$501)</f>
        <v>2</v>
      </c>
      <c r="O69" s="28" cm="1">
        <f t="array" ref="O69">_xlfn.IFS(N69=5,I69*15%,N69=4,I69*10%,N69=3,I69*7%,N69&lt;3,I69*5%)</f>
        <v>1955.5</v>
      </c>
    </row>
    <row r="70" spans="1:15">
      <c r="A70" s="24" t="s">
        <v>201</v>
      </c>
      <c r="B70" s="25" t="s">
        <v>17</v>
      </c>
      <c r="C70" s="25" t="s">
        <v>49</v>
      </c>
      <c r="D70" s="25" t="s">
        <v>28</v>
      </c>
      <c r="E70" s="25">
        <v>35</v>
      </c>
      <c r="F70" s="25" t="s">
        <v>54</v>
      </c>
      <c r="G70" s="25" t="s">
        <v>44</v>
      </c>
      <c r="H70" s="26">
        <v>45449</v>
      </c>
      <c r="I70" s="25">
        <v>60760</v>
      </c>
      <c r="J70" s="25" t="s">
        <v>81</v>
      </c>
      <c r="K70" s="25" t="s">
        <v>202</v>
      </c>
      <c r="L70" s="27" t="s">
        <v>39</v>
      </c>
      <c r="M70" s="28" t="str">
        <f>_xlfn.XLOOKUP(F70,Department!$A$2:$A$6,Department!$B$2:$B$6)</f>
        <v>Finance</v>
      </c>
      <c r="N70" s="30">
        <f>_xlfn.XLOOKUP(A70,Performance!$A$2:$A$501,Performance!$C$2:$C$501)</f>
        <v>4</v>
      </c>
      <c r="O70" s="28" cm="1">
        <f t="array" ref="O70">_xlfn.IFS(N70=5,I70*15%,N70=4,I70*10%,N70=3,I70*7%,N70&lt;3,I70*5%)</f>
        <v>6076</v>
      </c>
    </row>
    <row r="71" spans="1:15">
      <c r="A71" s="24" t="s">
        <v>203</v>
      </c>
      <c r="B71" s="25" t="s">
        <v>42</v>
      </c>
      <c r="C71" s="25" t="s">
        <v>89</v>
      </c>
      <c r="D71" s="25" t="s">
        <v>19</v>
      </c>
      <c r="E71" s="25">
        <v>27</v>
      </c>
      <c r="F71" s="25" t="s">
        <v>35</v>
      </c>
      <c r="G71" s="25" t="s">
        <v>30</v>
      </c>
      <c r="H71" s="26">
        <v>43930</v>
      </c>
      <c r="I71" s="25">
        <v>118796</v>
      </c>
      <c r="J71" s="25" t="s">
        <v>62</v>
      </c>
      <c r="K71" s="25" t="s">
        <v>204</v>
      </c>
      <c r="L71" s="27" t="s">
        <v>39</v>
      </c>
      <c r="M71" s="28" t="str">
        <f>_xlfn.XLOOKUP(F71,Department!$A$2:$A$6,Department!$B$2:$B$6)</f>
        <v>Sales</v>
      </c>
      <c r="N71" s="30">
        <f>_xlfn.XLOOKUP(A71,Performance!$A$2:$A$501,Performance!$C$2:$C$501)</f>
        <v>4</v>
      </c>
      <c r="O71" s="28" cm="1">
        <f t="array" ref="O71">_xlfn.IFS(N71=5,I71*15%,N71=4,I71*10%,N71=3,I71*7%,N71&lt;3,I71*5%)</f>
        <v>11879.6</v>
      </c>
    </row>
    <row r="72" spans="1:15">
      <c r="A72" s="24" t="s">
        <v>205</v>
      </c>
      <c r="B72" s="25" t="s">
        <v>74</v>
      </c>
      <c r="C72" s="25" t="s">
        <v>89</v>
      </c>
      <c r="D72" s="25" t="s">
        <v>19</v>
      </c>
      <c r="E72" s="25">
        <v>49</v>
      </c>
      <c r="F72" s="25" t="s">
        <v>35</v>
      </c>
      <c r="G72" s="25" t="s">
        <v>21</v>
      </c>
      <c r="H72" s="26">
        <v>43950</v>
      </c>
      <c r="I72" s="25">
        <v>88225</v>
      </c>
      <c r="J72" s="25" t="s">
        <v>37</v>
      </c>
      <c r="K72" s="25" t="s">
        <v>206</v>
      </c>
      <c r="L72" s="27" t="s">
        <v>24</v>
      </c>
      <c r="M72" s="28" t="str">
        <f>_xlfn.XLOOKUP(F72,Department!$A$2:$A$6,Department!$B$2:$B$6)</f>
        <v>Sales</v>
      </c>
      <c r="N72" s="30">
        <f>_xlfn.XLOOKUP(A72,Performance!$A$2:$A$501,Performance!$C$2:$C$501)</f>
        <v>2</v>
      </c>
      <c r="O72" s="28" cm="1">
        <f t="array" ref="O72">_xlfn.IFS(N72=5,I72*15%,N72=4,I72*10%,N72=3,I72*7%,N72&lt;3,I72*5%)</f>
        <v>4411.25</v>
      </c>
    </row>
    <row r="73" spans="1:15">
      <c r="A73" s="24" t="s">
        <v>207</v>
      </c>
      <c r="B73" s="25" t="s">
        <v>53</v>
      </c>
      <c r="C73" s="25" t="s">
        <v>89</v>
      </c>
      <c r="D73" s="25" t="s">
        <v>19</v>
      </c>
      <c r="E73" s="25">
        <v>22</v>
      </c>
      <c r="F73" s="25" t="s">
        <v>35</v>
      </c>
      <c r="G73" s="25" t="s">
        <v>102</v>
      </c>
      <c r="H73" s="26">
        <v>44974</v>
      </c>
      <c r="I73" s="25">
        <v>64891</v>
      </c>
      <c r="J73" s="25" t="s">
        <v>67</v>
      </c>
      <c r="K73" s="25" t="s">
        <v>208</v>
      </c>
      <c r="L73" s="27" t="s">
        <v>24</v>
      </c>
      <c r="M73" s="28" t="str">
        <f>_xlfn.XLOOKUP(F73,Department!$A$2:$A$6,Department!$B$2:$B$6)</f>
        <v>Sales</v>
      </c>
      <c r="N73" s="30">
        <f>_xlfn.XLOOKUP(A73,Performance!$A$2:$A$501,Performance!$C$2:$C$501)</f>
        <v>4</v>
      </c>
      <c r="O73" s="28" cm="1">
        <f t="array" ref="O73">_xlfn.IFS(N73=5,I73*15%,N73=4,I73*10%,N73=3,I73*7%,N73&lt;3,I73*5%)</f>
        <v>6489.1</v>
      </c>
    </row>
    <row r="74" spans="1:15">
      <c r="A74" s="24" t="s">
        <v>209</v>
      </c>
      <c r="B74" s="25" t="s">
        <v>48</v>
      </c>
      <c r="C74" s="25" t="s">
        <v>49</v>
      </c>
      <c r="D74" s="25" t="s">
        <v>28</v>
      </c>
      <c r="E74" s="25">
        <v>48</v>
      </c>
      <c r="F74" s="25" t="s">
        <v>54</v>
      </c>
      <c r="G74" s="25" t="s">
        <v>36</v>
      </c>
      <c r="H74" s="26">
        <v>44191</v>
      </c>
      <c r="I74" s="25">
        <v>72035</v>
      </c>
      <c r="J74" s="25" t="s">
        <v>22</v>
      </c>
      <c r="K74" s="25" t="s">
        <v>210</v>
      </c>
      <c r="L74" s="27" t="s">
        <v>24</v>
      </c>
      <c r="M74" s="28" t="str">
        <f>_xlfn.XLOOKUP(F74,Department!$A$2:$A$6,Department!$B$2:$B$6)</f>
        <v>Finance</v>
      </c>
      <c r="N74" s="30">
        <f>_xlfn.XLOOKUP(A74,Performance!$A$2:$A$501,Performance!$C$2:$C$501)</f>
        <v>3</v>
      </c>
      <c r="O74" s="28" cm="1">
        <f t="array" ref="O74">_xlfn.IFS(N74=5,I74*15%,N74=4,I74*10%,N74=3,I74*7%,N74&lt;3,I74*5%)</f>
        <v>5042.4500000000007</v>
      </c>
    </row>
    <row r="75" spans="1:15">
      <c r="A75" s="24" t="s">
        <v>211</v>
      </c>
      <c r="B75" s="25" t="s">
        <v>17</v>
      </c>
      <c r="C75" s="25" t="s">
        <v>117</v>
      </c>
      <c r="D75" s="25" t="s">
        <v>28</v>
      </c>
      <c r="E75" s="25">
        <v>30</v>
      </c>
      <c r="F75" s="25" t="s">
        <v>20</v>
      </c>
      <c r="G75" s="25" t="s">
        <v>21</v>
      </c>
      <c r="H75" s="26">
        <v>45156</v>
      </c>
      <c r="I75" s="25">
        <v>50545</v>
      </c>
      <c r="J75" s="25" t="s">
        <v>81</v>
      </c>
      <c r="K75" s="25" t="s">
        <v>212</v>
      </c>
      <c r="L75" s="27" t="s">
        <v>24</v>
      </c>
      <c r="M75" s="28" t="str">
        <f>_xlfn.XLOOKUP(F75,Department!$A$2:$A$6,Department!$B$2:$B$6)</f>
        <v>HR</v>
      </c>
      <c r="N75" s="30">
        <f>_xlfn.XLOOKUP(A75,Performance!$A$2:$A$501,Performance!$C$2:$C$501)</f>
        <v>3</v>
      </c>
      <c r="O75" s="28" cm="1">
        <f t="array" ref="O75">_xlfn.IFS(N75=5,I75*15%,N75=4,I75*10%,N75=3,I75*7%,N75&lt;3,I75*5%)</f>
        <v>3538.1500000000005</v>
      </c>
    </row>
    <row r="76" spans="1:15">
      <c r="A76" s="24" t="s">
        <v>213</v>
      </c>
      <c r="B76" s="25" t="s">
        <v>126</v>
      </c>
      <c r="C76" s="25" t="s">
        <v>27</v>
      </c>
      <c r="D76" s="25" t="s">
        <v>28</v>
      </c>
      <c r="E76" s="25">
        <v>36</v>
      </c>
      <c r="F76" s="25" t="s">
        <v>20</v>
      </c>
      <c r="G76" s="25" t="s">
        <v>36</v>
      </c>
      <c r="H76" s="26">
        <v>45375</v>
      </c>
      <c r="I76" s="25">
        <v>79385</v>
      </c>
      <c r="J76" s="25" t="s">
        <v>37</v>
      </c>
      <c r="K76" s="25" t="s">
        <v>214</v>
      </c>
      <c r="L76" s="27" t="s">
        <v>24</v>
      </c>
      <c r="M76" s="28" t="str">
        <f>_xlfn.XLOOKUP(F76,Department!$A$2:$A$6,Department!$B$2:$B$6)</f>
        <v>HR</v>
      </c>
      <c r="N76" s="30">
        <f>_xlfn.XLOOKUP(A76,Performance!$A$2:$A$501,Performance!$C$2:$C$501)</f>
        <v>5</v>
      </c>
      <c r="O76" s="28" cm="1">
        <f t="array" ref="O76">_xlfn.IFS(N76=5,I76*15%,N76=4,I76*10%,N76=3,I76*7%,N76&lt;3,I76*5%)</f>
        <v>11907.75</v>
      </c>
    </row>
    <row r="77" spans="1:15">
      <c r="A77" s="24" t="s">
        <v>215</v>
      </c>
      <c r="B77" s="25" t="s">
        <v>58</v>
      </c>
      <c r="C77" s="25" t="s">
        <v>18</v>
      </c>
      <c r="D77" s="25" t="s">
        <v>19</v>
      </c>
      <c r="E77" s="25">
        <v>52</v>
      </c>
      <c r="F77" s="25" t="s">
        <v>54</v>
      </c>
      <c r="G77" s="25" t="s">
        <v>36</v>
      </c>
      <c r="H77" s="26">
        <v>43167</v>
      </c>
      <c r="I77" s="25">
        <v>48744</v>
      </c>
      <c r="J77" s="25" t="s">
        <v>67</v>
      </c>
      <c r="K77" s="25" t="s">
        <v>216</v>
      </c>
      <c r="L77" s="27" t="s">
        <v>39</v>
      </c>
      <c r="M77" s="28" t="str">
        <f>_xlfn.XLOOKUP(F77,Department!$A$2:$A$6,Department!$B$2:$B$6)</f>
        <v>Finance</v>
      </c>
      <c r="N77" s="30">
        <f>_xlfn.XLOOKUP(A77,Performance!$A$2:$A$501,Performance!$C$2:$C$501)</f>
        <v>3</v>
      </c>
      <c r="O77" s="28" cm="1">
        <f t="array" ref="O77">_xlfn.IFS(N77=5,I77*15%,N77=4,I77*10%,N77=3,I77*7%,N77&lt;3,I77*5%)</f>
        <v>3412.0800000000004</v>
      </c>
    </row>
    <row r="78" spans="1:15">
      <c r="A78" s="24" t="s">
        <v>217</v>
      </c>
      <c r="B78" s="25" t="s">
        <v>126</v>
      </c>
      <c r="C78" s="25" t="s">
        <v>93</v>
      </c>
      <c r="D78" s="25" t="s">
        <v>28</v>
      </c>
      <c r="E78" s="25">
        <v>53</v>
      </c>
      <c r="F78" s="25" t="s">
        <v>29</v>
      </c>
      <c r="G78" s="25" t="s">
        <v>102</v>
      </c>
      <c r="H78" s="26">
        <v>44727</v>
      </c>
      <c r="I78" s="25">
        <v>48865</v>
      </c>
      <c r="J78" s="25" t="s">
        <v>62</v>
      </c>
      <c r="K78" s="25" t="s">
        <v>218</v>
      </c>
      <c r="L78" s="27" t="s">
        <v>24</v>
      </c>
      <c r="M78" s="28" t="str">
        <f>_xlfn.XLOOKUP(F78,Department!$A$2:$A$6,Department!$B$2:$B$6)</f>
        <v>IT</v>
      </c>
      <c r="N78" s="30">
        <f>_xlfn.XLOOKUP(A78,Performance!$A$2:$A$501,Performance!$C$2:$C$501)</f>
        <v>1</v>
      </c>
      <c r="O78" s="28" cm="1">
        <f t="array" ref="O78">_xlfn.IFS(N78=5,I78*15%,N78=4,I78*10%,N78=3,I78*7%,N78&lt;3,I78*5%)</f>
        <v>2443.25</v>
      </c>
    </row>
    <row r="79" spans="1:15">
      <c r="A79" s="24" t="s">
        <v>219</v>
      </c>
      <c r="B79" s="25" t="s">
        <v>53</v>
      </c>
      <c r="C79" s="25" t="s">
        <v>66</v>
      </c>
      <c r="D79" s="25" t="s">
        <v>19</v>
      </c>
      <c r="E79" s="25">
        <v>53</v>
      </c>
      <c r="F79" s="25" t="s">
        <v>54</v>
      </c>
      <c r="G79" s="25" t="s">
        <v>21</v>
      </c>
      <c r="H79" s="26">
        <v>43649</v>
      </c>
      <c r="I79" s="25">
        <v>73437</v>
      </c>
      <c r="J79" s="25" t="s">
        <v>67</v>
      </c>
      <c r="K79" s="25" t="s">
        <v>220</v>
      </c>
      <c r="L79" s="27" t="s">
        <v>39</v>
      </c>
      <c r="M79" s="28" t="str">
        <f>_xlfn.XLOOKUP(F79,Department!$A$2:$A$6,Department!$B$2:$B$6)</f>
        <v>Finance</v>
      </c>
      <c r="N79" s="30">
        <f>_xlfn.XLOOKUP(A79,Performance!$A$2:$A$501,Performance!$C$2:$C$501)</f>
        <v>4</v>
      </c>
      <c r="O79" s="28" cm="1">
        <f t="array" ref="O79">_xlfn.IFS(N79=5,I79*15%,N79=4,I79*10%,N79=3,I79*7%,N79&lt;3,I79*5%)</f>
        <v>7343.7000000000007</v>
      </c>
    </row>
    <row r="80" spans="1:15">
      <c r="A80" s="24" t="s">
        <v>221</v>
      </c>
      <c r="B80" s="25" t="s">
        <v>58</v>
      </c>
      <c r="C80" s="25" t="s">
        <v>141</v>
      </c>
      <c r="D80" s="25" t="s">
        <v>19</v>
      </c>
      <c r="E80" s="25">
        <v>25</v>
      </c>
      <c r="F80" s="25" t="s">
        <v>43</v>
      </c>
      <c r="G80" s="25" t="s">
        <v>21</v>
      </c>
      <c r="H80" s="26">
        <v>45369</v>
      </c>
      <c r="I80" s="25">
        <v>75232</v>
      </c>
      <c r="J80" s="25" t="s">
        <v>81</v>
      </c>
      <c r="K80" s="25" t="s">
        <v>222</v>
      </c>
      <c r="L80" s="27" t="s">
        <v>24</v>
      </c>
      <c r="M80" s="28" t="str">
        <f>_xlfn.XLOOKUP(F80,Department!$A$2:$A$6,Department!$B$2:$B$6)</f>
        <v>Marketing</v>
      </c>
      <c r="N80" s="30">
        <f>_xlfn.XLOOKUP(A80,Performance!$A$2:$A$501,Performance!$C$2:$C$501)</f>
        <v>1</v>
      </c>
      <c r="O80" s="28" cm="1">
        <f t="array" ref="O80">_xlfn.IFS(N80=5,I80*15%,N80=4,I80*10%,N80=3,I80*7%,N80&lt;3,I80*5%)</f>
        <v>3761.6000000000004</v>
      </c>
    </row>
    <row r="81" spans="1:15">
      <c r="A81" s="24" t="s">
        <v>223</v>
      </c>
      <c r="B81" s="25" t="s">
        <v>74</v>
      </c>
      <c r="C81" s="25" t="s">
        <v>18</v>
      </c>
      <c r="D81" s="25" t="s">
        <v>19</v>
      </c>
      <c r="E81" s="25">
        <v>48</v>
      </c>
      <c r="F81" s="25" t="s">
        <v>35</v>
      </c>
      <c r="G81" s="25" t="s">
        <v>21</v>
      </c>
      <c r="H81" s="26">
        <v>44427</v>
      </c>
      <c r="I81" s="25">
        <v>53034</v>
      </c>
      <c r="J81" s="25" t="s">
        <v>67</v>
      </c>
      <c r="K81" s="25" t="s">
        <v>224</v>
      </c>
      <c r="L81" s="27" t="s">
        <v>24</v>
      </c>
      <c r="M81" s="28" t="str">
        <f>_xlfn.XLOOKUP(F81,Department!$A$2:$A$6,Department!$B$2:$B$6)</f>
        <v>Sales</v>
      </c>
      <c r="N81" s="30">
        <f>_xlfn.XLOOKUP(A81,Performance!$A$2:$A$501,Performance!$C$2:$C$501)</f>
        <v>2</v>
      </c>
      <c r="O81" s="28" cm="1">
        <f t="array" ref="O81">_xlfn.IFS(N81=5,I81*15%,N81=4,I81*10%,N81=3,I81*7%,N81&lt;3,I81*5%)</f>
        <v>2651.7000000000003</v>
      </c>
    </row>
    <row r="82" spans="1:15">
      <c r="A82" s="24" t="s">
        <v>225</v>
      </c>
      <c r="B82" s="25" t="s">
        <v>74</v>
      </c>
      <c r="C82" s="25" t="s">
        <v>27</v>
      </c>
      <c r="D82" s="25" t="s">
        <v>28</v>
      </c>
      <c r="E82" s="25">
        <v>45</v>
      </c>
      <c r="F82" s="25" t="s">
        <v>20</v>
      </c>
      <c r="G82" s="25" t="s">
        <v>21</v>
      </c>
      <c r="H82" s="26">
        <v>45434</v>
      </c>
      <c r="I82" s="25">
        <v>110168</v>
      </c>
      <c r="J82" s="25" t="s">
        <v>62</v>
      </c>
      <c r="K82" s="25" t="s">
        <v>226</v>
      </c>
      <c r="L82" s="27" t="s">
        <v>39</v>
      </c>
      <c r="M82" s="28" t="str">
        <f>_xlfn.XLOOKUP(F82,Department!$A$2:$A$6,Department!$B$2:$B$6)</f>
        <v>HR</v>
      </c>
      <c r="N82" s="30">
        <f>_xlfn.XLOOKUP(A82,Performance!$A$2:$A$501,Performance!$C$2:$C$501)</f>
        <v>4</v>
      </c>
      <c r="O82" s="28" cm="1">
        <f t="array" ref="O82">_xlfn.IFS(N82=5,I82*15%,N82=4,I82*10%,N82=3,I82*7%,N82&lt;3,I82*5%)</f>
        <v>11016.800000000001</v>
      </c>
    </row>
    <row r="83" spans="1:15">
      <c r="A83" s="24" t="s">
        <v>227</v>
      </c>
      <c r="B83" s="25" t="s">
        <v>42</v>
      </c>
      <c r="C83" s="25" t="s">
        <v>80</v>
      </c>
      <c r="D83" s="25" t="s">
        <v>19</v>
      </c>
      <c r="E83" s="25">
        <v>51</v>
      </c>
      <c r="F83" s="25" t="s">
        <v>29</v>
      </c>
      <c r="G83" s="25" t="s">
        <v>36</v>
      </c>
      <c r="H83" s="26">
        <v>43350</v>
      </c>
      <c r="I83" s="25">
        <v>107488</v>
      </c>
      <c r="J83" s="25" t="s">
        <v>37</v>
      </c>
      <c r="K83" s="25" t="s">
        <v>228</v>
      </c>
      <c r="L83" s="27" t="s">
        <v>39</v>
      </c>
      <c r="M83" s="28" t="str">
        <f>_xlfn.XLOOKUP(F83,Department!$A$2:$A$6,Department!$B$2:$B$6)</f>
        <v>IT</v>
      </c>
      <c r="N83" s="30">
        <f>_xlfn.XLOOKUP(A83,Performance!$A$2:$A$501,Performance!$C$2:$C$501)</f>
        <v>1</v>
      </c>
      <c r="O83" s="28" cm="1">
        <f t="array" ref="O83">_xlfn.IFS(N83=5,I83*15%,N83=4,I83*10%,N83=3,I83*7%,N83&lt;3,I83*5%)</f>
        <v>5374.4000000000005</v>
      </c>
    </row>
    <row r="84" spans="1:15">
      <c r="A84" s="24" t="s">
        <v>229</v>
      </c>
      <c r="B84" s="25" t="s">
        <v>48</v>
      </c>
      <c r="C84" s="25" t="s">
        <v>49</v>
      </c>
      <c r="D84" s="25" t="s">
        <v>19</v>
      </c>
      <c r="E84" s="25">
        <v>50</v>
      </c>
      <c r="F84" s="25" t="s">
        <v>35</v>
      </c>
      <c r="G84" s="25" t="s">
        <v>21</v>
      </c>
      <c r="H84" s="26">
        <v>44694</v>
      </c>
      <c r="I84" s="25">
        <v>53754</v>
      </c>
      <c r="J84" s="25" t="s">
        <v>37</v>
      </c>
      <c r="K84" s="25" t="s">
        <v>230</v>
      </c>
      <c r="L84" s="27" t="s">
        <v>39</v>
      </c>
      <c r="M84" s="28" t="str">
        <f>_xlfn.XLOOKUP(F84,Department!$A$2:$A$6,Department!$B$2:$B$6)</f>
        <v>Sales</v>
      </c>
      <c r="N84" s="30">
        <f>_xlfn.XLOOKUP(A84,Performance!$A$2:$A$501,Performance!$C$2:$C$501)</f>
        <v>3</v>
      </c>
      <c r="O84" s="28" cm="1">
        <f t="array" ref="O84">_xlfn.IFS(N84=5,I84*15%,N84=4,I84*10%,N84=3,I84*7%,N84&lt;3,I84*5%)</f>
        <v>3762.78</v>
      </c>
    </row>
    <row r="85" spans="1:15">
      <c r="A85" s="24" t="s">
        <v>231</v>
      </c>
      <c r="B85" s="25" t="s">
        <v>92</v>
      </c>
      <c r="C85" s="25" t="s">
        <v>117</v>
      </c>
      <c r="D85" s="25" t="s">
        <v>28</v>
      </c>
      <c r="E85" s="25">
        <v>47</v>
      </c>
      <c r="F85" s="25" t="s">
        <v>20</v>
      </c>
      <c r="G85" s="25" t="s">
        <v>36</v>
      </c>
      <c r="H85" s="26">
        <v>44598</v>
      </c>
      <c r="I85" s="25">
        <v>99891</v>
      </c>
      <c r="J85" s="25" t="s">
        <v>37</v>
      </c>
      <c r="K85" s="25" t="s">
        <v>232</v>
      </c>
      <c r="L85" s="27" t="s">
        <v>39</v>
      </c>
      <c r="M85" s="28" t="str">
        <f>_xlfn.XLOOKUP(F85,Department!$A$2:$A$6,Department!$B$2:$B$6)</f>
        <v>HR</v>
      </c>
      <c r="N85" s="30">
        <f>_xlfn.XLOOKUP(A85,Performance!$A$2:$A$501,Performance!$C$2:$C$501)</f>
        <v>2</v>
      </c>
      <c r="O85" s="28" cm="1">
        <f t="array" ref="O85">_xlfn.IFS(N85=5,I85*15%,N85=4,I85*10%,N85=3,I85*7%,N85&lt;3,I85*5%)</f>
        <v>4994.55</v>
      </c>
    </row>
    <row r="86" spans="1:15">
      <c r="A86" s="24" t="s">
        <v>233</v>
      </c>
      <c r="B86" s="25" t="s">
        <v>58</v>
      </c>
      <c r="C86" s="25" t="s">
        <v>89</v>
      </c>
      <c r="D86" s="25" t="s">
        <v>28</v>
      </c>
      <c r="E86" s="25">
        <v>37</v>
      </c>
      <c r="F86" s="25" t="s">
        <v>35</v>
      </c>
      <c r="G86" s="25" t="s">
        <v>30</v>
      </c>
      <c r="H86" s="26">
        <v>45488</v>
      </c>
      <c r="I86" s="25">
        <v>109363</v>
      </c>
      <c r="J86" s="25" t="s">
        <v>62</v>
      </c>
      <c r="K86" s="25" t="s">
        <v>234</v>
      </c>
      <c r="L86" s="27" t="s">
        <v>39</v>
      </c>
      <c r="M86" s="28" t="str">
        <f>_xlfn.XLOOKUP(F86,Department!$A$2:$A$6,Department!$B$2:$B$6)</f>
        <v>Sales</v>
      </c>
      <c r="N86" s="30">
        <f>_xlfn.XLOOKUP(A86,Performance!$A$2:$A$501,Performance!$C$2:$C$501)</f>
        <v>4</v>
      </c>
      <c r="O86" s="28" cm="1">
        <f t="array" ref="O86">_xlfn.IFS(N86=5,I86*15%,N86=4,I86*10%,N86=3,I86*7%,N86&lt;3,I86*5%)</f>
        <v>10936.300000000001</v>
      </c>
    </row>
    <row r="87" spans="1:15">
      <c r="A87" s="24" t="s">
        <v>235</v>
      </c>
      <c r="B87" s="25" t="s">
        <v>61</v>
      </c>
      <c r="C87" s="25" t="s">
        <v>80</v>
      </c>
      <c r="D87" s="25" t="s">
        <v>28</v>
      </c>
      <c r="E87" s="25">
        <v>26</v>
      </c>
      <c r="F87" s="25" t="s">
        <v>43</v>
      </c>
      <c r="G87" s="25" t="s">
        <v>44</v>
      </c>
      <c r="H87" s="26">
        <v>43784</v>
      </c>
      <c r="I87" s="25">
        <v>57248</v>
      </c>
      <c r="J87" s="25" t="s">
        <v>22</v>
      </c>
      <c r="K87" s="25" t="s">
        <v>236</v>
      </c>
      <c r="L87" s="27" t="s">
        <v>24</v>
      </c>
      <c r="M87" s="28" t="str">
        <f>_xlfn.XLOOKUP(F87,Department!$A$2:$A$6,Department!$B$2:$B$6)</f>
        <v>Marketing</v>
      </c>
      <c r="N87" s="30">
        <f>_xlfn.XLOOKUP(A87,Performance!$A$2:$A$501,Performance!$C$2:$C$501)</f>
        <v>3</v>
      </c>
      <c r="O87" s="28" cm="1">
        <f t="array" ref="O87">_xlfn.IFS(N87=5,I87*15%,N87=4,I87*10%,N87=3,I87*7%,N87&lt;3,I87*5%)</f>
        <v>4007.3600000000006</v>
      </c>
    </row>
    <row r="88" spans="1:15">
      <c r="A88" s="24" t="s">
        <v>237</v>
      </c>
      <c r="B88" s="25" t="s">
        <v>48</v>
      </c>
      <c r="C88" s="25" t="s">
        <v>93</v>
      </c>
      <c r="D88" s="25" t="s">
        <v>19</v>
      </c>
      <c r="E88" s="25">
        <v>28</v>
      </c>
      <c r="F88" s="25" t="s">
        <v>54</v>
      </c>
      <c r="G88" s="25" t="s">
        <v>102</v>
      </c>
      <c r="H88" s="26">
        <v>44733</v>
      </c>
      <c r="I88" s="25">
        <v>89625</v>
      </c>
      <c r="J88" s="25" t="s">
        <v>62</v>
      </c>
      <c r="K88" s="25" t="s">
        <v>238</v>
      </c>
      <c r="L88" s="27" t="s">
        <v>39</v>
      </c>
      <c r="M88" s="28" t="str">
        <f>_xlfn.XLOOKUP(F88,Department!$A$2:$A$6,Department!$B$2:$B$6)</f>
        <v>Finance</v>
      </c>
      <c r="N88" s="30">
        <f>_xlfn.XLOOKUP(A88,Performance!$A$2:$A$501,Performance!$C$2:$C$501)</f>
        <v>5</v>
      </c>
      <c r="O88" s="28" cm="1">
        <f t="array" ref="O88">_xlfn.IFS(N88=5,I88*15%,N88=4,I88*10%,N88=3,I88*7%,N88&lt;3,I88*5%)</f>
        <v>13443.75</v>
      </c>
    </row>
    <row r="89" spans="1:15">
      <c r="A89" s="24" t="s">
        <v>239</v>
      </c>
      <c r="B89" s="25" t="s">
        <v>53</v>
      </c>
      <c r="C89" s="25" t="s">
        <v>49</v>
      </c>
      <c r="D89" s="25" t="s">
        <v>19</v>
      </c>
      <c r="E89" s="25">
        <v>44</v>
      </c>
      <c r="F89" s="25" t="s">
        <v>43</v>
      </c>
      <c r="G89" s="25" t="s">
        <v>21</v>
      </c>
      <c r="H89" s="26">
        <v>43906</v>
      </c>
      <c r="I89" s="25">
        <v>104211</v>
      </c>
      <c r="J89" s="25" t="s">
        <v>67</v>
      </c>
      <c r="K89" s="25" t="s">
        <v>240</v>
      </c>
      <c r="L89" s="27" t="s">
        <v>39</v>
      </c>
      <c r="M89" s="28" t="str">
        <f>_xlfn.XLOOKUP(F89,Department!$A$2:$A$6,Department!$B$2:$B$6)</f>
        <v>Marketing</v>
      </c>
      <c r="N89" s="30">
        <f>_xlfn.XLOOKUP(A89,Performance!$A$2:$A$501,Performance!$C$2:$C$501)</f>
        <v>5</v>
      </c>
      <c r="O89" s="28" cm="1">
        <f t="array" ref="O89">_xlfn.IFS(N89=5,I89*15%,N89=4,I89*10%,N89=3,I89*7%,N89&lt;3,I89*5%)</f>
        <v>15631.65</v>
      </c>
    </row>
    <row r="90" spans="1:15">
      <c r="A90" s="24" t="s">
        <v>241</v>
      </c>
      <c r="B90" s="25" t="s">
        <v>58</v>
      </c>
      <c r="C90" s="25" t="s">
        <v>89</v>
      </c>
      <c r="D90" s="25" t="s">
        <v>19</v>
      </c>
      <c r="E90" s="25">
        <v>36</v>
      </c>
      <c r="F90" s="25" t="s">
        <v>29</v>
      </c>
      <c r="G90" s="25" t="s">
        <v>36</v>
      </c>
      <c r="H90" s="26">
        <v>43975</v>
      </c>
      <c r="I90" s="25">
        <v>82819</v>
      </c>
      <c r="J90" s="25" t="s">
        <v>37</v>
      </c>
      <c r="K90" s="25" t="s">
        <v>242</v>
      </c>
      <c r="L90" s="27" t="s">
        <v>39</v>
      </c>
      <c r="M90" s="28" t="str">
        <f>_xlfn.XLOOKUP(F90,Department!$A$2:$A$6,Department!$B$2:$B$6)</f>
        <v>IT</v>
      </c>
      <c r="N90" s="30">
        <f>_xlfn.XLOOKUP(A90,Performance!$A$2:$A$501,Performance!$C$2:$C$501)</f>
        <v>1</v>
      </c>
      <c r="O90" s="28" cm="1">
        <f t="array" ref="O90">_xlfn.IFS(N90=5,I90*15%,N90=4,I90*10%,N90=3,I90*7%,N90&lt;3,I90*5%)</f>
        <v>4140.95</v>
      </c>
    </row>
    <row r="91" spans="1:15">
      <c r="A91" s="24" t="s">
        <v>243</v>
      </c>
      <c r="B91" s="25" t="s">
        <v>34</v>
      </c>
      <c r="C91" s="25" t="s">
        <v>89</v>
      </c>
      <c r="D91" s="25" t="s">
        <v>19</v>
      </c>
      <c r="E91" s="25">
        <v>54</v>
      </c>
      <c r="F91" s="25" t="s">
        <v>29</v>
      </c>
      <c r="G91" s="25" t="s">
        <v>36</v>
      </c>
      <c r="H91" s="26">
        <v>45540</v>
      </c>
      <c r="I91" s="25">
        <v>105392</v>
      </c>
      <c r="J91" s="25" t="s">
        <v>81</v>
      </c>
      <c r="K91" s="25" t="s">
        <v>244</v>
      </c>
      <c r="L91" s="27" t="s">
        <v>24</v>
      </c>
      <c r="M91" s="28" t="str">
        <f>_xlfn.XLOOKUP(F91,Department!$A$2:$A$6,Department!$B$2:$B$6)</f>
        <v>IT</v>
      </c>
      <c r="N91" s="30">
        <f>_xlfn.XLOOKUP(A91,Performance!$A$2:$A$501,Performance!$C$2:$C$501)</f>
        <v>3</v>
      </c>
      <c r="O91" s="28" cm="1">
        <f t="array" ref="O91">_xlfn.IFS(N91=5,I91*15%,N91=4,I91*10%,N91=3,I91*7%,N91&lt;3,I91*5%)</f>
        <v>7377.4400000000005</v>
      </c>
    </row>
    <row r="92" spans="1:15">
      <c r="A92" s="24" t="s">
        <v>245</v>
      </c>
      <c r="B92" s="25" t="s">
        <v>61</v>
      </c>
      <c r="C92" s="25" t="s">
        <v>27</v>
      </c>
      <c r="D92" s="25" t="s">
        <v>28</v>
      </c>
      <c r="E92" s="25">
        <v>49</v>
      </c>
      <c r="F92" s="25" t="s">
        <v>54</v>
      </c>
      <c r="G92" s="25" t="s">
        <v>21</v>
      </c>
      <c r="H92" s="26">
        <v>44417</v>
      </c>
      <c r="I92" s="25">
        <v>52568</v>
      </c>
      <c r="J92" s="25" t="s">
        <v>37</v>
      </c>
      <c r="K92" s="25" t="s">
        <v>246</v>
      </c>
      <c r="L92" s="27" t="s">
        <v>24</v>
      </c>
      <c r="M92" s="28" t="str">
        <f>_xlfn.XLOOKUP(F92,Department!$A$2:$A$6,Department!$B$2:$B$6)</f>
        <v>Finance</v>
      </c>
      <c r="N92" s="30">
        <f>_xlfn.XLOOKUP(A92,Performance!$A$2:$A$501,Performance!$C$2:$C$501)</f>
        <v>1</v>
      </c>
      <c r="O92" s="28" cm="1">
        <f t="array" ref="O92">_xlfn.IFS(N92=5,I92*15%,N92=4,I92*10%,N92=3,I92*7%,N92&lt;3,I92*5%)</f>
        <v>2628.4</v>
      </c>
    </row>
    <row r="93" spans="1:15">
      <c r="A93" s="24" t="s">
        <v>247</v>
      </c>
      <c r="B93" s="25" t="s">
        <v>74</v>
      </c>
      <c r="C93" s="25" t="s">
        <v>89</v>
      </c>
      <c r="D93" s="25" t="s">
        <v>19</v>
      </c>
      <c r="E93" s="25">
        <v>35</v>
      </c>
      <c r="F93" s="25" t="s">
        <v>29</v>
      </c>
      <c r="G93" s="25" t="s">
        <v>21</v>
      </c>
      <c r="H93" s="26">
        <v>44968</v>
      </c>
      <c r="I93" s="25">
        <v>119403</v>
      </c>
      <c r="J93" s="25" t="s">
        <v>62</v>
      </c>
      <c r="K93" s="25" t="s">
        <v>248</v>
      </c>
      <c r="L93" s="27" t="s">
        <v>39</v>
      </c>
      <c r="M93" s="28" t="str">
        <f>_xlfn.XLOOKUP(F93,Department!$A$2:$A$6,Department!$B$2:$B$6)</f>
        <v>IT</v>
      </c>
      <c r="N93" s="30">
        <f>_xlfn.XLOOKUP(A93,Performance!$A$2:$A$501,Performance!$C$2:$C$501)</f>
        <v>3</v>
      </c>
      <c r="O93" s="28" cm="1">
        <f t="array" ref="O93">_xlfn.IFS(N93=5,I93*15%,N93=4,I93*10%,N93=3,I93*7%,N93&lt;3,I93*5%)</f>
        <v>8358.2100000000009</v>
      </c>
    </row>
    <row r="94" spans="1:15">
      <c r="A94" s="24" t="s">
        <v>249</v>
      </c>
      <c r="B94" s="25" t="s">
        <v>53</v>
      </c>
      <c r="C94" s="25" t="s">
        <v>80</v>
      </c>
      <c r="D94" s="25" t="s">
        <v>19</v>
      </c>
      <c r="E94" s="25">
        <v>44</v>
      </c>
      <c r="F94" s="25" t="s">
        <v>54</v>
      </c>
      <c r="G94" s="25" t="s">
        <v>36</v>
      </c>
      <c r="H94" s="26">
        <v>44059</v>
      </c>
      <c r="I94" s="25">
        <v>54883</v>
      </c>
      <c r="J94" s="25" t="s">
        <v>37</v>
      </c>
      <c r="K94" s="25" t="s">
        <v>250</v>
      </c>
      <c r="L94" s="27" t="s">
        <v>39</v>
      </c>
      <c r="M94" s="28" t="str">
        <f>_xlfn.XLOOKUP(F94,Department!$A$2:$A$6,Department!$B$2:$B$6)</f>
        <v>Finance</v>
      </c>
      <c r="N94" s="30">
        <f>_xlfn.XLOOKUP(A94,Performance!$A$2:$A$501,Performance!$C$2:$C$501)</f>
        <v>2</v>
      </c>
      <c r="O94" s="28" cm="1">
        <f t="array" ref="O94">_xlfn.IFS(N94=5,I94*15%,N94=4,I94*10%,N94=3,I94*7%,N94&lt;3,I94*5%)</f>
        <v>2744.15</v>
      </c>
    </row>
    <row r="95" spans="1:15">
      <c r="A95" s="24" t="s">
        <v>251</v>
      </c>
      <c r="B95" s="25" t="s">
        <v>53</v>
      </c>
      <c r="C95" s="25" t="s">
        <v>80</v>
      </c>
      <c r="D95" s="25" t="s">
        <v>19</v>
      </c>
      <c r="E95" s="25">
        <v>44</v>
      </c>
      <c r="F95" s="25" t="s">
        <v>20</v>
      </c>
      <c r="G95" s="25" t="s">
        <v>36</v>
      </c>
      <c r="H95" s="26">
        <v>45188</v>
      </c>
      <c r="I95" s="25">
        <v>83855</v>
      </c>
      <c r="J95" s="25" t="s">
        <v>37</v>
      </c>
      <c r="K95" s="25" t="s">
        <v>252</v>
      </c>
      <c r="L95" s="27" t="s">
        <v>39</v>
      </c>
      <c r="M95" s="28" t="str">
        <f>_xlfn.XLOOKUP(F95,Department!$A$2:$A$6,Department!$B$2:$B$6)</f>
        <v>HR</v>
      </c>
      <c r="N95" s="30">
        <f>_xlfn.XLOOKUP(A95,Performance!$A$2:$A$501,Performance!$C$2:$C$501)</f>
        <v>1</v>
      </c>
      <c r="O95" s="28" cm="1">
        <f t="array" ref="O95">_xlfn.IFS(N95=5,I95*15%,N95=4,I95*10%,N95=3,I95*7%,N95&lt;3,I95*5%)</f>
        <v>4192.75</v>
      </c>
    </row>
    <row r="96" spans="1:15">
      <c r="A96" s="24" t="s">
        <v>253</v>
      </c>
      <c r="B96" s="25" t="s">
        <v>92</v>
      </c>
      <c r="C96" s="25" t="s">
        <v>66</v>
      </c>
      <c r="D96" s="25" t="s">
        <v>28</v>
      </c>
      <c r="E96" s="25">
        <v>53</v>
      </c>
      <c r="F96" s="25" t="s">
        <v>35</v>
      </c>
      <c r="G96" s="25" t="s">
        <v>44</v>
      </c>
      <c r="H96" s="26">
        <v>44710</v>
      </c>
      <c r="I96" s="25">
        <v>43725</v>
      </c>
      <c r="J96" s="25" t="s">
        <v>67</v>
      </c>
      <c r="K96" s="25" t="s">
        <v>254</v>
      </c>
      <c r="L96" s="27" t="s">
        <v>24</v>
      </c>
      <c r="M96" s="28" t="str">
        <f>_xlfn.XLOOKUP(F96,Department!$A$2:$A$6,Department!$B$2:$B$6)</f>
        <v>Sales</v>
      </c>
      <c r="N96" s="30">
        <f>_xlfn.XLOOKUP(A96,Performance!$A$2:$A$501,Performance!$C$2:$C$501)</f>
        <v>2</v>
      </c>
      <c r="O96" s="28" cm="1">
        <f t="array" ref="O96">_xlfn.IFS(N96=5,I96*15%,N96=4,I96*10%,N96=3,I96*7%,N96&lt;3,I96*5%)</f>
        <v>2186.25</v>
      </c>
    </row>
    <row r="97" spans="1:15">
      <c r="A97" s="24" t="s">
        <v>255</v>
      </c>
      <c r="B97" s="25" t="s">
        <v>58</v>
      </c>
      <c r="C97" s="25" t="s">
        <v>49</v>
      </c>
      <c r="D97" s="25" t="s">
        <v>19</v>
      </c>
      <c r="E97" s="25">
        <v>24</v>
      </c>
      <c r="F97" s="25" t="s">
        <v>35</v>
      </c>
      <c r="G97" s="25" t="s">
        <v>44</v>
      </c>
      <c r="H97" s="26">
        <v>44466</v>
      </c>
      <c r="I97" s="25">
        <v>104506</v>
      </c>
      <c r="J97" s="25" t="s">
        <v>67</v>
      </c>
      <c r="K97" s="25" t="s">
        <v>256</v>
      </c>
      <c r="L97" s="27" t="s">
        <v>24</v>
      </c>
      <c r="M97" s="28" t="str">
        <f>_xlfn.XLOOKUP(F97,Department!$A$2:$A$6,Department!$B$2:$B$6)</f>
        <v>Sales</v>
      </c>
      <c r="N97" s="30">
        <f>_xlfn.XLOOKUP(A97,Performance!$A$2:$A$501,Performance!$C$2:$C$501)</f>
        <v>4</v>
      </c>
      <c r="O97" s="28" cm="1">
        <f t="array" ref="O97">_xlfn.IFS(N97=5,I97*15%,N97=4,I97*10%,N97=3,I97*7%,N97&lt;3,I97*5%)</f>
        <v>10450.6</v>
      </c>
    </row>
    <row r="98" spans="1:15">
      <c r="A98" s="24" t="s">
        <v>257</v>
      </c>
      <c r="B98" s="25" t="s">
        <v>42</v>
      </c>
      <c r="C98" s="25" t="s">
        <v>89</v>
      </c>
      <c r="D98" s="25" t="s">
        <v>19</v>
      </c>
      <c r="E98" s="25">
        <v>45</v>
      </c>
      <c r="F98" s="25" t="s">
        <v>29</v>
      </c>
      <c r="G98" s="25" t="s">
        <v>44</v>
      </c>
      <c r="H98" s="26">
        <v>44516</v>
      </c>
      <c r="I98" s="25">
        <v>36873</v>
      </c>
      <c r="J98" s="25" t="s">
        <v>67</v>
      </c>
      <c r="K98" s="25" t="s">
        <v>258</v>
      </c>
      <c r="L98" s="27" t="s">
        <v>39</v>
      </c>
      <c r="M98" s="28" t="str">
        <f>_xlfn.XLOOKUP(F98,Department!$A$2:$A$6,Department!$B$2:$B$6)</f>
        <v>IT</v>
      </c>
      <c r="N98" s="30">
        <f>_xlfn.XLOOKUP(A98,Performance!$A$2:$A$501,Performance!$C$2:$C$501)</f>
        <v>2</v>
      </c>
      <c r="O98" s="28" cm="1">
        <f t="array" ref="O98">_xlfn.IFS(N98=5,I98*15%,N98=4,I98*10%,N98=3,I98*7%,N98&lt;3,I98*5%)</f>
        <v>1843.65</v>
      </c>
    </row>
    <row r="99" spans="1:15">
      <c r="A99" s="24" t="s">
        <v>259</v>
      </c>
      <c r="B99" s="25" t="s">
        <v>17</v>
      </c>
      <c r="C99" s="25" t="s">
        <v>89</v>
      </c>
      <c r="D99" s="25" t="s">
        <v>28</v>
      </c>
      <c r="E99" s="25">
        <v>25</v>
      </c>
      <c r="F99" s="25" t="s">
        <v>43</v>
      </c>
      <c r="G99" s="25" t="s">
        <v>44</v>
      </c>
      <c r="H99" s="26">
        <v>44364</v>
      </c>
      <c r="I99" s="25">
        <v>50051</v>
      </c>
      <c r="J99" s="25" t="s">
        <v>22</v>
      </c>
      <c r="K99" s="25" t="s">
        <v>260</v>
      </c>
      <c r="L99" s="27" t="s">
        <v>24</v>
      </c>
      <c r="M99" s="28" t="str">
        <f>_xlfn.XLOOKUP(F99,Department!$A$2:$A$6,Department!$B$2:$B$6)</f>
        <v>Marketing</v>
      </c>
      <c r="N99" s="30">
        <f>_xlfn.XLOOKUP(A99,Performance!$A$2:$A$501,Performance!$C$2:$C$501)</f>
        <v>2</v>
      </c>
      <c r="O99" s="28" cm="1">
        <f t="array" ref="O99">_xlfn.IFS(N99=5,I99*15%,N99=4,I99*10%,N99=3,I99*7%,N99&lt;3,I99*5%)</f>
        <v>2502.5500000000002</v>
      </c>
    </row>
    <row r="100" spans="1:15">
      <c r="A100" s="24" t="s">
        <v>261</v>
      </c>
      <c r="B100" s="25" t="s">
        <v>42</v>
      </c>
      <c r="C100" s="25" t="s">
        <v>80</v>
      </c>
      <c r="D100" s="25" t="s">
        <v>28</v>
      </c>
      <c r="E100" s="25">
        <v>42</v>
      </c>
      <c r="F100" s="25" t="s">
        <v>35</v>
      </c>
      <c r="G100" s="25" t="s">
        <v>44</v>
      </c>
      <c r="H100" s="26">
        <v>44671</v>
      </c>
      <c r="I100" s="25">
        <v>42571</v>
      </c>
      <c r="J100" s="25" t="s">
        <v>37</v>
      </c>
      <c r="K100" s="25" t="s">
        <v>262</v>
      </c>
      <c r="L100" s="27" t="s">
        <v>39</v>
      </c>
      <c r="M100" s="28" t="str">
        <f>_xlfn.XLOOKUP(F100,Department!$A$2:$A$6,Department!$B$2:$B$6)</f>
        <v>Sales</v>
      </c>
      <c r="N100" s="30">
        <f>_xlfn.XLOOKUP(A100,Performance!$A$2:$A$501,Performance!$C$2:$C$501)</f>
        <v>4</v>
      </c>
      <c r="O100" s="28" cm="1">
        <f t="array" ref="O100">_xlfn.IFS(N100=5,I100*15%,N100=4,I100*10%,N100=3,I100*7%,N100&lt;3,I100*5%)</f>
        <v>4257.1000000000004</v>
      </c>
    </row>
    <row r="101" spans="1:15">
      <c r="A101" s="24" t="s">
        <v>263</v>
      </c>
      <c r="B101" s="25" t="s">
        <v>42</v>
      </c>
      <c r="C101" s="25" t="s">
        <v>27</v>
      </c>
      <c r="D101" s="25" t="s">
        <v>28</v>
      </c>
      <c r="E101" s="25">
        <v>60</v>
      </c>
      <c r="F101" s="25" t="s">
        <v>54</v>
      </c>
      <c r="G101" s="25" t="s">
        <v>21</v>
      </c>
      <c r="H101" s="26">
        <v>43601</v>
      </c>
      <c r="I101" s="25">
        <v>60616</v>
      </c>
      <c r="J101" s="25" t="s">
        <v>81</v>
      </c>
      <c r="K101" s="25" t="s">
        <v>264</v>
      </c>
      <c r="L101" s="27" t="s">
        <v>39</v>
      </c>
      <c r="M101" s="28" t="str">
        <f>_xlfn.XLOOKUP(F101,Department!$A$2:$A$6,Department!$B$2:$B$6)</f>
        <v>Finance</v>
      </c>
      <c r="N101" s="30">
        <f>_xlfn.XLOOKUP(A101,Performance!$A$2:$A$501,Performance!$C$2:$C$501)</f>
        <v>1</v>
      </c>
      <c r="O101" s="28" cm="1">
        <f t="array" ref="O101">_xlfn.IFS(N101=5,I101*15%,N101=4,I101*10%,N101=3,I101*7%,N101&lt;3,I101*5%)</f>
        <v>3030.8</v>
      </c>
    </row>
    <row r="102" spans="1:15">
      <c r="A102" s="24" t="s">
        <v>265</v>
      </c>
      <c r="B102" s="25" t="s">
        <v>48</v>
      </c>
      <c r="C102" s="25" t="s">
        <v>93</v>
      </c>
      <c r="D102" s="25" t="s">
        <v>28</v>
      </c>
      <c r="E102" s="25">
        <v>57</v>
      </c>
      <c r="F102" s="25" t="s">
        <v>29</v>
      </c>
      <c r="G102" s="25" t="s">
        <v>36</v>
      </c>
      <c r="H102" s="26">
        <v>44302</v>
      </c>
      <c r="I102" s="25">
        <v>75929</v>
      </c>
      <c r="J102" s="25" t="s">
        <v>22</v>
      </c>
      <c r="K102" s="25" t="s">
        <v>266</v>
      </c>
      <c r="L102" s="27" t="s">
        <v>39</v>
      </c>
      <c r="M102" s="28" t="str">
        <f>_xlfn.XLOOKUP(F102,Department!$A$2:$A$6,Department!$B$2:$B$6)</f>
        <v>IT</v>
      </c>
      <c r="N102" s="30">
        <f>_xlfn.XLOOKUP(A102,Performance!$A$2:$A$501,Performance!$C$2:$C$501)</f>
        <v>5</v>
      </c>
      <c r="O102" s="28" cm="1">
        <f t="array" ref="O102">_xlfn.IFS(N102=5,I102*15%,N102=4,I102*10%,N102=3,I102*7%,N102&lt;3,I102*5%)</f>
        <v>11389.35</v>
      </c>
    </row>
    <row r="103" spans="1:15">
      <c r="A103" s="24" t="s">
        <v>267</v>
      </c>
      <c r="B103" s="25" t="s">
        <v>74</v>
      </c>
      <c r="C103" s="25" t="s">
        <v>84</v>
      </c>
      <c r="D103" s="25" t="s">
        <v>28</v>
      </c>
      <c r="E103" s="25">
        <v>43</v>
      </c>
      <c r="F103" s="25" t="s">
        <v>54</v>
      </c>
      <c r="G103" s="25" t="s">
        <v>102</v>
      </c>
      <c r="H103" s="26">
        <v>44934</v>
      </c>
      <c r="I103" s="25">
        <v>106165</v>
      </c>
      <c r="J103" s="25" t="s">
        <v>81</v>
      </c>
      <c r="K103" s="25" t="s">
        <v>268</v>
      </c>
      <c r="L103" s="27" t="s">
        <v>39</v>
      </c>
      <c r="M103" s="28" t="str">
        <f>_xlfn.XLOOKUP(F103,Department!$A$2:$A$6,Department!$B$2:$B$6)</f>
        <v>Finance</v>
      </c>
      <c r="N103" s="30">
        <f>_xlfn.XLOOKUP(A103,Performance!$A$2:$A$501,Performance!$C$2:$C$501)</f>
        <v>5</v>
      </c>
      <c r="O103" s="28" cm="1">
        <f t="array" ref="O103">_xlfn.IFS(N103=5,I103*15%,N103=4,I103*10%,N103=3,I103*7%,N103&lt;3,I103*5%)</f>
        <v>15924.75</v>
      </c>
    </row>
    <row r="104" spans="1:15">
      <c r="A104" s="24" t="s">
        <v>269</v>
      </c>
      <c r="B104" s="25" t="s">
        <v>53</v>
      </c>
      <c r="C104" s="25" t="s">
        <v>27</v>
      </c>
      <c r="D104" s="25" t="s">
        <v>28</v>
      </c>
      <c r="E104" s="25">
        <v>23</v>
      </c>
      <c r="F104" s="25" t="s">
        <v>54</v>
      </c>
      <c r="G104" s="25" t="s">
        <v>30</v>
      </c>
      <c r="H104" s="26">
        <v>45359</v>
      </c>
      <c r="I104" s="25">
        <v>44946</v>
      </c>
      <c r="J104" s="25" t="s">
        <v>62</v>
      </c>
      <c r="K104" s="25" t="s">
        <v>270</v>
      </c>
      <c r="L104" s="27" t="s">
        <v>39</v>
      </c>
      <c r="M104" s="28" t="str">
        <f>_xlfn.XLOOKUP(F104,Department!$A$2:$A$6,Department!$B$2:$B$6)</f>
        <v>Finance</v>
      </c>
      <c r="N104" s="30">
        <f>_xlfn.XLOOKUP(A104,Performance!$A$2:$A$501,Performance!$C$2:$C$501)</f>
        <v>5</v>
      </c>
      <c r="O104" s="28" cm="1">
        <f t="array" ref="O104">_xlfn.IFS(N104=5,I104*15%,N104=4,I104*10%,N104=3,I104*7%,N104&lt;3,I104*5%)</f>
        <v>6741.9</v>
      </c>
    </row>
    <row r="105" spans="1:15">
      <c r="A105" s="24" t="s">
        <v>271</v>
      </c>
      <c r="B105" s="25" t="s">
        <v>34</v>
      </c>
      <c r="C105" s="25" t="s">
        <v>89</v>
      </c>
      <c r="D105" s="25" t="s">
        <v>19</v>
      </c>
      <c r="E105" s="25">
        <v>32</v>
      </c>
      <c r="F105" s="25" t="s">
        <v>20</v>
      </c>
      <c r="G105" s="25" t="s">
        <v>30</v>
      </c>
      <c r="H105" s="26">
        <v>45511</v>
      </c>
      <c r="I105" s="25">
        <v>64572</v>
      </c>
      <c r="J105" s="25" t="s">
        <v>81</v>
      </c>
      <c r="K105" s="25" t="s">
        <v>272</v>
      </c>
      <c r="L105" s="27" t="s">
        <v>24</v>
      </c>
      <c r="M105" s="28" t="str">
        <f>_xlfn.XLOOKUP(F105,Department!$A$2:$A$6,Department!$B$2:$B$6)</f>
        <v>HR</v>
      </c>
      <c r="N105" s="30">
        <f>_xlfn.XLOOKUP(A105,Performance!$A$2:$A$501,Performance!$C$2:$C$501)</f>
        <v>3</v>
      </c>
      <c r="O105" s="28" cm="1">
        <f t="array" ref="O105">_xlfn.IFS(N105=5,I105*15%,N105=4,I105*10%,N105=3,I105*7%,N105&lt;3,I105*5%)</f>
        <v>4520.0400000000009</v>
      </c>
    </row>
    <row r="106" spans="1:15">
      <c r="A106" s="24" t="s">
        <v>273</v>
      </c>
      <c r="B106" s="25" t="s">
        <v>92</v>
      </c>
      <c r="C106" s="25" t="s">
        <v>18</v>
      </c>
      <c r="D106" s="25" t="s">
        <v>28</v>
      </c>
      <c r="E106" s="25">
        <v>56</v>
      </c>
      <c r="F106" s="25" t="s">
        <v>20</v>
      </c>
      <c r="G106" s="25" t="s">
        <v>44</v>
      </c>
      <c r="H106" s="26">
        <v>43895</v>
      </c>
      <c r="I106" s="25">
        <v>74825</v>
      </c>
      <c r="J106" s="25" t="s">
        <v>81</v>
      </c>
      <c r="K106" s="25" t="s">
        <v>274</v>
      </c>
      <c r="L106" s="27" t="s">
        <v>24</v>
      </c>
      <c r="M106" s="28" t="str">
        <f>_xlfn.XLOOKUP(F106,Department!$A$2:$A$6,Department!$B$2:$B$6)</f>
        <v>HR</v>
      </c>
      <c r="N106" s="30">
        <f>_xlfn.XLOOKUP(A106,Performance!$A$2:$A$501,Performance!$C$2:$C$501)</f>
        <v>3</v>
      </c>
      <c r="O106" s="28" cm="1">
        <f t="array" ref="O106">_xlfn.IFS(N106=5,I106*15%,N106=4,I106*10%,N106=3,I106*7%,N106&lt;3,I106*5%)</f>
        <v>5237.7500000000009</v>
      </c>
    </row>
    <row r="107" spans="1:15">
      <c r="A107" s="24" t="s">
        <v>275</v>
      </c>
      <c r="B107" s="25" t="s">
        <v>126</v>
      </c>
      <c r="C107" s="25" t="s">
        <v>49</v>
      </c>
      <c r="D107" s="25" t="s">
        <v>28</v>
      </c>
      <c r="E107" s="25">
        <v>27</v>
      </c>
      <c r="F107" s="25" t="s">
        <v>54</v>
      </c>
      <c r="G107" s="25" t="s">
        <v>21</v>
      </c>
      <c r="H107" s="26">
        <v>44978</v>
      </c>
      <c r="I107" s="25">
        <v>52495</v>
      </c>
      <c r="J107" s="25" t="s">
        <v>67</v>
      </c>
      <c r="K107" s="25" t="s">
        <v>276</v>
      </c>
      <c r="L107" s="27" t="s">
        <v>24</v>
      </c>
      <c r="M107" s="28" t="str">
        <f>_xlfn.XLOOKUP(F107,Department!$A$2:$A$6,Department!$B$2:$B$6)</f>
        <v>Finance</v>
      </c>
      <c r="N107" s="30">
        <f>_xlfn.XLOOKUP(A107,Performance!$A$2:$A$501,Performance!$C$2:$C$501)</f>
        <v>5</v>
      </c>
      <c r="O107" s="28" cm="1">
        <f t="array" ref="O107">_xlfn.IFS(N107=5,I107*15%,N107=4,I107*10%,N107=3,I107*7%,N107&lt;3,I107*5%)</f>
        <v>7874.25</v>
      </c>
    </row>
    <row r="108" spans="1:15">
      <c r="A108" s="24" t="s">
        <v>277</v>
      </c>
      <c r="B108" s="25" t="s">
        <v>126</v>
      </c>
      <c r="C108" s="25" t="s">
        <v>66</v>
      </c>
      <c r="D108" s="25" t="s">
        <v>28</v>
      </c>
      <c r="E108" s="25">
        <v>27</v>
      </c>
      <c r="F108" s="25" t="s">
        <v>35</v>
      </c>
      <c r="G108" s="25" t="s">
        <v>21</v>
      </c>
      <c r="H108" s="26">
        <v>43582</v>
      </c>
      <c r="I108" s="25">
        <v>90958</v>
      </c>
      <c r="J108" s="25" t="s">
        <v>22</v>
      </c>
      <c r="K108" s="25" t="s">
        <v>278</v>
      </c>
      <c r="L108" s="27" t="s">
        <v>39</v>
      </c>
      <c r="M108" s="28" t="str">
        <f>_xlfn.XLOOKUP(F108,Department!$A$2:$A$6,Department!$B$2:$B$6)</f>
        <v>Sales</v>
      </c>
      <c r="N108" s="30">
        <f>_xlfn.XLOOKUP(A108,Performance!$A$2:$A$501,Performance!$C$2:$C$501)</f>
        <v>1</v>
      </c>
      <c r="O108" s="28" cm="1">
        <f t="array" ref="O108">_xlfn.IFS(N108=5,I108*15%,N108=4,I108*10%,N108=3,I108*7%,N108&lt;3,I108*5%)</f>
        <v>4547.9000000000005</v>
      </c>
    </row>
    <row r="109" spans="1:15">
      <c r="A109" s="24" t="s">
        <v>279</v>
      </c>
      <c r="B109" s="25" t="s">
        <v>126</v>
      </c>
      <c r="C109" s="25" t="s">
        <v>84</v>
      </c>
      <c r="D109" s="25" t="s">
        <v>19</v>
      </c>
      <c r="E109" s="25">
        <v>58</v>
      </c>
      <c r="F109" s="25" t="s">
        <v>43</v>
      </c>
      <c r="G109" s="25" t="s">
        <v>44</v>
      </c>
      <c r="H109" s="26">
        <v>43327</v>
      </c>
      <c r="I109" s="25">
        <v>51096</v>
      </c>
      <c r="J109" s="25" t="s">
        <v>22</v>
      </c>
      <c r="K109" s="25" t="s">
        <v>280</v>
      </c>
      <c r="L109" s="27" t="s">
        <v>39</v>
      </c>
      <c r="M109" s="28" t="str">
        <f>_xlfn.XLOOKUP(F109,Department!$A$2:$A$6,Department!$B$2:$B$6)</f>
        <v>Marketing</v>
      </c>
      <c r="N109" s="30">
        <f>_xlfn.XLOOKUP(A109,Performance!$A$2:$A$501,Performance!$C$2:$C$501)</f>
        <v>1</v>
      </c>
      <c r="O109" s="28" cm="1">
        <f t="array" ref="O109">_xlfn.IFS(N109=5,I109*15%,N109=4,I109*10%,N109=3,I109*7%,N109&lt;3,I109*5%)</f>
        <v>2554.8000000000002</v>
      </c>
    </row>
    <row r="110" spans="1:15">
      <c r="A110" s="24" t="s">
        <v>281</v>
      </c>
      <c r="B110" s="25" t="s">
        <v>61</v>
      </c>
      <c r="C110" s="25" t="s">
        <v>93</v>
      </c>
      <c r="D110" s="25" t="s">
        <v>19</v>
      </c>
      <c r="E110" s="25">
        <v>58</v>
      </c>
      <c r="F110" s="25" t="s">
        <v>54</v>
      </c>
      <c r="G110" s="25" t="s">
        <v>102</v>
      </c>
      <c r="H110" s="26">
        <v>43518</v>
      </c>
      <c r="I110" s="25">
        <v>90458</v>
      </c>
      <c r="J110" s="25" t="s">
        <v>22</v>
      </c>
      <c r="K110" s="25" t="s">
        <v>282</v>
      </c>
      <c r="L110" s="27" t="s">
        <v>24</v>
      </c>
      <c r="M110" s="28" t="str">
        <f>_xlfn.XLOOKUP(F110,Department!$A$2:$A$6,Department!$B$2:$B$6)</f>
        <v>Finance</v>
      </c>
      <c r="N110" s="30">
        <f>_xlfn.XLOOKUP(A110,Performance!$A$2:$A$501,Performance!$C$2:$C$501)</f>
        <v>3</v>
      </c>
      <c r="O110" s="28" cm="1">
        <f t="array" ref="O110">_xlfn.IFS(N110=5,I110*15%,N110=4,I110*10%,N110=3,I110*7%,N110&lt;3,I110*5%)</f>
        <v>6332.06</v>
      </c>
    </row>
    <row r="111" spans="1:15">
      <c r="A111" s="24" t="s">
        <v>283</v>
      </c>
      <c r="B111" s="25" t="s">
        <v>126</v>
      </c>
      <c r="C111" s="25" t="s">
        <v>117</v>
      </c>
      <c r="D111" s="25" t="s">
        <v>28</v>
      </c>
      <c r="E111" s="25">
        <v>39</v>
      </c>
      <c r="F111" s="25" t="s">
        <v>35</v>
      </c>
      <c r="G111" s="25" t="s">
        <v>21</v>
      </c>
      <c r="H111" s="26">
        <v>43537</v>
      </c>
      <c r="I111" s="25">
        <v>67338</v>
      </c>
      <c r="J111" s="25" t="s">
        <v>37</v>
      </c>
      <c r="K111" s="25" t="s">
        <v>284</v>
      </c>
      <c r="L111" s="27" t="s">
        <v>39</v>
      </c>
      <c r="M111" s="28" t="str">
        <f>_xlfn.XLOOKUP(F111,Department!$A$2:$A$6,Department!$B$2:$B$6)</f>
        <v>Sales</v>
      </c>
      <c r="N111" s="30">
        <f>_xlfn.XLOOKUP(A111,Performance!$A$2:$A$501,Performance!$C$2:$C$501)</f>
        <v>4</v>
      </c>
      <c r="O111" s="28" cm="1">
        <f t="array" ref="O111">_xlfn.IFS(N111=5,I111*15%,N111=4,I111*10%,N111=3,I111*7%,N111&lt;3,I111*5%)</f>
        <v>6733.8</v>
      </c>
    </row>
    <row r="112" spans="1:15">
      <c r="A112" s="24" t="s">
        <v>285</v>
      </c>
      <c r="B112" s="25" t="s">
        <v>17</v>
      </c>
      <c r="C112" s="25" t="s">
        <v>18</v>
      </c>
      <c r="D112" s="25" t="s">
        <v>19</v>
      </c>
      <c r="E112" s="25">
        <v>40</v>
      </c>
      <c r="F112" s="25" t="s">
        <v>29</v>
      </c>
      <c r="G112" s="25" t="s">
        <v>44</v>
      </c>
      <c r="H112" s="26">
        <v>44470</v>
      </c>
      <c r="I112" s="25">
        <v>106100</v>
      </c>
      <c r="J112" s="25" t="s">
        <v>37</v>
      </c>
      <c r="K112" s="25" t="s">
        <v>286</v>
      </c>
      <c r="L112" s="27" t="s">
        <v>39</v>
      </c>
      <c r="M112" s="28" t="str">
        <f>_xlfn.XLOOKUP(F112,Department!$A$2:$A$6,Department!$B$2:$B$6)</f>
        <v>IT</v>
      </c>
      <c r="N112" s="30">
        <f>_xlfn.XLOOKUP(A112,Performance!$A$2:$A$501,Performance!$C$2:$C$501)</f>
        <v>5</v>
      </c>
      <c r="O112" s="28" cm="1">
        <f t="array" ref="O112">_xlfn.IFS(N112=5,I112*15%,N112=4,I112*10%,N112=3,I112*7%,N112&lt;3,I112*5%)</f>
        <v>15915</v>
      </c>
    </row>
    <row r="113" spans="1:15">
      <c r="A113" s="24" t="s">
        <v>287</v>
      </c>
      <c r="B113" s="25" t="s">
        <v>17</v>
      </c>
      <c r="C113" s="25" t="s">
        <v>80</v>
      </c>
      <c r="D113" s="25" t="s">
        <v>28</v>
      </c>
      <c r="E113" s="25">
        <v>45</v>
      </c>
      <c r="F113" s="25" t="s">
        <v>20</v>
      </c>
      <c r="G113" s="25" t="s">
        <v>21</v>
      </c>
      <c r="H113" s="26">
        <v>44497</v>
      </c>
      <c r="I113" s="25">
        <v>62840</v>
      </c>
      <c r="J113" s="25" t="s">
        <v>62</v>
      </c>
      <c r="K113" s="25" t="s">
        <v>288</v>
      </c>
      <c r="L113" s="27" t="s">
        <v>39</v>
      </c>
      <c r="M113" s="28" t="str">
        <f>_xlfn.XLOOKUP(F113,Department!$A$2:$A$6,Department!$B$2:$B$6)</f>
        <v>HR</v>
      </c>
      <c r="N113" s="30">
        <f>_xlfn.XLOOKUP(A113,Performance!$A$2:$A$501,Performance!$C$2:$C$501)</f>
        <v>2</v>
      </c>
      <c r="O113" s="28" cm="1">
        <f t="array" ref="O113">_xlfn.IFS(N113=5,I113*15%,N113=4,I113*10%,N113=3,I113*7%,N113&lt;3,I113*5%)</f>
        <v>3142</v>
      </c>
    </row>
    <row r="114" spans="1:15">
      <c r="A114" s="24" t="s">
        <v>289</v>
      </c>
      <c r="B114" s="25" t="s">
        <v>74</v>
      </c>
      <c r="C114" s="25" t="s">
        <v>117</v>
      </c>
      <c r="D114" s="25" t="s">
        <v>28</v>
      </c>
      <c r="E114" s="25">
        <v>48</v>
      </c>
      <c r="F114" s="25" t="s">
        <v>20</v>
      </c>
      <c r="G114" s="25" t="s">
        <v>36</v>
      </c>
      <c r="H114" s="26">
        <v>43274</v>
      </c>
      <c r="I114" s="25">
        <v>69569</v>
      </c>
      <c r="J114" s="25" t="s">
        <v>37</v>
      </c>
      <c r="K114" s="25" t="s">
        <v>290</v>
      </c>
      <c r="L114" s="27" t="s">
        <v>39</v>
      </c>
      <c r="M114" s="28" t="str">
        <f>_xlfn.XLOOKUP(F114,Department!$A$2:$A$6,Department!$B$2:$B$6)</f>
        <v>HR</v>
      </c>
      <c r="N114" s="30">
        <f>_xlfn.XLOOKUP(A114,Performance!$A$2:$A$501,Performance!$C$2:$C$501)</f>
        <v>5</v>
      </c>
      <c r="O114" s="28" cm="1">
        <f t="array" ref="O114">_xlfn.IFS(N114=5,I114*15%,N114=4,I114*10%,N114=3,I114*7%,N114&lt;3,I114*5%)</f>
        <v>10435.35</v>
      </c>
    </row>
    <row r="115" spans="1:15">
      <c r="A115" s="24" t="s">
        <v>291</v>
      </c>
      <c r="B115" s="25" t="s">
        <v>42</v>
      </c>
      <c r="C115" s="25" t="s">
        <v>93</v>
      </c>
      <c r="D115" s="25" t="s">
        <v>19</v>
      </c>
      <c r="E115" s="25">
        <v>23</v>
      </c>
      <c r="F115" s="25" t="s">
        <v>35</v>
      </c>
      <c r="G115" s="25" t="s">
        <v>21</v>
      </c>
      <c r="H115" s="26">
        <v>45482</v>
      </c>
      <c r="I115" s="25">
        <v>109099</v>
      </c>
      <c r="J115" s="25" t="s">
        <v>81</v>
      </c>
      <c r="K115" s="25" t="s">
        <v>292</v>
      </c>
      <c r="L115" s="27" t="s">
        <v>24</v>
      </c>
      <c r="M115" s="28" t="str">
        <f>_xlfn.XLOOKUP(F115,Department!$A$2:$A$6,Department!$B$2:$B$6)</f>
        <v>Sales</v>
      </c>
      <c r="N115" s="30">
        <f>_xlfn.XLOOKUP(A115,Performance!$A$2:$A$501,Performance!$C$2:$C$501)</f>
        <v>3</v>
      </c>
      <c r="O115" s="28" cm="1">
        <f t="array" ref="O115">_xlfn.IFS(N115=5,I115*15%,N115=4,I115*10%,N115=3,I115*7%,N115&lt;3,I115*5%)</f>
        <v>7636.93</v>
      </c>
    </row>
    <row r="116" spans="1:15">
      <c r="A116" s="24" t="s">
        <v>293</v>
      </c>
      <c r="B116" s="25" t="s">
        <v>58</v>
      </c>
      <c r="C116" s="25" t="s">
        <v>27</v>
      </c>
      <c r="D116" s="25" t="s">
        <v>19</v>
      </c>
      <c r="E116" s="25">
        <v>30</v>
      </c>
      <c r="F116" s="25" t="s">
        <v>29</v>
      </c>
      <c r="G116" s="25" t="s">
        <v>44</v>
      </c>
      <c r="H116" s="26">
        <v>44588</v>
      </c>
      <c r="I116" s="25">
        <v>74368</v>
      </c>
      <c r="J116" s="25" t="s">
        <v>62</v>
      </c>
      <c r="K116" s="25" t="s">
        <v>294</v>
      </c>
      <c r="L116" s="27" t="s">
        <v>39</v>
      </c>
      <c r="M116" s="28" t="str">
        <f>_xlfn.XLOOKUP(F116,Department!$A$2:$A$6,Department!$B$2:$B$6)</f>
        <v>IT</v>
      </c>
      <c r="N116" s="30">
        <f>_xlfn.XLOOKUP(A116,Performance!$A$2:$A$501,Performance!$C$2:$C$501)</f>
        <v>1</v>
      </c>
      <c r="O116" s="28" cm="1">
        <f t="array" ref="O116">_xlfn.IFS(N116=5,I116*15%,N116=4,I116*10%,N116=3,I116*7%,N116&lt;3,I116*5%)</f>
        <v>3718.4</v>
      </c>
    </row>
    <row r="117" spans="1:15">
      <c r="A117" s="24" t="s">
        <v>295</v>
      </c>
      <c r="B117" s="25" t="s">
        <v>34</v>
      </c>
      <c r="C117" s="25" t="s">
        <v>117</v>
      </c>
      <c r="D117" s="25" t="s">
        <v>28</v>
      </c>
      <c r="E117" s="25">
        <v>58</v>
      </c>
      <c r="F117" s="25" t="s">
        <v>43</v>
      </c>
      <c r="G117" s="25" t="s">
        <v>36</v>
      </c>
      <c r="H117" s="26">
        <v>44259</v>
      </c>
      <c r="I117" s="25">
        <v>111621</v>
      </c>
      <c r="J117" s="25" t="s">
        <v>62</v>
      </c>
      <c r="K117" s="25" t="s">
        <v>296</v>
      </c>
      <c r="L117" s="27" t="s">
        <v>24</v>
      </c>
      <c r="M117" s="28" t="str">
        <f>_xlfn.XLOOKUP(F117,Department!$A$2:$A$6,Department!$B$2:$B$6)</f>
        <v>Marketing</v>
      </c>
      <c r="N117" s="30">
        <f>_xlfn.XLOOKUP(A117,Performance!$A$2:$A$501,Performance!$C$2:$C$501)</f>
        <v>5</v>
      </c>
      <c r="O117" s="28" cm="1">
        <f t="array" ref="O117">_xlfn.IFS(N117=5,I117*15%,N117=4,I117*10%,N117=3,I117*7%,N117&lt;3,I117*5%)</f>
        <v>16743.149999999998</v>
      </c>
    </row>
    <row r="118" spans="1:15">
      <c r="A118" s="24" t="s">
        <v>297</v>
      </c>
      <c r="B118" s="25" t="s">
        <v>126</v>
      </c>
      <c r="C118" s="25" t="s">
        <v>84</v>
      </c>
      <c r="D118" s="25" t="s">
        <v>19</v>
      </c>
      <c r="E118" s="25">
        <v>32</v>
      </c>
      <c r="F118" s="25" t="s">
        <v>54</v>
      </c>
      <c r="G118" s="25" t="s">
        <v>36</v>
      </c>
      <c r="H118" s="26">
        <v>44516</v>
      </c>
      <c r="I118" s="25">
        <v>82446</v>
      </c>
      <c r="J118" s="25" t="s">
        <v>67</v>
      </c>
      <c r="K118" s="25" t="s">
        <v>298</v>
      </c>
      <c r="L118" s="27" t="s">
        <v>24</v>
      </c>
      <c r="M118" s="28" t="str">
        <f>_xlfn.XLOOKUP(F118,Department!$A$2:$A$6,Department!$B$2:$B$6)</f>
        <v>Finance</v>
      </c>
      <c r="N118" s="30">
        <f>_xlfn.XLOOKUP(A118,Performance!$A$2:$A$501,Performance!$C$2:$C$501)</f>
        <v>1</v>
      </c>
      <c r="O118" s="28" cm="1">
        <f t="array" ref="O118">_xlfn.IFS(N118=5,I118*15%,N118=4,I118*10%,N118=3,I118*7%,N118&lt;3,I118*5%)</f>
        <v>4122.3</v>
      </c>
    </row>
    <row r="119" spans="1:15">
      <c r="A119" s="24" t="s">
        <v>299</v>
      </c>
      <c r="B119" s="25" t="s">
        <v>126</v>
      </c>
      <c r="C119" s="25" t="s">
        <v>80</v>
      </c>
      <c r="D119" s="25" t="s">
        <v>28</v>
      </c>
      <c r="E119" s="25">
        <v>24</v>
      </c>
      <c r="F119" s="25" t="s">
        <v>35</v>
      </c>
      <c r="G119" s="25" t="s">
        <v>21</v>
      </c>
      <c r="H119" s="26">
        <v>44746</v>
      </c>
      <c r="I119" s="25">
        <v>99200</v>
      </c>
      <c r="J119" s="25" t="s">
        <v>22</v>
      </c>
      <c r="K119" s="25" t="s">
        <v>300</v>
      </c>
      <c r="L119" s="27" t="s">
        <v>39</v>
      </c>
      <c r="M119" s="28" t="str">
        <f>_xlfn.XLOOKUP(F119,Department!$A$2:$A$6,Department!$B$2:$B$6)</f>
        <v>Sales</v>
      </c>
      <c r="N119" s="30">
        <f>_xlfn.XLOOKUP(A119,Performance!$A$2:$A$501,Performance!$C$2:$C$501)</f>
        <v>5</v>
      </c>
      <c r="O119" s="28" cm="1">
        <f t="array" ref="O119">_xlfn.IFS(N119=5,I119*15%,N119=4,I119*10%,N119=3,I119*7%,N119&lt;3,I119*5%)</f>
        <v>14880</v>
      </c>
    </row>
    <row r="120" spans="1:15">
      <c r="A120" s="24" t="s">
        <v>301</v>
      </c>
      <c r="B120" s="25" t="s">
        <v>48</v>
      </c>
      <c r="C120" s="25" t="s">
        <v>93</v>
      </c>
      <c r="D120" s="25" t="s">
        <v>28</v>
      </c>
      <c r="E120" s="25">
        <v>36</v>
      </c>
      <c r="F120" s="25" t="s">
        <v>54</v>
      </c>
      <c r="G120" s="25" t="s">
        <v>30</v>
      </c>
      <c r="H120" s="26">
        <v>44628</v>
      </c>
      <c r="I120" s="25">
        <v>56294</v>
      </c>
      <c r="J120" s="25" t="s">
        <v>62</v>
      </c>
      <c r="K120" s="25" t="s">
        <v>302</v>
      </c>
      <c r="L120" s="27" t="s">
        <v>39</v>
      </c>
      <c r="M120" s="28" t="str">
        <f>_xlfn.XLOOKUP(F120,Department!$A$2:$A$6,Department!$B$2:$B$6)</f>
        <v>Finance</v>
      </c>
      <c r="N120" s="30">
        <f>_xlfn.XLOOKUP(A120,Performance!$A$2:$A$501,Performance!$C$2:$C$501)</f>
        <v>2</v>
      </c>
      <c r="O120" s="28" cm="1">
        <f t="array" ref="O120">_xlfn.IFS(N120=5,I120*15%,N120=4,I120*10%,N120=3,I120*7%,N120&lt;3,I120*5%)</f>
        <v>2814.7000000000003</v>
      </c>
    </row>
    <row r="121" spans="1:15">
      <c r="A121" s="24" t="s">
        <v>303</v>
      </c>
      <c r="B121" s="25" t="s">
        <v>48</v>
      </c>
      <c r="C121" s="25" t="s">
        <v>141</v>
      </c>
      <c r="D121" s="25" t="s">
        <v>19</v>
      </c>
      <c r="E121" s="25">
        <v>32</v>
      </c>
      <c r="F121" s="25" t="s">
        <v>54</v>
      </c>
      <c r="G121" s="25" t="s">
        <v>44</v>
      </c>
      <c r="H121" s="26">
        <v>44638</v>
      </c>
      <c r="I121" s="25">
        <v>112759</v>
      </c>
      <c r="J121" s="25" t="s">
        <v>81</v>
      </c>
      <c r="K121" s="25" t="s">
        <v>304</v>
      </c>
      <c r="L121" s="27" t="s">
        <v>39</v>
      </c>
      <c r="M121" s="28" t="str">
        <f>_xlfn.XLOOKUP(F121,Department!$A$2:$A$6,Department!$B$2:$B$6)</f>
        <v>Finance</v>
      </c>
      <c r="N121" s="30">
        <f>_xlfn.XLOOKUP(A121,Performance!$A$2:$A$501,Performance!$C$2:$C$501)</f>
        <v>2</v>
      </c>
      <c r="O121" s="28" cm="1">
        <f t="array" ref="O121">_xlfn.IFS(N121=5,I121*15%,N121=4,I121*10%,N121=3,I121*7%,N121&lt;3,I121*5%)</f>
        <v>5637.9500000000007</v>
      </c>
    </row>
    <row r="122" spans="1:15">
      <c r="A122" s="24" t="s">
        <v>305</v>
      </c>
      <c r="B122" s="25" t="s">
        <v>92</v>
      </c>
      <c r="C122" s="25" t="s">
        <v>49</v>
      </c>
      <c r="D122" s="25" t="s">
        <v>19</v>
      </c>
      <c r="E122" s="25">
        <v>47</v>
      </c>
      <c r="F122" s="25" t="s">
        <v>29</v>
      </c>
      <c r="G122" s="25" t="s">
        <v>44</v>
      </c>
      <c r="H122" s="26">
        <v>44498</v>
      </c>
      <c r="I122" s="25">
        <v>70479</v>
      </c>
      <c r="J122" s="25" t="s">
        <v>37</v>
      </c>
      <c r="K122" s="25" t="s">
        <v>306</v>
      </c>
      <c r="L122" s="27" t="s">
        <v>24</v>
      </c>
      <c r="M122" s="28" t="str">
        <f>_xlfn.XLOOKUP(F122,Department!$A$2:$A$6,Department!$B$2:$B$6)</f>
        <v>IT</v>
      </c>
      <c r="N122" s="30">
        <f>_xlfn.XLOOKUP(A122,Performance!$A$2:$A$501,Performance!$C$2:$C$501)</f>
        <v>1</v>
      </c>
      <c r="O122" s="28" cm="1">
        <f t="array" ref="O122">_xlfn.IFS(N122=5,I122*15%,N122=4,I122*10%,N122=3,I122*7%,N122&lt;3,I122*5%)</f>
        <v>3523.9500000000003</v>
      </c>
    </row>
    <row r="123" spans="1:15">
      <c r="A123" s="24" t="s">
        <v>307</v>
      </c>
      <c r="B123" s="25" t="s">
        <v>48</v>
      </c>
      <c r="C123" s="25" t="s">
        <v>66</v>
      </c>
      <c r="D123" s="25" t="s">
        <v>19</v>
      </c>
      <c r="E123" s="25">
        <v>42</v>
      </c>
      <c r="F123" s="25" t="s">
        <v>20</v>
      </c>
      <c r="G123" s="25" t="s">
        <v>30</v>
      </c>
      <c r="H123" s="26">
        <v>45414</v>
      </c>
      <c r="I123" s="25">
        <v>52630</v>
      </c>
      <c r="J123" s="25" t="s">
        <v>62</v>
      </c>
      <c r="K123" s="25" t="s">
        <v>308</v>
      </c>
      <c r="L123" s="27" t="s">
        <v>24</v>
      </c>
      <c r="M123" s="28" t="str">
        <f>_xlfn.XLOOKUP(F123,Department!$A$2:$A$6,Department!$B$2:$B$6)</f>
        <v>HR</v>
      </c>
      <c r="N123" s="30">
        <f>_xlfn.XLOOKUP(A123,Performance!$A$2:$A$501,Performance!$C$2:$C$501)</f>
        <v>5</v>
      </c>
      <c r="O123" s="28" cm="1">
        <f t="array" ref="O123">_xlfn.IFS(N123=5,I123*15%,N123=4,I123*10%,N123=3,I123*7%,N123&lt;3,I123*5%)</f>
        <v>7894.5</v>
      </c>
    </row>
    <row r="124" spans="1:15">
      <c r="A124" s="24" t="s">
        <v>309</v>
      </c>
      <c r="B124" s="25" t="s">
        <v>48</v>
      </c>
      <c r="C124" s="25" t="s">
        <v>117</v>
      </c>
      <c r="D124" s="25" t="s">
        <v>28</v>
      </c>
      <c r="E124" s="25">
        <v>27</v>
      </c>
      <c r="F124" s="25" t="s">
        <v>35</v>
      </c>
      <c r="G124" s="25" t="s">
        <v>36</v>
      </c>
      <c r="H124" s="26">
        <v>43125</v>
      </c>
      <c r="I124" s="25">
        <v>78119</v>
      </c>
      <c r="J124" s="25" t="s">
        <v>62</v>
      </c>
      <c r="K124" s="25" t="s">
        <v>310</v>
      </c>
      <c r="L124" s="27" t="s">
        <v>24</v>
      </c>
      <c r="M124" s="28" t="str">
        <f>_xlfn.XLOOKUP(F124,Department!$A$2:$A$6,Department!$B$2:$B$6)</f>
        <v>Sales</v>
      </c>
      <c r="N124" s="30">
        <f>_xlfn.XLOOKUP(A124,Performance!$A$2:$A$501,Performance!$C$2:$C$501)</f>
        <v>4</v>
      </c>
      <c r="O124" s="28" cm="1">
        <f t="array" ref="O124">_xlfn.IFS(N124=5,I124*15%,N124=4,I124*10%,N124=3,I124*7%,N124&lt;3,I124*5%)</f>
        <v>7811.9000000000005</v>
      </c>
    </row>
    <row r="125" spans="1:15">
      <c r="A125" s="24" t="s">
        <v>311</v>
      </c>
      <c r="B125" s="25" t="s">
        <v>48</v>
      </c>
      <c r="C125" s="25" t="s">
        <v>80</v>
      </c>
      <c r="D125" s="25" t="s">
        <v>19</v>
      </c>
      <c r="E125" s="25">
        <v>41</v>
      </c>
      <c r="F125" s="25" t="s">
        <v>29</v>
      </c>
      <c r="G125" s="25" t="s">
        <v>36</v>
      </c>
      <c r="H125" s="26">
        <v>43820</v>
      </c>
      <c r="I125" s="25">
        <v>77100</v>
      </c>
      <c r="J125" s="25" t="s">
        <v>22</v>
      </c>
      <c r="K125" s="25" t="s">
        <v>312</v>
      </c>
      <c r="L125" s="27" t="s">
        <v>24</v>
      </c>
      <c r="M125" s="28" t="str">
        <f>_xlfn.XLOOKUP(F125,Department!$A$2:$A$6,Department!$B$2:$B$6)</f>
        <v>IT</v>
      </c>
      <c r="N125" s="30">
        <f>_xlfn.XLOOKUP(A125,Performance!$A$2:$A$501,Performance!$C$2:$C$501)</f>
        <v>4</v>
      </c>
      <c r="O125" s="28" cm="1">
        <f t="array" ref="O125">_xlfn.IFS(N125=5,I125*15%,N125=4,I125*10%,N125=3,I125*7%,N125&lt;3,I125*5%)</f>
        <v>7710</v>
      </c>
    </row>
    <row r="126" spans="1:15">
      <c r="A126" s="24" t="s">
        <v>313</v>
      </c>
      <c r="B126" s="25" t="s">
        <v>42</v>
      </c>
      <c r="C126" s="25" t="s">
        <v>66</v>
      </c>
      <c r="D126" s="25" t="s">
        <v>19</v>
      </c>
      <c r="E126" s="25">
        <v>58</v>
      </c>
      <c r="F126" s="25" t="s">
        <v>35</v>
      </c>
      <c r="G126" s="25" t="s">
        <v>44</v>
      </c>
      <c r="H126" s="26">
        <v>43765</v>
      </c>
      <c r="I126" s="25">
        <v>48296</v>
      </c>
      <c r="J126" s="25" t="s">
        <v>67</v>
      </c>
      <c r="K126" s="25" t="s">
        <v>314</v>
      </c>
      <c r="L126" s="27" t="s">
        <v>39</v>
      </c>
      <c r="M126" s="28" t="str">
        <f>_xlfn.XLOOKUP(F126,Department!$A$2:$A$6,Department!$B$2:$B$6)</f>
        <v>Sales</v>
      </c>
      <c r="N126" s="30">
        <f>_xlfn.XLOOKUP(A126,Performance!$A$2:$A$501,Performance!$C$2:$C$501)</f>
        <v>4</v>
      </c>
      <c r="O126" s="28" cm="1">
        <f t="array" ref="O126">_xlfn.IFS(N126=5,I126*15%,N126=4,I126*10%,N126=3,I126*7%,N126&lt;3,I126*5%)</f>
        <v>4829.6000000000004</v>
      </c>
    </row>
    <row r="127" spans="1:15">
      <c r="A127" s="24" t="s">
        <v>315</v>
      </c>
      <c r="B127" s="25" t="s">
        <v>58</v>
      </c>
      <c r="C127" s="25" t="s">
        <v>141</v>
      </c>
      <c r="D127" s="25" t="s">
        <v>28</v>
      </c>
      <c r="E127" s="25">
        <v>46</v>
      </c>
      <c r="F127" s="25" t="s">
        <v>54</v>
      </c>
      <c r="G127" s="25" t="s">
        <v>30</v>
      </c>
      <c r="H127" s="26">
        <v>43301</v>
      </c>
      <c r="I127" s="25">
        <v>69026</v>
      </c>
      <c r="J127" s="25" t="s">
        <v>37</v>
      </c>
      <c r="K127" s="25" t="s">
        <v>316</v>
      </c>
      <c r="L127" s="27" t="s">
        <v>24</v>
      </c>
      <c r="M127" s="28" t="str">
        <f>_xlfn.XLOOKUP(F127,Department!$A$2:$A$6,Department!$B$2:$B$6)</f>
        <v>Finance</v>
      </c>
      <c r="N127" s="30">
        <f>_xlfn.XLOOKUP(A127,Performance!$A$2:$A$501,Performance!$C$2:$C$501)</f>
        <v>2</v>
      </c>
      <c r="O127" s="28" cm="1">
        <f t="array" ref="O127">_xlfn.IFS(N127=5,I127*15%,N127=4,I127*10%,N127=3,I127*7%,N127&lt;3,I127*5%)</f>
        <v>3451.3</v>
      </c>
    </row>
    <row r="128" spans="1:15">
      <c r="A128" s="24" t="s">
        <v>317</v>
      </c>
      <c r="B128" s="25" t="s">
        <v>61</v>
      </c>
      <c r="C128" s="25" t="s">
        <v>27</v>
      </c>
      <c r="D128" s="25" t="s">
        <v>19</v>
      </c>
      <c r="E128" s="25">
        <v>29</v>
      </c>
      <c r="F128" s="25" t="s">
        <v>29</v>
      </c>
      <c r="G128" s="25" t="s">
        <v>30</v>
      </c>
      <c r="H128" s="26">
        <v>45478</v>
      </c>
      <c r="I128" s="25">
        <v>97080</v>
      </c>
      <c r="J128" s="25" t="s">
        <v>81</v>
      </c>
      <c r="K128" s="25" t="s">
        <v>318</v>
      </c>
      <c r="L128" s="27" t="s">
        <v>24</v>
      </c>
      <c r="M128" s="28" t="str">
        <f>_xlfn.XLOOKUP(F128,Department!$A$2:$A$6,Department!$B$2:$B$6)</f>
        <v>IT</v>
      </c>
      <c r="N128" s="30">
        <f>_xlfn.XLOOKUP(A128,Performance!$A$2:$A$501,Performance!$C$2:$C$501)</f>
        <v>5</v>
      </c>
      <c r="O128" s="28" cm="1">
        <f t="array" ref="O128">_xlfn.IFS(N128=5,I128*15%,N128=4,I128*10%,N128=3,I128*7%,N128&lt;3,I128*5%)</f>
        <v>14562</v>
      </c>
    </row>
    <row r="129" spans="1:15">
      <c r="A129" s="24" t="s">
        <v>319</v>
      </c>
      <c r="B129" s="25" t="s">
        <v>74</v>
      </c>
      <c r="C129" s="25" t="s">
        <v>117</v>
      </c>
      <c r="D129" s="25" t="s">
        <v>28</v>
      </c>
      <c r="E129" s="25">
        <v>26</v>
      </c>
      <c r="F129" s="25" t="s">
        <v>29</v>
      </c>
      <c r="G129" s="25" t="s">
        <v>36</v>
      </c>
      <c r="H129" s="26">
        <v>45413</v>
      </c>
      <c r="I129" s="25">
        <v>71436</v>
      </c>
      <c r="J129" s="25" t="s">
        <v>37</v>
      </c>
      <c r="K129" s="25" t="s">
        <v>320</v>
      </c>
      <c r="L129" s="27" t="s">
        <v>39</v>
      </c>
      <c r="M129" s="28" t="str">
        <f>_xlfn.XLOOKUP(F129,Department!$A$2:$A$6,Department!$B$2:$B$6)</f>
        <v>IT</v>
      </c>
      <c r="N129" s="30">
        <f>_xlfn.XLOOKUP(A129,Performance!$A$2:$A$501,Performance!$C$2:$C$501)</f>
        <v>1</v>
      </c>
      <c r="O129" s="28" cm="1">
        <f t="array" ref="O129">_xlfn.IFS(N129=5,I129*15%,N129=4,I129*10%,N129=3,I129*7%,N129&lt;3,I129*5%)</f>
        <v>3571.8</v>
      </c>
    </row>
    <row r="130" spans="1:15">
      <c r="A130" s="24" t="s">
        <v>321</v>
      </c>
      <c r="B130" s="25" t="s">
        <v>92</v>
      </c>
      <c r="C130" s="25" t="s">
        <v>66</v>
      </c>
      <c r="D130" s="25" t="s">
        <v>28</v>
      </c>
      <c r="E130" s="25">
        <v>44</v>
      </c>
      <c r="F130" s="25" t="s">
        <v>20</v>
      </c>
      <c r="G130" s="25" t="s">
        <v>36</v>
      </c>
      <c r="H130" s="26">
        <v>44897</v>
      </c>
      <c r="I130" s="25">
        <v>87790</v>
      </c>
      <c r="J130" s="25" t="s">
        <v>81</v>
      </c>
      <c r="K130" s="25" t="s">
        <v>322</v>
      </c>
      <c r="L130" s="27" t="s">
        <v>24</v>
      </c>
      <c r="M130" s="28" t="str">
        <f>_xlfn.XLOOKUP(F130,Department!$A$2:$A$6,Department!$B$2:$B$6)</f>
        <v>HR</v>
      </c>
      <c r="N130" s="30">
        <f>_xlfn.XLOOKUP(A130,Performance!$A$2:$A$501,Performance!$C$2:$C$501)</f>
        <v>5</v>
      </c>
      <c r="O130" s="28" cm="1">
        <f t="array" ref="O130">_xlfn.IFS(N130=5,I130*15%,N130=4,I130*10%,N130=3,I130*7%,N130&lt;3,I130*5%)</f>
        <v>13168.5</v>
      </c>
    </row>
    <row r="131" spans="1:15">
      <c r="A131" s="24" t="s">
        <v>323</v>
      </c>
      <c r="B131" s="25" t="s">
        <v>58</v>
      </c>
      <c r="C131" s="25" t="s">
        <v>66</v>
      </c>
      <c r="D131" s="25" t="s">
        <v>28</v>
      </c>
      <c r="E131" s="25">
        <v>59</v>
      </c>
      <c r="F131" s="25" t="s">
        <v>20</v>
      </c>
      <c r="G131" s="25" t="s">
        <v>102</v>
      </c>
      <c r="H131" s="26">
        <v>44284</v>
      </c>
      <c r="I131" s="25">
        <v>119530</v>
      </c>
      <c r="J131" s="25" t="s">
        <v>81</v>
      </c>
      <c r="K131" s="25" t="s">
        <v>324</v>
      </c>
      <c r="L131" s="27" t="s">
        <v>24</v>
      </c>
      <c r="M131" s="28" t="str">
        <f>_xlfn.XLOOKUP(F131,Department!$A$2:$A$6,Department!$B$2:$B$6)</f>
        <v>HR</v>
      </c>
      <c r="N131" s="30">
        <f>_xlfn.XLOOKUP(A131,Performance!$A$2:$A$501,Performance!$C$2:$C$501)</f>
        <v>1</v>
      </c>
      <c r="O131" s="28" cm="1">
        <f t="array" ref="O131">_xlfn.IFS(N131=5,I131*15%,N131=4,I131*10%,N131=3,I131*7%,N131&lt;3,I131*5%)</f>
        <v>5976.5</v>
      </c>
    </row>
    <row r="132" spans="1:15">
      <c r="A132" s="24" t="s">
        <v>325</v>
      </c>
      <c r="B132" s="25" t="s">
        <v>126</v>
      </c>
      <c r="C132" s="25" t="s">
        <v>18</v>
      </c>
      <c r="D132" s="25" t="s">
        <v>28</v>
      </c>
      <c r="E132" s="25">
        <v>37</v>
      </c>
      <c r="F132" s="25" t="s">
        <v>35</v>
      </c>
      <c r="G132" s="25" t="s">
        <v>102</v>
      </c>
      <c r="H132" s="26">
        <v>43615</v>
      </c>
      <c r="I132" s="25">
        <v>100623</v>
      </c>
      <c r="J132" s="25" t="s">
        <v>37</v>
      </c>
      <c r="K132" s="25" t="s">
        <v>326</v>
      </c>
      <c r="L132" s="27" t="s">
        <v>24</v>
      </c>
      <c r="M132" s="28" t="str">
        <f>_xlfn.XLOOKUP(F132,Department!$A$2:$A$6,Department!$B$2:$B$6)</f>
        <v>Sales</v>
      </c>
      <c r="N132" s="30">
        <f>_xlfn.XLOOKUP(A132,Performance!$A$2:$A$501,Performance!$C$2:$C$501)</f>
        <v>5</v>
      </c>
      <c r="O132" s="28" cm="1">
        <f t="array" ref="O132">_xlfn.IFS(N132=5,I132*15%,N132=4,I132*10%,N132=3,I132*7%,N132&lt;3,I132*5%)</f>
        <v>15093.449999999999</v>
      </c>
    </row>
    <row r="133" spans="1:15">
      <c r="A133" s="24" t="s">
        <v>327</v>
      </c>
      <c r="B133" s="25" t="s">
        <v>48</v>
      </c>
      <c r="C133" s="25" t="s">
        <v>49</v>
      </c>
      <c r="D133" s="25" t="s">
        <v>28</v>
      </c>
      <c r="E133" s="25">
        <v>60</v>
      </c>
      <c r="F133" s="25" t="s">
        <v>35</v>
      </c>
      <c r="G133" s="25" t="s">
        <v>102</v>
      </c>
      <c r="H133" s="26">
        <v>44688</v>
      </c>
      <c r="I133" s="25">
        <v>40317</v>
      </c>
      <c r="J133" s="25" t="s">
        <v>81</v>
      </c>
      <c r="K133" s="25" t="s">
        <v>328</v>
      </c>
      <c r="L133" s="27" t="s">
        <v>24</v>
      </c>
      <c r="M133" s="28" t="str">
        <f>_xlfn.XLOOKUP(F133,Department!$A$2:$A$6,Department!$B$2:$B$6)</f>
        <v>Sales</v>
      </c>
      <c r="N133" s="30">
        <f>_xlfn.XLOOKUP(A133,Performance!$A$2:$A$501,Performance!$C$2:$C$501)</f>
        <v>5</v>
      </c>
      <c r="O133" s="28" cm="1">
        <f t="array" ref="O133">_xlfn.IFS(N133=5,I133*15%,N133=4,I133*10%,N133=3,I133*7%,N133&lt;3,I133*5%)</f>
        <v>6047.55</v>
      </c>
    </row>
    <row r="134" spans="1:15">
      <c r="A134" s="24" t="s">
        <v>329</v>
      </c>
      <c r="B134" s="25" t="s">
        <v>74</v>
      </c>
      <c r="C134" s="25" t="s">
        <v>141</v>
      </c>
      <c r="D134" s="25" t="s">
        <v>28</v>
      </c>
      <c r="E134" s="25">
        <v>51</v>
      </c>
      <c r="F134" s="25" t="s">
        <v>29</v>
      </c>
      <c r="G134" s="25" t="s">
        <v>102</v>
      </c>
      <c r="H134" s="26">
        <v>44760</v>
      </c>
      <c r="I134" s="25">
        <v>87915</v>
      </c>
      <c r="J134" s="25" t="s">
        <v>62</v>
      </c>
      <c r="K134" s="25" t="s">
        <v>330</v>
      </c>
      <c r="L134" s="27" t="s">
        <v>24</v>
      </c>
      <c r="M134" s="28" t="str">
        <f>_xlfn.XLOOKUP(F134,Department!$A$2:$A$6,Department!$B$2:$B$6)</f>
        <v>IT</v>
      </c>
      <c r="N134" s="30">
        <f>_xlfn.XLOOKUP(A134,Performance!$A$2:$A$501,Performance!$C$2:$C$501)</f>
        <v>4</v>
      </c>
      <c r="O134" s="28" cm="1">
        <f t="array" ref="O134">_xlfn.IFS(N134=5,I134*15%,N134=4,I134*10%,N134=3,I134*7%,N134&lt;3,I134*5%)</f>
        <v>8791.5</v>
      </c>
    </row>
    <row r="135" spans="1:15">
      <c r="A135" s="24" t="s">
        <v>331</v>
      </c>
      <c r="B135" s="25" t="s">
        <v>126</v>
      </c>
      <c r="C135" s="25" t="s">
        <v>18</v>
      </c>
      <c r="D135" s="25" t="s">
        <v>19</v>
      </c>
      <c r="E135" s="25">
        <v>49</v>
      </c>
      <c r="F135" s="25" t="s">
        <v>35</v>
      </c>
      <c r="G135" s="25" t="s">
        <v>102</v>
      </c>
      <c r="H135" s="26">
        <v>45215</v>
      </c>
      <c r="I135" s="25">
        <v>102279</v>
      </c>
      <c r="J135" s="25" t="s">
        <v>62</v>
      </c>
      <c r="K135" s="25" t="s">
        <v>332</v>
      </c>
      <c r="L135" s="27" t="s">
        <v>39</v>
      </c>
      <c r="M135" s="28" t="str">
        <f>_xlfn.XLOOKUP(F135,Department!$A$2:$A$6,Department!$B$2:$B$6)</f>
        <v>Sales</v>
      </c>
      <c r="N135" s="30">
        <f>_xlfn.XLOOKUP(A135,Performance!$A$2:$A$501,Performance!$C$2:$C$501)</f>
        <v>2</v>
      </c>
      <c r="O135" s="28" cm="1">
        <f t="array" ref="O135">_xlfn.IFS(N135=5,I135*15%,N135=4,I135*10%,N135=3,I135*7%,N135&lt;3,I135*5%)</f>
        <v>5113.9500000000007</v>
      </c>
    </row>
    <row r="136" spans="1:15">
      <c r="A136" s="24" t="s">
        <v>333</v>
      </c>
      <c r="B136" s="25" t="s">
        <v>74</v>
      </c>
      <c r="C136" s="25" t="s">
        <v>93</v>
      </c>
      <c r="D136" s="25" t="s">
        <v>28</v>
      </c>
      <c r="E136" s="25">
        <v>36</v>
      </c>
      <c r="F136" s="25" t="s">
        <v>35</v>
      </c>
      <c r="G136" s="25" t="s">
        <v>44</v>
      </c>
      <c r="H136" s="26">
        <v>45223</v>
      </c>
      <c r="I136" s="25">
        <v>72887</v>
      </c>
      <c r="J136" s="25" t="s">
        <v>37</v>
      </c>
      <c r="K136" s="25" t="s">
        <v>334</v>
      </c>
      <c r="L136" s="27" t="s">
        <v>39</v>
      </c>
      <c r="M136" s="28" t="str">
        <f>_xlfn.XLOOKUP(F136,Department!$A$2:$A$6,Department!$B$2:$B$6)</f>
        <v>Sales</v>
      </c>
      <c r="N136" s="30">
        <f>_xlfn.XLOOKUP(A136,Performance!$A$2:$A$501,Performance!$C$2:$C$501)</f>
        <v>1</v>
      </c>
      <c r="O136" s="28" cm="1">
        <f t="array" ref="O136">_xlfn.IFS(N136=5,I136*15%,N136=4,I136*10%,N136=3,I136*7%,N136&lt;3,I136*5%)</f>
        <v>3644.3500000000004</v>
      </c>
    </row>
    <row r="137" spans="1:15">
      <c r="A137" s="24" t="s">
        <v>335</v>
      </c>
      <c r="B137" s="25" t="s">
        <v>42</v>
      </c>
      <c r="C137" s="25" t="s">
        <v>18</v>
      </c>
      <c r="D137" s="25" t="s">
        <v>19</v>
      </c>
      <c r="E137" s="25">
        <v>43</v>
      </c>
      <c r="F137" s="25" t="s">
        <v>20</v>
      </c>
      <c r="G137" s="25" t="s">
        <v>30</v>
      </c>
      <c r="H137" s="26">
        <v>43709</v>
      </c>
      <c r="I137" s="25">
        <v>92793</v>
      </c>
      <c r="J137" s="25" t="s">
        <v>62</v>
      </c>
      <c r="K137" s="25" t="s">
        <v>336</v>
      </c>
      <c r="L137" s="27" t="s">
        <v>24</v>
      </c>
      <c r="M137" s="28" t="str">
        <f>_xlfn.XLOOKUP(F137,Department!$A$2:$A$6,Department!$B$2:$B$6)</f>
        <v>HR</v>
      </c>
      <c r="N137" s="30">
        <f>_xlfn.XLOOKUP(A137,Performance!$A$2:$A$501,Performance!$C$2:$C$501)</f>
        <v>2</v>
      </c>
      <c r="O137" s="28" cm="1">
        <f t="array" ref="O137">_xlfn.IFS(N137=5,I137*15%,N137=4,I137*10%,N137=3,I137*7%,N137&lt;3,I137*5%)</f>
        <v>4639.6500000000005</v>
      </c>
    </row>
    <row r="138" spans="1:15">
      <c r="A138" s="24" t="s">
        <v>337</v>
      </c>
      <c r="B138" s="25" t="s">
        <v>92</v>
      </c>
      <c r="C138" s="25" t="s">
        <v>80</v>
      </c>
      <c r="D138" s="25" t="s">
        <v>28</v>
      </c>
      <c r="E138" s="25">
        <v>48</v>
      </c>
      <c r="F138" s="25" t="s">
        <v>43</v>
      </c>
      <c r="G138" s="25" t="s">
        <v>30</v>
      </c>
      <c r="H138" s="26">
        <v>45376</v>
      </c>
      <c r="I138" s="25">
        <v>114316</v>
      </c>
      <c r="J138" s="25" t="s">
        <v>67</v>
      </c>
      <c r="K138" s="25" t="s">
        <v>338</v>
      </c>
      <c r="L138" s="27" t="s">
        <v>24</v>
      </c>
      <c r="M138" s="28" t="str">
        <f>_xlfn.XLOOKUP(F138,Department!$A$2:$A$6,Department!$B$2:$B$6)</f>
        <v>Marketing</v>
      </c>
      <c r="N138" s="30">
        <f>_xlfn.XLOOKUP(A138,Performance!$A$2:$A$501,Performance!$C$2:$C$501)</f>
        <v>3</v>
      </c>
      <c r="O138" s="28" cm="1">
        <f t="array" ref="O138">_xlfn.IFS(N138=5,I138*15%,N138=4,I138*10%,N138=3,I138*7%,N138&lt;3,I138*5%)</f>
        <v>8002.1200000000008</v>
      </c>
    </row>
    <row r="139" spans="1:15">
      <c r="A139" s="24" t="s">
        <v>339</v>
      </c>
      <c r="B139" s="25" t="s">
        <v>42</v>
      </c>
      <c r="C139" s="25" t="s">
        <v>49</v>
      </c>
      <c r="D139" s="25" t="s">
        <v>28</v>
      </c>
      <c r="E139" s="25">
        <v>59</v>
      </c>
      <c r="F139" s="25" t="s">
        <v>43</v>
      </c>
      <c r="G139" s="25" t="s">
        <v>21</v>
      </c>
      <c r="H139" s="26">
        <v>44230</v>
      </c>
      <c r="I139" s="25">
        <v>60835</v>
      </c>
      <c r="J139" s="25" t="s">
        <v>62</v>
      </c>
      <c r="K139" s="25" t="s">
        <v>340</v>
      </c>
      <c r="L139" s="27" t="s">
        <v>24</v>
      </c>
      <c r="M139" s="28" t="str">
        <f>_xlfn.XLOOKUP(F139,Department!$A$2:$A$6,Department!$B$2:$B$6)</f>
        <v>Marketing</v>
      </c>
      <c r="N139" s="30">
        <f>_xlfn.XLOOKUP(A139,Performance!$A$2:$A$501,Performance!$C$2:$C$501)</f>
        <v>1</v>
      </c>
      <c r="O139" s="28" cm="1">
        <f t="array" ref="O139">_xlfn.IFS(N139=5,I139*15%,N139=4,I139*10%,N139=3,I139*7%,N139&lt;3,I139*5%)</f>
        <v>3041.75</v>
      </c>
    </row>
    <row r="140" spans="1:15">
      <c r="A140" s="24" t="s">
        <v>341</v>
      </c>
      <c r="B140" s="25" t="s">
        <v>53</v>
      </c>
      <c r="C140" s="25" t="s">
        <v>141</v>
      </c>
      <c r="D140" s="25" t="s">
        <v>28</v>
      </c>
      <c r="E140" s="25">
        <v>31</v>
      </c>
      <c r="F140" s="25" t="s">
        <v>35</v>
      </c>
      <c r="G140" s="25" t="s">
        <v>30</v>
      </c>
      <c r="H140" s="26">
        <v>44152</v>
      </c>
      <c r="I140" s="25">
        <v>105179</v>
      </c>
      <c r="J140" s="25" t="s">
        <v>22</v>
      </c>
      <c r="K140" s="25" t="s">
        <v>342</v>
      </c>
      <c r="L140" s="27" t="s">
        <v>24</v>
      </c>
      <c r="M140" s="28" t="str">
        <f>_xlfn.XLOOKUP(F140,Department!$A$2:$A$6,Department!$B$2:$B$6)</f>
        <v>Sales</v>
      </c>
      <c r="N140" s="30">
        <f>_xlfn.XLOOKUP(A140,Performance!$A$2:$A$501,Performance!$C$2:$C$501)</f>
        <v>5</v>
      </c>
      <c r="O140" s="28" cm="1">
        <f t="array" ref="O140">_xlfn.IFS(N140=5,I140*15%,N140=4,I140*10%,N140=3,I140*7%,N140&lt;3,I140*5%)</f>
        <v>15776.849999999999</v>
      </c>
    </row>
    <row r="141" spans="1:15">
      <c r="A141" s="24" t="s">
        <v>343</v>
      </c>
      <c r="B141" s="25" t="s">
        <v>92</v>
      </c>
      <c r="C141" s="25" t="s">
        <v>141</v>
      </c>
      <c r="D141" s="25" t="s">
        <v>19</v>
      </c>
      <c r="E141" s="25">
        <v>48</v>
      </c>
      <c r="F141" s="25" t="s">
        <v>35</v>
      </c>
      <c r="G141" s="25" t="s">
        <v>44</v>
      </c>
      <c r="H141" s="26">
        <v>43322</v>
      </c>
      <c r="I141" s="25">
        <v>109704</v>
      </c>
      <c r="J141" s="25" t="s">
        <v>81</v>
      </c>
      <c r="K141" s="25" t="s">
        <v>344</v>
      </c>
      <c r="L141" s="27" t="s">
        <v>39</v>
      </c>
      <c r="M141" s="28" t="str">
        <f>_xlfn.XLOOKUP(F141,Department!$A$2:$A$6,Department!$B$2:$B$6)</f>
        <v>Sales</v>
      </c>
      <c r="N141" s="30">
        <f>_xlfn.XLOOKUP(A141,Performance!$A$2:$A$501,Performance!$C$2:$C$501)</f>
        <v>2</v>
      </c>
      <c r="O141" s="28" cm="1">
        <f t="array" ref="O141">_xlfn.IFS(N141=5,I141*15%,N141=4,I141*10%,N141=3,I141*7%,N141&lt;3,I141*5%)</f>
        <v>5485.2000000000007</v>
      </c>
    </row>
    <row r="142" spans="1:15">
      <c r="A142" s="24" t="s">
        <v>345</v>
      </c>
      <c r="B142" s="25" t="s">
        <v>58</v>
      </c>
      <c r="C142" s="25" t="s">
        <v>117</v>
      </c>
      <c r="D142" s="25" t="s">
        <v>19</v>
      </c>
      <c r="E142" s="25">
        <v>32</v>
      </c>
      <c r="F142" s="25" t="s">
        <v>43</v>
      </c>
      <c r="G142" s="25" t="s">
        <v>36</v>
      </c>
      <c r="H142" s="26">
        <v>44057</v>
      </c>
      <c r="I142" s="25">
        <v>68125</v>
      </c>
      <c r="J142" s="25" t="s">
        <v>37</v>
      </c>
      <c r="K142" s="25" t="s">
        <v>346</v>
      </c>
      <c r="L142" s="27" t="s">
        <v>24</v>
      </c>
      <c r="M142" s="28" t="str">
        <f>_xlfn.XLOOKUP(F142,Department!$A$2:$A$6,Department!$B$2:$B$6)</f>
        <v>Marketing</v>
      </c>
      <c r="N142" s="30">
        <f>_xlfn.XLOOKUP(A142,Performance!$A$2:$A$501,Performance!$C$2:$C$501)</f>
        <v>3</v>
      </c>
      <c r="O142" s="28" cm="1">
        <f t="array" ref="O142">_xlfn.IFS(N142=5,I142*15%,N142=4,I142*10%,N142=3,I142*7%,N142&lt;3,I142*5%)</f>
        <v>4768.75</v>
      </c>
    </row>
    <row r="143" spans="1:15">
      <c r="A143" s="24" t="s">
        <v>347</v>
      </c>
      <c r="B143" s="25" t="s">
        <v>42</v>
      </c>
      <c r="C143" s="25" t="s">
        <v>80</v>
      </c>
      <c r="D143" s="25" t="s">
        <v>19</v>
      </c>
      <c r="E143" s="25">
        <v>47</v>
      </c>
      <c r="F143" s="25" t="s">
        <v>35</v>
      </c>
      <c r="G143" s="25" t="s">
        <v>21</v>
      </c>
      <c r="H143" s="26">
        <v>43547</v>
      </c>
      <c r="I143" s="25">
        <v>96812</v>
      </c>
      <c r="J143" s="25" t="s">
        <v>81</v>
      </c>
      <c r="K143" s="25" t="s">
        <v>348</v>
      </c>
      <c r="L143" s="27" t="s">
        <v>24</v>
      </c>
      <c r="M143" s="28" t="str">
        <f>_xlfn.XLOOKUP(F143,Department!$A$2:$A$6,Department!$B$2:$B$6)</f>
        <v>Sales</v>
      </c>
      <c r="N143" s="30">
        <f>_xlfn.XLOOKUP(A143,Performance!$A$2:$A$501,Performance!$C$2:$C$501)</f>
        <v>1</v>
      </c>
      <c r="O143" s="28" cm="1">
        <f t="array" ref="O143">_xlfn.IFS(N143=5,I143*15%,N143=4,I143*10%,N143=3,I143*7%,N143&lt;3,I143*5%)</f>
        <v>4840.6000000000004</v>
      </c>
    </row>
    <row r="144" spans="1:15">
      <c r="A144" s="24" t="s">
        <v>349</v>
      </c>
      <c r="B144" s="25" t="s">
        <v>61</v>
      </c>
      <c r="C144" s="25" t="s">
        <v>141</v>
      </c>
      <c r="D144" s="25" t="s">
        <v>19</v>
      </c>
      <c r="E144" s="25">
        <v>47</v>
      </c>
      <c r="F144" s="25" t="s">
        <v>54</v>
      </c>
      <c r="G144" s="25" t="s">
        <v>30</v>
      </c>
      <c r="H144" s="26">
        <v>44316</v>
      </c>
      <c r="I144" s="25">
        <v>116650</v>
      </c>
      <c r="J144" s="25" t="s">
        <v>67</v>
      </c>
      <c r="K144" s="25" t="s">
        <v>350</v>
      </c>
      <c r="L144" s="27" t="s">
        <v>39</v>
      </c>
      <c r="M144" s="28" t="str">
        <f>_xlfn.XLOOKUP(F144,Department!$A$2:$A$6,Department!$B$2:$B$6)</f>
        <v>Finance</v>
      </c>
      <c r="N144" s="30">
        <f>_xlfn.XLOOKUP(A144,Performance!$A$2:$A$501,Performance!$C$2:$C$501)</f>
        <v>3</v>
      </c>
      <c r="O144" s="28" cm="1">
        <f t="array" ref="O144">_xlfn.IFS(N144=5,I144*15%,N144=4,I144*10%,N144=3,I144*7%,N144&lt;3,I144*5%)</f>
        <v>8165.5000000000009</v>
      </c>
    </row>
    <row r="145" spans="1:15">
      <c r="A145" s="24" t="s">
        <v>351</v>
      </c>
      <c r="B145" s="25" t="s">
        <v>74</v>
      </c>
      <c r="C145" s="25" t="s">
        <v>84</v>
      </c>
      <c r="D145" s="25" t="s">
        <v>28</v>
      </c>
      <c r="E145" s="25">
        <v>28</v>
      </c>
      <c r="F145" s="25" t="s">
        <v>43</v>
      </c>
      <c r="G145" s="25" t="s">
        <v>30</v>
      </c>
      <c r="H145" s="26">
        <v>43296</v>
      </c>
      <c r="I145" s="25">
        <v>86592</v>
      </c>
      <c r="J145" s="25" t="s">
        <v>81</v>
      </c>
      <c r="K145" s="25" t="s">
        <v>352</v>
      </c>
      <c r="L145" s="27" t="s">
        <v>39</v>
      </c>
      <c r="M145" s="28" t="str">
        <f>_xlfn.XLOOKUP(F145,Department!$A$2:$A$6,Department!$B$2:$B$6)</f>
        <v>Marketing</v>
      </c>
      <c r="N145" s="30">
        <f>_xlfn.XLOOKUP(A145,Performance!$A$2:$A$501,Performance!$C$2:$C$501)</f>
        <v>1</v>
      </c>
      <c r="O145" s="28" cm="1">
        <f t="array" ref="O145">_xlfn.IFS(N145=5,I145*15%,N145=4,I145*10%,N145=3,I145*7%,N145&lt;3,I145*5%)</f>
        <v>4329.6000000000004</v>
      </c>
    </row>
    <row r="146" spans="1:15">
      <c r="A146" s="24" t="s">
        <v>353</v>
      </c>
      <c r="B146" s="25" t="s">
        <v>48</v>
      </c>
      <c r="C146" s="25" t="s">
        <v>27</v>
      </c>
      <c r="D146" s="25" t="s">
        <v>28</v>
      </c>
      <c r="E146" s="25">
        <v>57</v>
      </c>
      <c r="F146" s="25" t="s">
        <v>54</v>
      </c>
      <c r="G146" s="25" t="s">
        <v>30</v>
      </c>
      <c r="H146" s="26">
        <v>45417</v>
      </c>
      <c r="I146" s="25">
        <v>78320</v>
      </c>
      <c r="J146" s="25" t="s">
        <v>37</v>
      </c>
      <c r="K146" s="25" t="s">
        <v>354</v>
      </c>
      <c r="L146" s="27" t="s">
        <v>24</v>
      </c>
      <c r="M146" s="28" t="str">
        <f>_xlfn.XLOOKUP(F146,Department!$A$2:$A$6,Department!$B$2:$B$6)</f>
        <v>Finance</v>
      </c>
      <c r="N146" s="30">
        <f>_xlfn.XLOOKUP(A146,Performance!$A$2:$A$501,Performance!$C$2:$C$501)</f>
        <v>1</v>
      </c>
      <c r="O146" s="28" cm="1">
        <f t="array" ref="O146">_xlfn.IFS(N146=5,I146*15%,N146=4,I146*10%,N146=3,I146*7%,N146&lt;3,I146*5%)</f>
        <v>3916</v>
      </c>
    </row>
    <row r="147" spans="1:15">
      <c r="A147" s="24" t="s">
        <v>355</v>
      </c>
      <c r="B147" s="25" t="s">
        <v>34</v>
      </c>
      <c r="C147" s="25" t="s">
        <v>49</v>
      </c>
      <c r="D147" s="25" t="s">
        <v>28</v>
      </c>
      <c r="E147" s="25">
        <v>40</v>
      </c>
      <c r="F147" s="25" t="s">
        <v>20</v>
      </c>
      <c r="G147" s="25" t="s">
        <v>21</v>
      </c>
      <c r="H147" s="26">
        <v>43738</v>
      </c>
      <c r="I147" s="25">
        <v>50627</v>
      </c>
      <c r="J147" s="25" t="s">
        <v>81</v>
      </c>
      <c r="K147" s="25" t="s">
        <v>356</v>
      </c>
      <c r="L147" s="27" t="s">
        <v>39</v>
      </c>
      <c r="M147" s="28" t="str">
        <f>_xlfn.XLOOKUP(F147,Department!$A$2:$A$6,Department!$B$2:$B$6)</f>
        <v>HR</v>
      </c>
      <c r="N147" s="30">
        <f>_xlfn.XLOOKUP(A147,Performance!$A$2:$A$501,Performance!$C$2:$C$501)</f>
        <v>3</v>
      </c>
      <c r="O147" s="28" cm="1">
        <f t="array" ref="O147">_xlfn.IFS(N147=5,I147*15%,N147=4,I147*10%,N147=3,I147*7%,N147&lt;3,I147*5%)</f>
        <v>3543.8900000000003</v>
      </c>
    </row>
    <row r="148" spans="1:15">
      <c r="A148" s="24" t="s">
        <v>357</v>
      </c>
      <c r="B148" s="25" t="s">
        <v>42</v>
      </c>
      <c r="C148" s="25" t="s">
        <v>93</v>
      </c>
      <c r="D148" s="25" t="s">
        <v>28</v>
      </c>
      <c r="E148" s="25">
        <v>47</v>
      </c>
      <c r="F148" s="25" t="s">
        <v>29</v>
      </c>
      <c r="G148" s="25" t="s">
        <v>30</v>
      </c>
      <c r="H148" s="26">
        <v>44683</v>
      </c>
      <c r="I148" s="25">
        <v>84212</v>
      </c>
      <c r="J148" s="25" t="s">
        <v>37</v>
      </c>
      <c r="K148" s="25" t="s">
        <v>358</v>
      </c>
      <c r="L148" s="27" t="s">
        <v>39</v>
      </c>
      <c r="M148" s="28" t="str">
        <f>_xlfn.XLOOKUP(F148,Department!$A$2:$A$6,Department!$B$2:$B$6)</f>
        <v>IT</v>
      </c>
      <c r="N148" s="30">
        <f>_xlfn.XLOOKUP(A148,Performance!$A$2:$A$501,Performance!$C$2:$C$501)</f>
        <v>5</v>
      </c>
      <c r="O148" s="28" cm="1">
        <f t="array" ref="O148">_xlfn.IFS(N148=5,I148*15%,N148=4,I148*10%,N148=3,I148*7%,N148&lt;3,I148*5%)</f>
        <v>12631.8</v>
      </c>
    </row>
    <row r="149" spans="1:15">
      <c r="A149" s="24" t="s">
        <v>359</v>
      </c>
      <c r="B149" s="25" t="s">
        <v>58</v>
      </c>
      <c r="C149" s="25" t="s">
        <v>66</v>
      </c>
      <c r="D149" s="25" t="s">
        <v>19</v>
      </c>
      <c r="E149" s="25">
        <v>53</v>
      </c>
      <c r="F149" s="25" t="s">
        <v>54</v>
      </c>
      <c r="G149" s="25" t="s">
        <v>36</v>
      </c>
      <c r="H149" s="26">
        <v>45259</v>
      </c>
      <c r="I149" s="25">
        <v>98718</v>
      </c>
      <c r="J149" s="25" t="s">
        <v>37</v>
      </c>
      <c r="K149" s="25" t="s">
        <v>360</v>
      </c>
      <c r="L149" s="27" t="s">
        <v>24</v>
      </c>
      <c r="M149" s="28" t="str">
        <f>_xlfn.XLOOKUP(F149,Department!$A$2:$A$6,Department!$B$2:$B$6)</f>
        <v>Finance</v>
      </c>
      <c r="N149" s="30">
        <f>_xlfn.XLOOKUP(A149,Performance!$A$2:$A$501,Performance!$C$2:$C$501)</f>
        <v>5</v>
      </c>
      <c r="O149" s="28" cm="1">
        <f t="array" ref="O149">_xlfn.IFS(N149=5,I149*15%,N149=4,I149*10%,N149=3,I149*7%,N149&lt;3,I149*5%)</f>
        <v>14807.699999999999</v>
      </c>
    </row>
    <row r="150" spans="1:15">
      <c r="A150" s="24" t="s">
        <v>361</v>
      </c>
      <c r="B150" s="25" t="s">
        <v>126</v>
      </c>
      <c r="C150" s="25" t="s">
        <v>27</v>
      </c>
      <c r="D150" s="25" t="s">
        <v>28</v>
      </c>
      <c r="E150" s="25">
        <v>22</v>
      </c>
      <c r="F150" s="25" t="s">
        <v>20</v>
      </c>
      <c r="G150" s="25" t="s">
        <v>30</v>
      </c>
      <c r="H150" s="26">
        <v>44546</v>
      </c>
      <c r="I150" s="25">
        <v>35307</v>
      </c>
      <c r="J150" s="25" t="s">
        <v>81</v>
      </c>
      <c r="K150" s="25" t="s">
        <v>362</v>
      </c>
      <c r="L150" s="27" t="s">
        <v>39</v>
      </c>
      <c r="M150" s="28" t="str">
        <f>_xlfn.XLOOKUP(F150,Department!$A$2:$A$6,Department!$B$2:$B$6)</f>
        <v>HR</v>
      </c>
      <c r="N150" s="30">
        <f>_xlfn.XLOOKUP(A150,Performance!$A$2:$A$501,Performance!$C$2:$C$501)</f>
        <v>4</v>
      </c>
      <c r="O150" s="28" cm="1">
        <f t="array" ref="O150">_xlfn.IFS(N150=5,I150*15%,N150=4,I150*10%,N150=3,I150*7%,N150&lt;3,I150*5%)</f>
        <v>3530.7000000000003</v>
      </c>
    </row>
    <row r="151" spans="1:15">
      <c r="A151" s="24" t="s">
        <v>363</v>
      </c>
      <c r="B151" s="25" t="s">
        <v>34</v>
      </c>
      <c r="C151" s="25" t="s">
        <v>117</v>
      </c>
      <c r="D151" s="25" t="s">
        <v>19</v>
      </c>
      <c r="E151" s="25">
        <v>54</v>
      </c>
      <c r="F151" s="25" t="s">
        <v>29</v>
      </c>
      <c r="G151" s="25" t="s">
        <v>102</v>
      </c>
      <c r="H151" s="26">
        <v>43325</v>
      </c>
      <c r="I151" s="25">
        <v>92735</v>
      </c>
      <c r="J151" s="25" t="s">
        <v>62</v>
      </c>
      <c r="K151" s="25" t="s">
        <v>364</v>
      </c>
      <c r="L151" s="27" t="s">
        <v>39</v>
      </c>
      <c r="M151" s="28" t="str">
        <f>_xlfn.XLOOKUP(F151,Department!$A$2:$A$6,Department!$B$2:$B$6)</f>
        <v>IT</v>
      </c>
      <c r="N151" s="30">
        <f>_xlfn.XLOOKUP(A151,Performance!$A$2:$A$501,Performance!$C$2:$C$501)</f>
        <v>1</v>
      </c>
      <c r="O151" s="28" cm="1">
        <f t="array" ref="O151">_xlfn.IFS(N151=5,I151*15%,N151=4,I151*10%,N151=3,I151*7%,N151&lt;3,I151*5%)</f>
        <v>4636.75</v>
      </c>
    </row>
    <row r="152" spans="1:15">
      <c r="A152" s="24" t="s">
        <v>365</v>
      </c>
      <c r="B152" s="25" t="s">
        <v>92</v>
      </c>
      <c r="C152" s="25" t="s">
        <v>18</v>
      </c>
      <c r="D152" s="25" t="s">
        <v>28</v>
      </c>
      <c r="E152" s="25">
        <v>45</v>
      </c>
      <c r="F152" s="25" t="s">
        <v>54</v>
      </c>
      <c r="G152" s="25" t="s">
        <v>21</v>
      </c>
      <c r="H152" s="26">
        <v>43851</v>
      </c>
      <c r="I152" s="25">
        <v>55679</v>
      </c>
      <c r="J152" s="25" t="s">
        <v>62</v>
      </c>
      <c r="K152" s="25" t="s">
        <v>366</v>
      </c>
      <c r="L152" s="27" t="s">
        <v>39</v>
      </c>
      <c r="M152" s="28" t="str">
        <f>_xlfn.XLOOKUP(F152,Department!$A$2:$A$6,Department!$B$2:$B$6)</f>
        <v>Finance</v>
      </c>
      <c r="N152" s="30">
        <f>_xlfn.XLOOKUP(A152,Performance!$A$2:$A$501,Performance!$C$2:$C$501)</f>
        <v>2</v>
      </c>
      <c r="O152" s="28" cm="1">
        <f t="array" ref="O152">_xlfn.IFS(N152=5,I152*15%,N152=4,I152*10%,N152=3,I152*7%,N152&lt;3,I152*5%)</f>
        <v>2783.9500000000003</v>
      </c>
    </row>
    <row r="153" spans="1:15">
      <c r="A153" s="24" t="s">
        <v>367</v>
      </c>
      <c r="B153" s="25" t="s">
        <v>42</v>
      </c>
      <c r="C153" s="25" t="s">
        <v>89</v>
      </c>
      <c r="D153" s="25" t="s">
        <v>19</v>
      </c>
      <c r="E153" s="25">
        <v>25</v>
      </c>
      <c r="F153" s="25" t="s">
        <v>29</v>
      </c>
      <c r="G153" s="25" t="s">
        <v>36</v>
      </c>
      <c r="H153" s="26">
        <v>43840</v>
      </c>
      <c r="I153" s="25">
        <v>94614</v>
      </c>
      <c r="J153" s="25" t="s">
        <v>37</v>
      </c>
      <c r="K153" s="25" t="s">
        <v>368</v>
      </c>
      <c r="L153" s="27" t="s">
        <v>24</v>
      </c>
      <c r="M153" s="28" t="str">
        <f>_xlfn.XLOOKUP(F153,Department!$A$2:$A$6,Department!$B$2:$B$6)</f>
        <v>IT</v>
      </c>
      <c r="N153" s="30">
        <f>_xlfn.XLOOKUP(A153,Performance!$A$2:$A$501,Performance!$C$2:$C$501)</f>
        <v>5</v>
      </c>
      <c r="O153" s="28" cm="1">
        <f t="array" ref="O153">_xlfn.IFS(N153=5,I153*15%,N153=4,I153*10%,N153=3,I153*7%,N153&lt;3,I153*5%)</f>
        <v>14192.1</v>
      </c>
    </row>
    <row r="154" spans="1:15">
      <c r="A154" s="24" t="s">
        <v>369</v>
      </c>
      <c r="B154" s="25" t="s">
        <v>34</v>
      </c>
      <c r="C154" s="25" t="s">
        <v>89</v>
      </c>
      <c r="D154" s="25" t="s">
        <v>28</v>
      </c>
      <c r="E154" s="25">
        <v>53</v>
      </c>
      <c r="F154" s="25" t="s">
        <v>35</v>
      </c>
      <c r="G154" s="25" t="s">
        <v>44</v>
      </c>
      <c r="H154" s="26">
        <v>44395</v>
      </c>
      <c r="I154" s="25">
        <v>102516</v>
      </c>
      <c r="J154" s="25" t="s">
        <v>37</v>
      </c>
      <c r="K154" s="25" t="s">
        <v>370</v>
      </c>
      <c r="L154" s="27" t="s">
        <v>24</v>
      </c>
      <c r="M154" s="28" t="str">
        <f>_xlfn.XLOOKUP(F154,Department!$A$2:$A$6,Department!$B$2:$B$6)</f>
        <v>Sales</v>
      </c>
      <c r="N154" s="30">
        <f>_xlfn.XLOOKUP(A154,Performance!$A$2:$A$501,Performance!$C$2:$C$501)</f>
        <v>5</v>
      </c>
      <c r="O154" s="28" cm="1">
        <f t="array" ref="O154">_xlfn.IFS(N154=5,I154*15%,N154=4,I154*10%,N154=3,I154*7%,N154&lt;3,I154*5%)</f>
        <v>15377.4</v>
      </c>
    </row>
    <row r="155" spans="1:15">
      <c r="A155" s="24" t="s">
        <v>371</v>
      </c>
      <c r="B155" s="25" t="s">
        <v>53</v>
      </c>
      <c r="C155" s="25" t="s">
        <v>89</v>
      </c>
      <c r="D155" s="25" t="s">
        <v>28</v>
      </c>
      <c r="E155" s="25">
        <v>48</v>
      </c>
      <c r="F155" s="25" t="s">
        <v>35</v>
      </c>
      <c r="G155" s="25" t="s">
        <v>21</v>
      </c>
      <c r="H155" s="26">
        <v>43319</v>
      </c>
      <c r="I155" s="25">
        <v>47666</v>
      </c>
      <c r="J155" s="25" t="s">
        <v>81</v>
      </c>
      <c r="K155" s="25" t="s">
        <v>372</v>
      </c>
      <c r="L155" s="27" t="s">
        <v>39</v>
      </c>
      <c r="M155" s="28" t="str">
        <f>_xlfn.XLOOKUP(F155,Department!$A$2:$A$6,Department!$B$2:$B$6)</f>
        <v>Sales</v>
      </c>
      <c r="N155" s="30">
        <f>_xlfn.XLOOKUP(A155,Performance!$A$2:$A$501,Performance!$C$2:$C$501)</f>
        <v>2</v>
      </c>
      <c r="O155" s="28" cm="1">
        <f t="array" ref="O155">_xlfn.IFS(N155=5,I155*15%,N155=4,I155*10%,N155=3,I155*7%,N155&lt;3,I155*5%)</f>
        <v>2383.3000000000002</v>
      </c>
    </row>
    <row r="156" spans="1:15">
      <c r="A156" s="24" t="s">
        <v>373</v>
      </c>
      <c r="B156" s="25" t="s">
        <v>58</v>
      </c>
      <c r="C156" s="25" t="s">
        <v>27</v>
      </c>
      <c r="D156" s="25" t="s">
        <v>19</v>
      </c>
      <c r="E156" s="25">
        <v>27</v>
      </c>
      <c r="F156" s="25" t="s">
        <v>20</v>
      </c>
      <c r="G156" s="25" t="s">
        <v>44</v>
      </c>
      <c r="H156" s="26">
        <v>44769</v>
      </c>
      <c r="I156" s="25">
        <v>72710</v>
      </c>
      <c r="J156" s="25" t="s">
        <v>81</v>
      </c>
      <c r="K156" s="25" t="s">
        <v>374</v>
      </c>
      <c r="L156" s="27" t="s">
        <v>39</v>
      </c>
      <c r="M156" s="28" t="str">
        <f>_xlfn.XLOOKUP(F156,Department!$A$2:$A$6,Department!$B$2:$B$6)</f>
        <v>HR</v>
      </c>
      <c r="N156" s="30">
        <f>_xlfn.XLOOKUP(A156,Performance!$A$2:$A$501,Performance!$C$2:$C$501)</f>
        <v>2</v>
      </c>
      <c r="O156" s="28" cm="1">
        <f t="array" ref="O156">_xlfn.IFS(N156=5,I156*15%,N156=4,I156*10%,N156=3,I156*7%,N156&lt;3,I156*5%)</f>
        <v>3635.5</v>
      </c>
    </row>
    <row r="157" spans="1:15">
      <c r="A157" s="24" t="s">
        <v>375</v>
      </c>
      <c r="B157" s="25" t="s">
        <v>74</v>
      </c>
      <c r="C157" s="25" t="s">
        <v>27</v>
      </c>
      <c r="D157" s="25" t="s">
        <v>28</v>
      </c>
      <c r="E157" s="25">
        <v>22</v>
      </c>
      <c r="F157" s="25" t="s">
        <v>29</v>
      </c>
      <c r="G157" s="25" t="s">
        <v>102</v>
      </c>
      <c r="H157" s="26">
        <v>44823</v>
      </c>
      <c r="I157" s="25">
        <v>60944</v>
      </c>
      <c r="J157" s="25" t="s">
        <v>67</v>
      </c>
      <c r="K157" s="25" t="s">
        <v>376</v>
      </c>
      <c r="L157" s="27" t="s">
        <v>39</v>
      </c>
      <c r="M157" s="28" t="str">
        <f>_xlfn.XLOOKUP(F157,Department!$A$2:$A$6,Department!$B$2:$B$6)</f>
        <v>IT</v>
      </c>
      <c r="N157" s="30">
        <f>_xlfn.XLOOKUP(A157,Performance!$A$2:$A$501,Performance!$C$2:$C$501)</f>
        <v>3</v>
      </c>
      <c r="O157" s="28" cm="1">
        <f t="array" ref="O157">_xlfn.IFS(N157=5,I157*15%,N157=4,I157*10%,N157=3,I157*7%,N157&lt;3,I157*5%)</f>
        <v>4266.0800000000008</v>
      </c>
    </row>
    <row r="158" spans="1:15">
      <c r="A158" s="24" t="s">
        <v>377</v>
      </c>
      <c r="B158" s="25" t="s">
        <v>58</v>
      </c>
      <c r="C158" s="25" t="s">
        <v>80</v>
      </c>
      <c r="D158" s="25" t="s">
        <v>19</v>
      </c>
      <c r="E158" s="25">
        <v>39</v>
      </c>
      <c r="F158" s="25" t="s">
        <v>54</v>
      </c>
      <c r="G158" s="25" t="s">
        <v>36</v>
      </c>
      <c r="H158" s="26">
        <v>43684</v>
      </c>
      <c r="I158" s="25">
        <v>87181</v>
      </c>
      <c r="J158" s="25" t="s">
        <v>62</v>
      </c>
      <c r="K158" s="25" t="s">
        <v>378</v>
      </c>
      <c r="L158" s="27" t="s">
        <v>24</v>
      </c>
      <c r="M158" s="28" t="str">
        <f>_xlfn.XLOOKUP(F158,Department!$A$2:$A$6,Department!$B$2:$B$6)</f>
        <v>Finance</v>
      </c>
      <c r="N158" s="30">
        <f>_xlfn.XLOOKUP(A158,Performance!$A$2:$A$501,Performance!$C$2:$C$501)</f>
        <v>5</v>
      </c>
      <c r="O158" s="28" cm="1">
        <f t="array" ref="O158">_xlfn.IFS(N158=5,I158*15%,N158=4,I158*10%,N158=3,I158*7%,N158&lt;3,I158*5%)</f>
        <v>13077.15</v>
      </c>
    </row>
    <row r="159" spans="1:15">
      <c r="A159" s="24" t="s">
        <v>379</v>
      </c>
      <c r="B159" s="25" t="s">
        <v>74</v>
      </c>
      <c r="C159" s="25" t="s">
        <v>66</v>
      </c>
      <c r="D159" s="25" t="s">
        <v>19</v>
      </c>
      <c r="E159" s="25">
        <v>42</v>
      </c>
      <c r="F159" s="25" t="s">
        <v>35</v>
      </c>
      <c r="G159" s="25" t="s">
        <v>36</v>
      </c>
      <c r="H159" s="26">
        <v>43484</v>
      </c>
      <c r="I159" s="25">
        <v>65659</v>
      </c>
      <c r="J159" s="25" t="s">
        <v>67</v>
      </c>
      <c r="K159" s="25" t="s">
        <v>380</v>
      </c>
      <c r="L159" s="27" t="s">
        <v>39</v>
      </c>
      <c r="M159" s="28" t="str">
        <f>_xlfn.XLOOKUP(F159,Department!$A$2:$A$6,Department!$B$2:$B$6)</f>
        <v>Sales</v>
      </c>
      <c r="N159" s="30">
        <f>_xlfn.XLOOKUP(A159,Performance!$A$2:$A$501,Performance!$C$2:$C$501)</f>
        <v>3</v>
      </c>
      <c r="O159" s="28" cm="1">
        <f t="array" ref="O159">_xlfn.IFS(N159=5,I159*15%,N159=4,I159*10%,N159=3,I159*7%,N159&lt;3,I159*5%)</f>
        <v>4596.13</v>
      </c>
    </row>
    <row r="160" spans="1:15">
      <c r="A160" s="24" t="s">
        <v>381</v>
      </c>
      <c r="B160" s="25" t="s">
        <v>53</v>
      </c>
      <c r="C160" s="25" t="s">
        <v>80</v>
      </c>
      <c r="D160" s="25" t="s">
        <v>28</v>
      </c>
      <c r="E160" s="25">
        <v>46</v>
      </c>
      <c r="F160" s="25" t="s">
        <v>54</v>
      </c>
      <c r="G160" s="25" t="s">
        <v>36</v>
      </c>
      <c r="H160" s="26">
        <v>44011</v>
      </c>
      <c r="I160" s="25">
        <v>100538</v>
      </c>
      <c r="J160" s="25" t="s">
        <v>67</v>
      </c>
      <c r="K160" s="25" t="s">
        <v>382</v>
      </c>
      <c r="L160" s="27" t="s">
        <v>24</v>
      </c>
      <c r="M160" s="28" t="str">
        <f>_xlfn.XLOOKUP(F160,Department!$A$2:$A$6,Department!$B$2:$B$6)</f>
        <v>Finance</v>
      </c>
      <c r="N160" s="30">
        <f>_xlfn.XLOOKUP(A160,Performance!$A$2:$A$501,Performance!$C$2:$C$501)</f>
        <v>5</v>
      </c>
      <c r="O160" s="28" cm="1">
        <f t="array" ref="O160">_xlfn.IFS(N160=5,I160*15%,N160=4,I160*10%,N160=3,I160*7%,N160&lt;3,I160*5%)</f>
        <v>15080.699999999999</v>
      </c>
    </row>
    <row r="161" spans="1:15">
      <c r="A161" s="24" t="s">
        <v>383</v>
      </c>
      <c r="B161" s="25" t="s">
        <v>74</v>
      </c>
      <c r="C161" s="25" t="s">
        <v>141</v>
      </c>
      <c r="D161" s="25" t="s">
        <v>28</v>
      </c>
      <c r="E161" s="25">
        <v>49</v>
      </c>
      <c r="F161" s="25" t="s">
        <v>54</v>
      </c>
      <c r="G161" s="25" t="s">
        <v>36</v>
      </c>
      <c r="H161" s="26">
        <v>43292</v>
      </c>
      <c r="I161" s="25">
        <v>109819</v>
      </c>
      <c r="J161" s="25" t="s">
        <v>22</v>
      </c>
      <c r="K161" s="25" t="s">
        <v>384</v>
      </c>
      <c r="L161" s="27" t="s">
        <v>24</v>
      </c>
      <c r="M161" s="28" t="str">
        <f>_xlfn.XLOOKUP(F161,Department!$A$2:$A$6,Department!$B$2:$B$6)</f>
        <v>Finance</v>
      </c>
      <c r="N161" s="30">
        <f>_xlfn.XLOOKUP(A161,Performance!$A$2:$A$501,Performance!$C$2:$C$501)</f>
        <v>4</v>
      </c>
      <c r="O161" s="28" cm="1">
        <f t="array" ref="O161">_xlfn.IFS(N161=5,I161*15%,N161=4,I161*10%,N161=3,I161*7%,N161&lt;3,I161*5%)</f>
        <v>10981.900000000001</v>
      </c>
    </row>
    <row r="162" spans="1:15">
      <c r="A162" s="24" t="s">
        <v>385</v>
      </c>
      <c r="B162" s="25" t="s">
        <v>42</v>
      </c>
      <c r="C162" s="25" t="s">
        <v>18</v>
      </c>
      <c r="D162" s="25" t="s">
        <v>19</v>
      </c>
      <c r="E162" s="25">
        <v>24</v>
      </c>
      <c r="F162" s="25" t="s">
        <v>35</v>
      </c>
      <c r="G162" s="25" t="s">
        <v>44</v>
      </c>
      <c r="H162" s="26">
        <v>43473</v>
      </c>
      <c r="I162" s="25">
        <v>113747</v>
      </c>
      <c r="J162" s="25" t="s">
        <v>62</v>
      </c>
      <c r="K162" s="25" t="s">
        <v>386</v>
      </c>
      <c r="L162" s="27" t="s">
        <v>24</v>
      </c>
      <c r="M162" s="28" t="str">
        <f>_xlfn.XLOOKUP(F162,Department!$A$2:$A$6,Department!$B$2:$B$6)</f>
        <v>Sales</v>
      </c>
      <c r="N162" s="30">
        <f>_xlfn.XLOOKUP(A162,Performance!$A$2:$A$501,Performance!$C$2:$C$501)</f>
        <v>3</v>
      </c>
      <c r="O162" s="28" cm="1">
        <f t="array" ref="O162">_xlfn.IFS(N162=5,I162*15%,N162=4,I162*10%,N162=3,I162*7%,N162&lt;3,I162*5%)</f>
        <v>7962.2900000000009</v>
      </c>
    </row>
    <row r="163" spans="1:15">
      <c r="A163" s="24" t="s">
        <v>387</v>
      </c>
      <c r="B163" s="25" t="s">
        <v>92</v>
      </c>
      <c r="C163" s="25" t="s">
        <v>49</v>
      </c>
      <c r="D163" s="25" t="s">
        <v>28</v>
      </c>
      <c r="E163" s="25">
        <v>51</v>
      </c>
      <c r="F163" s="25" t="s">
        <v>54</v>
      </c>
      <c r="G163" s="25" t="s">
        <v>30</v>
      </c>
      <c r="H163" s="26">
        <v>43930</v>
      </c>
      <c r="I163" s="25">
        <v>103468</v>
      </c>
      <c r="J163" s="25" t="s">
        <v>67</v>
      </c>
      <c r="K163" s="25" t="s">
        <v>388</v>
      </c>
      <c r="L163" s="27" t="s">
        <v>24</v>
      </c>
      <c r="M163" s="28" t="str">
        <f>_xlfn.XLOOKUP(F163,Department!$A$2:$A$6,Department!$B$2:$B$6)</f>
        <v>Finance</v>
      </c>
      <c r="N163" s="30">
        <f>_xlfn.XLOOKUP(A163,Performance!$A$2:$A$501,Performance!$C$2:$C$501)</f>
        <v>4</v>
      </c>
      <c r="O163" s="28" cm="1">
        <f t="array" ref="O163">_xlfn.IFS(N163=5,I163*15%,N163=4,I163*10%,N163=3,I163*7%,N163&lt;3,I163*5%)</f>
        <v>10346.800000000001</v>
      </c>
    </row>
    <row r="164" spans="1:15">
      <c r="A164" s="24" t="s">
        <v>389</v>
      </c>
      <c r="B164" s="25" t="s">
        <v>34</v>
      </c>
      <c r="C164" s="25" t="s">
        <v>89</v>
      </c>
      <c r="D164" s="25" t="s">
        <v>28</v>
      </c>
      <c r="E164" s="25">
        <v>22</v>
      </c>
      <c r="F164" s="25" t="s">
        <v>35</v>
      </c>
      <c r="G164" s="25" t="s">
        <v>36</v>
      </c>
      <c r="H164" s="26">
        <v>43275</v>
      </c>
      <c r="I164" s="25">
        <v>55327</v>
      </c>
      <c r="J164" s="25" t="s">
        <v>67</v>
      </c>
      <c r="K164" s="25" t="s">
        <v>390</v>
      </c>
      <c r="L164" s="27" t="s">
        <v>39</v>
      </c>
      <c r="M164" s="28" t="str">
        <f>_xlfn.XLOOKUP(F164,Department!$A$2:$A$6,Department!$B$2:$B$6)</f>
        <v>Sales</v>
      </c>
      <c r="N164" s="30">
        <f>_xlfn.XLOOKUP(A164,Performance!$A$2:$A$501,Performance!$C$2:$C$501)</f>
        <v>4</v>
      </c>
      <c r="O164" s="28" cm="1">
        <f t="array" ref="O164">_xlfn.IFS(N164=5,I164*15%,N164=4,I164*10%,N164=3,I164*7%,N164&lt;3,I164*5%)</f>
        <v>5532.7000000000007</v>
      </c>
    </row>
    <row r="165" spans="1:15">
      <c r="A165" s="24" t="s">
        <v>391</v>
      </c>
      <c r="B165" s="25" t="s">
        <v>53</v>
      </c>
      <c r="C165" s="25" t="s">
        <v>49</v>
      </c>
      <c r="D165" s="25" t="s">
        <v>28</v>
      </c>
      <c r="E165" s="25">
        <v>43</v>
      </c>
      <c r="F165" s="25" t="s">
        <v>35</v>
      </c>
      <c r="G165" s="25" t="s">
        <v>30</v>
      </c>
      <c r="H165" s="26">
        <v>44697</v>
      </c>
      <c r="I165" s="25">
        <v>89628</v>
      </c>
      <c r="J165" s="25" t="s">
        <v>62</v>
      </c>
      <c r="K165" s="25" t="s">
        <v>392</v>
      </c>
      <c r="L165" s="27" t="s">
        <v>24</v>
      </c>
      <c r="M165" s="28" t="str">
        <f>_xlfn.XLOOKUP(F165,Department!$A$2:$A$6,Department!$B$2:$B$6)</f>
        <v>Sales</v>
      </c>
      <c r="N165" s="30">
        <f>_xlfn.XLOOKUP(A165,Performance!$A$2:$A$501,Performance!$C$2:$C$501)</f>
        <v>3</v>
      </c>
      <c r="O165" s="28" cm="1">
        <f t="array" ref="O165">_xlfn.IFS(N165=5,I165*15%,N165=4,I165*10%,N165=3,I165*7%,N165&lt;3,I165*5%)</f>
        <v>6273.9600000000009</v>
      </c>
    </row>
    <row r="166" spans="1:15">
      <c r="A166" s="24" t="s">
        <v>393</v>
      </c>
      <c r="B166" s="25" t="s">
        <v>48</v>
      </c>
      <c r="C166" s="25" t="s">
        <v>80</v>
      </c>
      <c r="D166" s="25" t="s">
        <v>19</v>
      </c>
      <c r="E166" s="25">
        <v>25</v>
      </c>
      <c r="F166" s="25" t="s">
        <v>54</v>
      </c>
      <c r="G166" s="25" t="s">
        <v>102</v>
      </c>
      <c r="H166" s="26">
        <v>45294</v>
      </c>
      <c r="I166" s="25">
        <v>98304</v>
      </c>
      <c r="J166" s="25" t="s">
        <v>81</v>
      </c>
      <c r="K166" s="25" t="s">
        <v>394</v>
      </c>
      <c r="L166" s="27" t="s">
        <v>39</v>
      </c>
      <c r="M166" s="28" t="str">
        <f>_xlfn.XLOOKUP(F166,Department!$A$2:$A$6,Department!$B$2:$B$6)</f>
        <v>Finance</v>
      </c>
      <c r="N166" s="30">
        <f>_xlfn.XLOOKUP(A166,Performance!$A$2:$A$501,Performance!$C$2:$C$501)</f>
        <v>5</v>
      </c>
      <c r="O166" s="28" cm="1">
        <f t="array" ref="O166">_xlfn.IFS(N166=5,I166*15%,N166=4,I166*10%,N166=3,I166*7%,N166&lt;3,I166*5%)</f>
        <v>14745.599999999999</v>
      </c>
    </row>
    <row r="167" spans="1:15">
      <c r="A167" s="24" t="s">
        <v>395</v>
      </c>
      <c r="B167" s="25" t="s">
        <v>58</v>
      </c>
      <c r="C167" s="25" t="s">
        <v>89</v>
      </c>
      <c r="D167" s="25" t="s">
        <v>19</v>
      </c>
      <c r="E167" s="25">
        <v>50</v>
      </c>
      <c r="F167" s="25" t="s">
        <v>20</v>
      </c>
      <c r="G167" s="25" t="s">
        <v>30</v>
      </c>
      <c r="H167" s="26">
        <v>43951</v>
      </c>
      <c r="I167" s="25">
        <v>116611</v>
      </c>
      <c r="J167" s="25" t="s">
        <v>67</v>
      </c>
      <c r="K167" s="25" t="s">
        <v>396</v>
      </c>
      <c r="L167" s="27" t="s">
        <v>39</v>
      </c>
      <c r="M167" s="28" t="str">
        <f>_xlfn.XLOOKUP(F167,Department!$A$2:$A$6,Department!$B$2:$B$6)</f>
        <v>HR</v>
      </c>
      <c r="N167" s="30">
        <f>_xlfn.XLOOKUP(A167,Performance!$A$2:$A$501,Performance!$C$2:$C$501)</f>
        <v>2</v>
      </c>
      <c r="O167" s="28" cm="1">
        <f t="array" ref="O167">_xlfn.IFS(N167=5,I167*15%,N167=4,I167*10%,N167=3,I167*7%,N167&lt;3,I167*5%)</f>
        <v>5830.55</v>
      </c>
    </row>
    <row r="168" spans="1:15">
      <c r="A168" s="24" t="s">
        <v>397</v>
      </c>
      <c r="B168" s="25" t="s">
        <v>42</v>
      </c>
      <c r="C168" s="25" t="s">
        <v>80</v>
      </c>
      <c r="D168" s="25" t="s">
        <v>28</v>
      </c>
      <c r="E168" s="25">
        <v>41</v>
      </c>
      <c r="F168" s="25" t="s">
        <v>43</v>
      </c>
      <c r="G168" s="25" t="s">
        <v>21</v>
      </c>
      <c r="H168" s="26">
        <v>43425</v>
      </c>
      <c r="I168" s="25">
        <v>45748</v>
      </c>
      <c r="J168" s="25" t="s">
        <v>22</v>
      </c>
      <c r="K168" s="25" t="s">
        <v>398</v>
      </c>
      <c r="L168" s="27" t="s">
        <v>39</v>
      </c>
      <c r="M168" s="28" t="str">
        <f>_xlfn.XLOOKUP(F168,Department!$A$2:$A$6,Department!$B$2:$B$6)</f>
        <v>Marketing</v>
      </c>
      <c r="N168" s="30">
        <f>_xlfn.XLOOKUP(A168,Performance!$A$2:$A$501,Performance!$C$2:$C$501)</f>
        <v>1</v>
      </c>
      <c r="O168" s="28" cm="1">
        <f t="array" ref="O168">_xlfn.IFS(N168=5,I168*15%,N168=4,I168*10%,N168=3,I168*7%,N168&lt;3,I168*5%)</f>
        <v>2287.4</v>
      </c>
    </row>
    <row r="169" spans="1:15">
      <c r="A169" s="24" t="s">
        <v>399</v>
      </c>
      <c r="B169" s="25" t="s">
        <v>58</v>
      </c>
      <c r="C169" s="25" t="s">
        <v>84</v>
      </c>
      <c r="D169" s="25" t="s">
        <v>28</v>
      </c>
      <c r="E169" s="25">
        <v>48</v>
      </c>
      <c r="F169" s="25" t="s">
        <v>43</v>
      </c>
      <c r="G169" s="25" t="s">
        <v>36</v>
      </c>
      <c r="H169" s="26">
        <v>44997</v>
      </c>
      <c r="I169" s="25">
        <v>45767</v>
      </c>
      <c r="J169" s="25" t="s">
        <v>81</v>
      </c>
      <c r="K169" s="25" t="s">
        <v>400</v>
      </c>
      <c r="L169" s="27" t="s">
        <v>39</v>
      </c>
      <c r="M169" s="28" t="str">
        <f>_xlfn.XLOOKUP(F169,Department!$A$2:$A$6,Department!$B$2:$B$6)</f>
        <v>Marketing</v>
      </c>
      <c r="N169" s="30">
        <f>_xlfn.XLOOKUP(A169,Performance!$A$2:$A$501,Performance!$C$2:$C$501)</f>
        <v>2</v>
      </c>
      <c r="O169" s="28" cm="1">
        <f t="array" ref="O169">_xlfn.IFS(N169=5,I169*15%,N169=4,I169*10%,N169=3,I169*7%,N169&lt;3,I169*5%)</f>
        <v>2288.35</v>
      </c>
    </row>
    <row r="170" spans="1:15">
      <c r="A170" s="24" t="s">
        <v>401</v>
      </c>
      <c r="B170" s="25" t="s">
        <v>61</v>
      </c>
      <c r="C170" s="25" t="s">
        <v>49</v>
      </c>
      <c r="D170" s="25" t="s">
        <v>28</v>
      </c>
      <c r="E170" s="25">
        <v>49</v>
      </c>
      <c r="F170" s="25" t="s">
        <v>54</v>
      </c>
      <c r="G170" s="25" t="s">
        <v>102</v>
      </c>
      <c r="H170" s="26">
        <v>43741</v>
      </c>
      <c r="I170" s="25">
        <v>63927</v>
      </c>
      <c r="J170" s="25" t="s">
        <v>37</v>
      </c>
      <c r="K170" s="25" t="s">
        <v>402</v>
      </c>
      <c r="L170" s="27" t="s">
        <v>39</v>
      </c>
      <c r="M170" s="28" t="str">
        <f>_xlfn.XLOOKUP(F170,Department!$A$2:$A$6,Department!$B$2:$B$6)</f>
        <v>Finance</v>
      </c>
      <c r="N170" s="30">
        <f>_xlfn.XLOOKUP(A170,Performance!$A$2:$A$501,Performance!$C$2:$C$501)</f>
        <v>2</v>
      </c>
      <c r="O170" s="28" cm="1">
        <f t="array" ref="O170">_xlfn.IFS(N170=5,I170*15%,N170=4,I170*10%,N170=3,I170*7%,N170&lt;3,I170*5%)</f>
        <v>3196.3500000000004</v>
      </c>
    </row>
    <row r="171" spans="1:15">
      <c r="A171" s="24" t="s">
        <v>403</v>
      </c>
      <c r="B171" s="25" t="s">
        <v>74</v>
      </c>
      <c r="C171" s="25" t="s">
        <v>27</v>
      </c>
      <c r="D171" s="25" t="s">
        <v>28</v>
      </c>
      <c r="E171" s="25">
        <v>46</v>
      </c>
      <c r="F171" s="25" t="s">
        <v>20</v>
      </c>
      <c r="G171" s="25" t="s">
        <v>102</v>
      </c>
      <c r="H171" s="26">
        <v>44258</v>
      </c>
      <c r="I171" s="25">
        <v>116657</v>
      </c>
      <c r="J171" s="25" t="s">
        <v>62</v>
      </c>
      <c r="K171" s="25" t="s">
        <v>404</v>
      </c>
      <c r="L171" s="27" t="s">
        <v>39</v>
      </c>
      <c r="M171" s="28" t="str">
        <f>_xlfn.XLOOKUP(F171,Department!$A$2:$A$6,Department!$B$2:$B$6)</f>
        <v>HR</v>
      </c>
      <c r="N171" s="30">
        <f>_xlfn.XLOOKUP(A171,Performance!$A$2:$A$501,Performance!$C$2:$C$501)</f>
        <v>1</v>
      </c>
      <c r="O171" s="28" cm="1">
        <f t="array" ref="O171">_xlfn.IFS(N171=5,I171*15%,N171=4,I171*10%,N171=3,I171*7%,N171&lt;3,I171*5%)</f>
        <v>5832.85</v>
      </c>
    </row>
    <row r="172" spans="1:15">
      <c r="A172" s="24" t="s">
        <v>405</v>
      </c>
      <c r="B172" s="25" t="s">
        <v>17</v>
      </c>
      <c r="C172" s="25" t="s">
        <v>89</v>
      </c>
      <c r="D172" s="25" t="s">
        <v>28</v>
      </c>
      <c r="E172" s="25">
        <v>49</v>
      </c>
      <c r="F172" s="25" t="s">
        <v>29</v>
      </c>
      <c r="G172" s="25" t="s">
        <v>30</v>
      </c>
      <c r="H172" s="26">
        <v>43867</v>
      </c>
      <c r="I172" s="25">
        <v>35376</v>
      </c>
      <c r="J172" s="25" t="s">
        <v>37</v>
      </c>
      <c r="K172" s="25" t="s">
        <v>406</v>
      </c>
      <c r="L172" s="27" t="s">
        <v>39</v>
      </c>
      <c r="M172" s="28" t="str">
        <f>_xlfn.XLOOKUP(F172,Department!$A$2:$A$6,Department!$B$2:$B$6)</f>
        <v>IT</v>
      </c>
      <c r="N172" s="30">
        <f>_xlfn.XLOOKUP(A172,Performance!$A$2:$A$501,Performance!$C$2:$C$501)</f>
        <v>5</v>
      </c>
      <c r="O172" s="28" cm="1">
        <f t="array" ref="O172">_xlfn.IFS(N172=5,I172*15%,N172=4,I172*10%,N172=3,I172*7%,N172&lt;3,I172*5%)</f>
        <v>5306.4</v>
      </c>
    </row>
    <row r="173" spans="1:15">
      <c r="A173" s="24" t="s">
        <v>407</v>
      </c>
      <c r="B173" s="25" t="s">
        <v>126</v>
      </c>
      <c r="C173" s="25" t="s">
        <v>66</v>
      </c>
      <c r="D173" s="25" t="s">
        <v>28</v>
      </c>
      <c r="E173" s="25">
        <v>44</v>
      </c>
      <c r="F173" s="25" t="s">
        <v>29</v>
      </c>
      <c r="G173" s="25" t="s">
        <v>102</v>
      </c>
      <c r="H173" s="26">
        <v>43902</v>
      </c>
      <c r="I173" s="25">
        <v>37908</v>
      </c>
      <c r="J173" s="25" t="s">
        <v>67</v>
      </c>
      <c r="K173" s="25" t="s">
        <v>408</v>
      </c>
      <c r="L173" s="27" t="s">
        <v>24</v>
      </c>
      <c r="M173" s="28" t="str">
        <f>_xlfn.XLOOKUP(F173,Department!$A$2:$A$6,Department!$B$2:$B$6)</f>
        <v>IT</v>
      </c>
      <c r="N173" s="30">
        <f>_xlfn.XLOOKUP(A173,Performance!$A$2:$A$501,Performance!$C$2:$C$501)</f>
        <v>5</v>
      </c>
      <c r="O173" s="28" cm="1">
        <f t="array" ref="O173">_xlfn.IFS(N173=5,I173*15%,N173=4,I173*10%,N173=3,I173*7%,N173&lt;3,I173*5%)</f>
        <v>5686.2</v>
      </c>
    </row>
    <row r="174" spans="1:15">
      <c r="A174" s="24" t="s">
        <v>409</v>
      </c>
      <c r="B174" s="25" t="s">
        <v>61</v>
      </c>
      <c r="C174" s="25" t="s">
        <v>66</v>
      </c>
      <c r="D174" s="25" t="s">
        <v>28</v>
      </c>
      <c r="E174" s="25">
        <v>59</v>
      </c>
      <c r="F174" s="25" t="s">
        <v>20</v>
      </c>
      <c r="G174" s="25" t="s">
        <v>21</v>
      </c>
      <c r="H174" s="26">
        <v>43903</v>
      </c>
      <c r="I174" s="25">
        <v>106205</v>
      </c>
      <c r="J174" s="25" t="s">
        <v>37</v>
      </c>
      <c r="K174" s="25" t="s">
        <v>410</v>
      </c>
      <c r="L174" s="27" t="s">
        <v>24</v>
      </c>
      <c r="M174" s="28" t="str">
        <f>_xlfn.XLOOKUP(F174,Department!$A$2:$A$6,Department!$B$2:$B$6)</f>
        <v>HR</v>
      </c>
      <c r="N174" s="30">
        <f>_xlfn.XLOOKUP(A174,Performance!$A$2:$A$501,Performance!$C$2:$C$501)</f>
        <v>3</v>
      </c>
      <c r="O174" s="28" cm="1">
        <f t="array" ref="O174">_xlfn.IFS(N174=5,I174*15%,N174=4,I174*10%,N174=3,I174*7%,N174&lt;3,I174*5%)</f>
        <v>7434.35</v>
      </c>
    </row>
    <row r="175" spans="1:15">
      <c r="A175" s="24" t="s">
        <v>411</v>
      </c>
      <c r="B175" s="25" t="s">
        <v>92</v>
      </c>
      <c r="C175" s="25" t="s">
        <v>117</v>
      </c>
      <c r="D175" s="25" t="s">
        <v>19</v>
      </c>
      <c r="E175" s="25">
        <v>29</v>
      </c>
      <c r="F175" s="25" t="s">
        <v>43</v>
      </c>
      <c r="G175" s="25" t="s">
        <v>102</v>
      </c>
      <c r="H175" s="26">
        <v>43302</v>
      </c>
      <c r="I175" s="25">
        <v>101504</v>
      </c>
      <c r="J175" s="25" t="s">
        <v>81</v>
      </c>
      <c r="K175" s="25" t="s">
        <v>412</v>
      </c>
      <c r="L175" s="27" t="s">
        <v>24</v>
      </c>
      <c r="M175" s="28" t="str">
        <f>_xlfn.XLOOKUP(F175,Department!$A$2:$A$6,Department!$B$2:$B$6)</f>
        <v>Marketing</v>
      </c>
      <c r="N175" s="30">
        <f>_xlfn.XLOOKUP(A175,Performance!$A$2:$A$501,Performance!$C$2:$C$501)</f>
        <v>1</v>
      </c>
      <c r="O175" s="28" cm="1">
        <f t="array" ref="O175">_xlfn.IFS(N175=5,I175*15%,N175=4,I175*10%,N175=3,I175*7%,N175&lt;3,I175*5%)</f>
        <v>5075.2000000000007</v>
      </c>
    </row>
    <row r="176" spans="1:15">
      <c r="A176" s="24" t="s">
        <v>413</v>
      </c>
      <c r="B176" s="25" t="s">
        <v>58</v>
      </c>
      <c r="C176" s="25" t="s">
        <v>66</v>
      </c>
      <c r="D176" s="25" t="s">
        <v>19</v>
      </c>
      <c r="E176" s="25">
        <v>48</v>
      </c>
      <c r="F176" s="25" t="s">
        <v>20</v>
      </c>
      <c r="G176" s="25" t="s">
        <v>102</v>
      </c>
      <c r="H176" s="26">
        <v>43909</v>
      </c>
      <c r="I176" s="25">
        <v>36710</v>
      </c>
      <c r="J176" s="25" t="s">
        <v>37</v>
      </c>
      <c r="K176" s="25" t="s">
        <v>414</v>
      </c>
      <c r="L176" s="27" t="s">
        <v>24</v>
      </c>
      <c r="M176" s="28" t="str">
        <f>_xlfn.XLOOKUP(F176,Department!$A$2:$A$6,Department!$B$2:$B$6)</f>
        <v>HR</v>
      </c>
      <c r="N176" s="30">
        <f>_xlfn.XLOOKUP(A176,Performance!$A$2:$A$501,Performance!$C$2:$C$501)</f>
        <v>1</v>
      </c>
      <c r="O176" s="28" cm="1">
        <f t="array" ref="O176">_xlfn.IFS(N176=5,I176*15%,N176=4,I176*10%,N176=3,I176*7%,N176&lt;3,I176*5%)</f>
        <v>1835.5</v>
      </c>
    </row>
    <row r="177" spans="1:15">
      <c r="A177" s="24" t="s">
        <v>415</v>
      </c>
      <c r="B177" s="25" t="s">
        <v>126</v>
      </c>
      <c r="C177" s="25" t="s">
        <v>84</v>
      </c>
      <c r="D177" s="25" t="s">
        <v>19</v>
      </c>
      <c r="E177" s="25">
        <v>58</v>
      </c>
      <c r="F177" s="25" t="s">
        <v>20</v>
      </c>
      <c r="G177" s="25" t="s">
        <v>36</v>
      </c>
      <c r="H177" s="26">
        <v>44951</v>
      </c>
      <c r="I177" s="25">
        <v>78149</v>
      </c>
      <c r="J177" s="25" t="s">
        <v>22</v>
      </c>
      <c r="K177" s="25" t="s">
        <v>416</v>
      </c>
      <c r="L177" s="27" t="s">
        <v>39</v>
      </c>
      <c r="M177" s="28" t="str">
        <f>_xlfn.XLOOKUP(F177,Department!$A$2:$A$6,Department!$B$2:$B$6)</f>
        <v>HR</v>
      </c>
      <c r="N177" s="30">
        <f>_xlfn.XLOOKUP(A177,Performance!$A$2:$A$501,Performance!$C$2:$C$501)</f>
        <v>5</v>
      </c>
      <c r="O177" s="28" cm="1">
        <f t="array" ref="O177">_xlfn.IFS(N177=5,I177*15%,N177=4,I177*10%,N177=3,I177*7%,N177&lt;3,I177*5%)</f>
        <v>11722.35</v>
      </c>
    </row>
    <row r="178" spans="1:15">
      <c r="A178" s="24" t="s">
        <v>417</v>
      </c>
      <c r="B178" s="25" t="s">
        <v>58</v>
      </c>
      <c r="C178" s="25" t="s">
        <v>89</v>
      </c>
      <c r="D178" s="25" t="s">
        <v>19</v>
      </c>
      <c r="E178" s="25">
        <v>57</v>
      </c>
      <c r="F178" s="25" t="s">
        <v>35</v>
      </c>
      <c r="G178" s="25" t="s">
        <v>36</v>
      </c>
      <c r="H178" s="26">
        <v>44013</v>
      </c>
      <c r="I178" s="25">
        <v>93998</v>
      </c>
      <c r="J178" s="25" t="s">
        <v>22</v>
      </c>
      <c r="K178" s="25" t="s">
        <v>418</v>
      </c>
      <c r="L178" s="27" t="s">
        <v>39</v>
      </c>
      <c r="M178" s="28" t="str">
        <f>_xlfn.XLOOKUP(F178,Department!$A$2:$A$6,Department!$B$2:$B$6)</f>
        <v>Sales</v>
      </c>
      <c r="N178" s="30">
        <f>_xlfn.XLOOKUP(A178,Performance!$A$2:$A$501,Performance!$C$2:$C$501)</f>
        <v>4</v>
      </c>
      <c r="O178" s="28" cm="1">
        <f t="array" ref="O178">_xlfn.IFS(N178=5,I178*15%,N178=4,I178*10%,N178=3,I178*7%,N178&lt;3,I178*5%)</f>
        <v>9399.8000000000011</v>
      </c>
    </row>
    <row r="179" spans="1:15">
      <c r="A179" s="24" t="s">
        <v>419</v>
      </c>
      <c r="B179" s="25" t="s">
        <v>61</v>
      </c>
      <c r="C179" s="25" t="s">
        <v>80</v>
      </c>
      <c r="D179" s="25" t="s">
        <v>28</v>
      </c>
      <c r="E179" s="25">
        <v>50</v>
      </c>
      <c r="F179" s="25" t="s">
        <v>20</v>
      </c>
      <c r="G179" s="25" t="s">
        <v>44</v>
      </c>
      <c r="H179" s="26">
        <v>45371</v>
      </c>
      <c r="I179" s="25">
        <v>47599</v>
      </c>
      <c r="J179" s="25" t="s">
        <v>81</v>
      </c>
      <c r="K179" s="25" t="s">
        <v>420</v>
      </c>
      <c r="L179" s="27" t="s">
        <v>24</v>
      </c>
      <c r="M179" s="28" t="str">
        <f>_xlfn.XLOOKUP(F179,Department!$A$2:$A$6,Department!$B$2:$B$6)</f>
        <v>HR</v>
      </c>
      <c r="N179" s="30">
        <f>_xlfn.XLOOKUP(A179,Performance!$A$2:$A$501,Performance!$C$2:$C$501)</f>
        <v>3</v>
      </c>
      <c r="O179" s="28" cm="1">
        <f t="array" ref="O179">_xlfn.IFS(N179=5,I179*15%,N179=4,I179*10%,N179=3,I179*7%,N179&lt;3,I179*5%)</f>
        <v>3331.9300000000003</v>
      </c>
    </row>
    <row r="180" spans="1:15">
      <c r="A180" s="24" t="s">
        <v>421</v>
      </c>
      <c r="B180" s="25" t="s">
        <v>58</v>
      </c>
      <c r="C180" s="25" t="s">
        <v>49</v>
      </c>
      <c r="D180" s="25" t="s">
        <v>19</v>
      </c>
      <c r="E180" s="25">
        <v>32</v>
      </c>
      <c r="F180" s="25" t="s">
        <v>54</v>
      </c>
      <c r="G180" s="25" t="s">
        <v>30</v>
      </c>
      <c r="H180" s="26">
        <v>43309</v>
      </c>
      <c r="I180" s="25">
        <v>82412</v>
      </c>
      <c r="J180" s="25" t="s">
        <v>67</v>
      </c>
      <c r="K180" s="25" t="s">
        <v>422</v>
      </c>
      <c r="L180" s="27" t="s">
        <v>39</v>
      </c>
      <c r="M180" s="28" t="str">
        <f>_xlfn.XLOOKUP(F180,Department!$A$2:$A$6,Department!$B$2:$B$6)</f>
        <v>Finance</v>
      </c>
      <c r="N180" s="30">
        <f>_xlfn.XLOOKUP(A180,Performance!$A$2:$A$501,Performance!$C$2:$C$501)</f>
        <v>4</v>
      </c>
      <c r="O180" s="28" cm="1">
        <f t="array" ref="O180">_xlfn.IFS(N180=5,I180*15%,N180=4,I180*10%,N180=3,I180*7%,N180&lt;3,I180*5%)</f>
        <v>8241.2000000000007</v>
      </c>
    </row>
    <row r="181" spans="1:15">
      <c r="A181" s="24" t="s">
        <v>423</v>
      </c>
      <c r="B181" s="25" t="s">
        <v>34</v>
      </c>
      <c r="C181" s="25" t="s">
        <v>80</v>
      </c>
      <c r="D181" s="25" t="s">
        <v>28</v>
      </c>
      <c r="E181" s="25">
        <v>52</v>
      </c>
      <c r="F181" s="25" t="s">
        <v>35</v>
      </c>
      <c r="G181" s="25" t="s">
        <v>21</v>
      </c>
      <c r="H181" s="26">
        <v>43223</v>
      </c>
      <c r="I181" s="25">
        <v>82496</v>
      </c>
      <c r="J181" s="25" t="s">
        <v>67</v>
      </c>
      <c r="K181" s="25" t="s">
        <v>424</v>
      </c>
      <c r="L181" s="27" t="s">
        <v>24</v>
      </c>
      <c r="M181" s="28" t="str">
        <f>_xlfn.XLOOKUP(F181,Department!$A$2:$A$6,Department!$B$2:$B$6)</f>
        <v>Sales</v>
      </c>
      <c r="N181" s="30">
        <f>_xlfn.XLOOKUP(A181,Performance!$A$2:$A$501,Performance!$C$2:$C$501)</f>
        <v>2</v>
      </c>
      <c r="O181" s="28" cm="1">
        <f t="array" ref="O181">_xlfn.IFS(N181=5,I181*15%,N181=4,I181*10%,N181=3,I181*7%,N181&lt;3,I181*5%)</f>
        <v>4124.8</v>
      </c>
    </row>
    <row r="182" spans="1:15">
      <c r="A182" s="24" t="s">
        <v>425</v>
      </c>
      <c r="B182" s="25" t="s">
        <v>53</v>
      </c>
      <c r="C182" s="25" t="s">
        <v>117</v>
      </c>
      <c r="D182" s="25" t="s">
        <v>19</v>
      </c>
      <c r="E182" s="25">
        <v>60</v>
      </c>
      <c r="F182" s="25" t="s">
        <v>35</v>
      </c>
      <c r="G182" s="25" t="s">
        <v>30</v>
      </c>
      <c r="H182" s="26">
        <v>43727</v>
      </c>
      <c r="I182" s="25">
        <v>51231</v>
      </c>
      <c r="J182" s="25" t="s">
        <v>67</v>
      </c>
      <c r="K182" s="25" t="s">
        <v>426</v>
      </c>
      <c r="L182" s="27" t="s">
        <v>39</v>
      </c>
      <c r="M182" s="28" t="str">
        <f>_xlfn.XLOOKUP(F182,Department!$A$2:$A$6,Department!$B$2:$B$6)</f>
        <v>Sales</v>
      </c>
      <c r="N182" s="30">
        <f>_xlfn.XLOOKUP(A182,Performance!$A$2:$A$501,Performance!$C$2:$C$501)</f>
        <v>2</v>
      </c>
      <c r="O182" s="28" cm="1">
        <f t="array" ref="O182">_xlfn.IFS(N182=5,I182*15%,N182=4,I182*10%,N182=3,I182*7%,N182&lt;3,I182*5%)</f>
        <v>2561.5500000000002</v>
      </c>
    </row>
    <row r="183" spans="1:15">
      <c r="A183" s="24" t="s">
        <v>427</v>
      </c>
      <c r="B183" s="25" t="s">
        <v>126</v>
      </c>
      <c r="C183" s="25" t="s">
        <v>18</v>
      </c>
      <c r="D183" s="25" t="s">
        <v>19</v>
      </c>
      <c r="E183" s="25">
        <v>48</v>
      </c>
      <c r="F183" s="25" t="s">
        <v>54</v>
      </c>
      <c r="G183" s="25" t="s">
        <v>30</v>
      </c>
      <c r="H183" s="26">
        <v>43205</v>
      </c>
      <c r="I183" s="25">
        <v>119053</v>
      </c>
      <c r="J183" s="25" t="s">
        <v>22</v>
      </c>
      <c r="K183" s="25" t="s">
        <v>428</v>
      </c>
      <c r="L183" s="27" t="s">
        <v>24</v>
      </c>
      <c r="M183" s="28" t="str">
        <f>_xlfn.XLOOKUP(F183,Department!$A$2:$A$6,Department!$B$2:$B$6)</f>
        <v>Finance</v>
      </c>
      <c r="N183" s="30">
        <f>_xlfn.XLOOKUP(A183,Performance!$A$2:$A$501,Performance!$C$2:$C$501)</f>
        <v>4</v>
      </c>
      <c r="O183" s="28" cm="1">
        <f t="array" ref="O183">_xlfn.IFS(N183=5,I183*15%,N183=4,I183*10%,N183=3,I183*7%,N183&lt;3,I183*5%)</f>
        <v>11905.300000000001</v>
      </c>
    </row>
    <row r="184" spans="1:15">
      <c r="A184" s="24" t="s">
        <v>429</v>
      </c>
      <c r="B184" s="25" t="s">
        <v>74</v>
      </c>
      <c r="C184" s="25" t="s">
        <v>84</v>
      </c>
      <c r="D184" s="25" t="s">
        <v>28</v>
      </c>
      <c r="E184" s="25">
        <v>60</v>
      </c>
      <c r="F184" s="25" t="s">
        <v>35</v>
      </c>
      <c r="G184" s="25" t="s">
        <v>21</v>
      </c>
      <c r="H184" s="26">
        <v>45463</v>
      </c>
      <c r="I184" s="25">
        <v>111243</v>
      </c>
      <c r="J184" s="25" t="s">
        <v>22</v>
      </c>
      <c r="K184" s="25" t="s">
        <v>430</v>
      </c>
      <c r="L184" s="27" t="s">
        <v>24</v>
      </c>
      <c r="M184" s="28" t="str">
        <f>_xlfn.XLOOKUP(F184,Department!$A$2:$A$6,Department!$B$2:$B$6)</f>
        <v>Sales</v>
      </c>
      <c r="N184" s="30">
        <f>_xlfn.XLOOKUP(A184,Performance!$A$2:$A$501,Performance!$C$2:$C$501)</f>
        <v>4</v>
      </c>
      <c r="O184" s="28" cm="1">
        <f t="array" ref="O184">_xlfn.IFS(N184=5,I184*15%,N184=4,I184*10%,N184=3,I184*7%,N184&lt;3,I184*5%)</f>
        <v>11124.300000000001</v>
      </c>
    </row>
    <row r="185" spans="1:15">
      <c r="A185" s="24" t="s">
        <v>431</v>
      </c>
      <c r="B185" s="25" t="s">
        <v>126</v>
      </c>
      <c r="C185" s="25" t="s">
        <v>66</v>
      </c>
      <c r="D185" s="25" t="s">
        <v>19</v>
      </c>
      <c r="E185" s="25">
        <v>55</v>
      </c>
      <c r="F185" s="25" t="s">
        <v>29</v>
      </c>
      <c r="G185" s="25" t="s">
        <v>21</v>
      </c>
      <c r="H185" s="26">
        <v>44267</v>
      </c>
      <c r="I185" s="25">
        <v>73063</v>
      </c>
      <c r="J185" s="25" t="s">
        <v>81</v>
      </c>
      <c r="K185" s="25" t="s">
        <v>432</v>
      </c>
      <c r="L185" s="27" t="s">
        <v>24</v>
      </c>
      <c r="M185" s="28" t="str">
        <f>_xlfn.XLOOKUP(F185,Department!$A$2:$A$6,Department!$B$2:$B$6)</f>
        <v>IT</v>
      </c>
      <c r="N185" s="30">
        <f>_xlfn.XLOOKUP(A185,Performance!$A$2:$A$501,Performance!$C$2:$C$501)</f>
        <v>1</v>
      </c>
      <c r="O185" s="28" cm="1">
        <f t="array" ref="O185">_xlfn.IFS(N185=5,I185*15%,N185=4,I185*10%,N185=3,I185*7%,N185&lt;3,I185*5%)</f>
        <v>3653.15</v>
      </c>
    </row>
    <row r="186" spans="1:15">
      <c r="A186" s="24" t="s">
        <v>433</v>
      </c>
      <c r="B186" s="25" t="s">
        <v>126</v>
      </c>
      <c r="C186" s="25" t="s">
        <v>49</v>
      </c>
      <c r="D186" s="25" t="s">
        <v>28</v>
      </c>
      <c r="E186" s="25">
        <v>35</v>
      </c>
      <c r="F186" s="25" t="s">
        <v>43</v>
      </c>
      <c r="G186" s="25" t="s">
        <v>21</v>
      </c>
      <c r="H186" s="26">
        <v>45478</v>
      </c>
      <c r="I186" s="25">
        <v>71247</v>
      </c>
      <c r="J186" s="25" t="s">
        <v>22</v>
      </c>
      <c r="K186" s="25" t="s">
        <v>434</v>
      </c>
      <c r="L186" s="27" t="s">
        <v>39</v>
      </c>
      <c r="M186" s="28" t="str">
        <f>_xlfn.XLOOKUP(F186,Department!$A$2:$A$6,Department!$B$2:$B$6)</f>
        <v>Marketing</v>
      </c>
      <c r="N186" s="30">
        <f>_xlfn.XLOOKUP(A186,Performance!$A$2:$A$501,Performance!$C$2:$C$501)</f>
        <v>4</v>
      </c>
      <c r="O186" s="28" cm="1">
        <f t="array" ref="O186">_xlfn.IFS(N186=5,I186*15%,N186=4,I186*10%,N186=3,I186*7%,N186&lt;3,I186*5%)</f>
        <v>7124.7000000000007</v>
      </c>
    </row>
    <row r="187" spans="1:15">
      <c r="A187" s="24" t="s">
        <v>435</v>
      </c>
      <c r="B187" s="25" t="s">
        <v>42</v>
      </c>
      <c r="C187" s="25" t="s">
        <v>117</v>
      </c>
      <c r="D187" s="25" t="s">
        <v>28</v>
      </c>
      <c r="E187" s="25">
        <v>41</v>
      </c>
      <c r="F187" s="25" t="s">
        <v>35</v>
      </c>
      <c r="G187" s="25" t="s">
        <v>30</v>
      </c>
      <c r="H187" s="26">
        <v>43695</v>
      </c>
      <c r="I187" s="25">
        <v>67422</v>
      </c>
      <c r="J187" s="25" t="s">
        <v>67</v>
      </c>
      <c r="K187" s="25" t="s">
        <v>436</v>
      </c>
      <c r="L187" s="27" t="s">
        <v>39</v>
      </c>
      <c r="M187" s="28" t="str">
        <f>_xlfn.XLOOKUP(F187,Department!$A$2:$A$6,Department!$B$2:$B$6)</f>
        <v>Sales</v>
      </c>
      <c r="N187" s="30">
        <f>_xlfn.XLOOKUP(A187,Performance!$A$2:$A$501,Performance!$C$2:$C$501)</f>
        <v>2</v>
      </c>
      <c r="O187" s="28" cm="1">
        <f t="array" ref="O187">_xlfn.IFS(N187=5,I187*15%,N187=4,I187*10%,N187=3,I187*7%,N187&lt;3,I187*5%)</f>
        <v>3371.1000000000004</v>
      </c>
    </row>
    <row r="188" spans="1:15">
      <c r="A188" s="24" t="s">
        <v>437</v>
      </c>
      <c r="B188" s="25" t="s">
        <v>34</v>
      </c>
      <c r="C188" s="25" t="s">
        <v>66</v>
      </c>
      <c r="D188" s="25" t="s">
        <v>19</v>
      </c>
      <c r="E188" s="25">
        <v>26</v>
      </c>
      <c r="F188" s="25" t="s">
        <v>29</v>
      </c>
      <c r="G188" s="25" t="s">
        <v>36</v>
      </c>
      <c r="H188" s="26">
        <v>43514</v>
      </c>
      <c r="I188" s="25">
        <v>110628</v>
      </c>
      <c r="J188" s="25" t="s">
        <v>67</v>
      </c>
      <c r="K188" s="25" t="s">
        <v>438</v>
      </c>
      <c r="L188" s="27" t="s">
        <v>39</v>
      </c>
      <c r="M188" s="28" t="str">
        <f>_xlfn.XLOOKUP(F188,Department!$A$2:$A$6,Department!$B$2:$B$6)</f>
        <v>IT</v>
      </c>
      <c r="N188" s="30">
        <f>_xlfn.XLOOKUP(A188,Performance!$A$2:$A$501,Performance!$C$2:$C$501)</f>
        <v>3</v>
      </c>
      <c r="O188" s="28" cm="1">
        <f t="array" ref="O188">_xlfn.IFS(N188=5,I188*15%,N188=4,I188*10%,N188=3,I188*7%,N188&lt;3,I188*5%)</f>
        <v>7743.9600000000009</v>
      </c>
    </row>
    <row r="189" spans="1:15">
      <c r="A189" s="24" t="s">
        <v>439</v>
      </c>
      <c r="B189" s="25" t="s">
        <v>53</v>
      </c>
      <c r="C189" s="25" t="s">
        <v>141</v>
      </c>
      <c r="D189" s="25" t="s">
        <v>19</v>
      </c>
      <c r="E189" s="25">
        <v>48</v>
      </c>
      <c r="F189" s="25" t="s">
        <v>43</v>
      </c>
      <c r="G189" s="25" t="s">
        <v>21</v>
      </c>
      <c r="H189" s="26">
        <v>44431</v>
      </c>
      <c r="I189" s="25">
        <v>96540</v>
      </c>
      <c r="J189" s="25" t="s">
        <v>37</v>
      </c>
      <c r="K189" s="25" t="s">
        <v>440</v>
      </c>
      <c r="L189" s="27" t="s">
        <v>39</v>
      </c>
      <c r="M189" s="28" t="str">
        <f>_xlfn.XLOOKUP(F189,Department!$A$2:$A$6,Department!$B$2:$B$6)</f>
        <v>Marketing</v>
      </c>
      <c r="N189" s="30">
        <f>_xlfn.XLOOKUP(A189,Performance!$A$2:$A$501,Performance!$C$2:$C$501)</f>
        <v>3</v>
      </c>
      <c r="O189" s="28" cm="1">
        <f t="array" ref="O189">_xlfn.IFS(N189=5,I189*15%,N189=4,I189*10%,N189=3,I189*7%,N189&lt;3,I189*5%)</f>
        <v>6757.8000000000011</v>
      </c>
    </row>
    <row r="190" spans="1:15">
      <c r="A190" s="24" t="s">
        <v>441</v>
      </c>
      <c r="B190" s="25" t="s">
        <v>58</v>
      </c>
      <c r="C190" s="25" t="s">
        <v>80</v>
      </c>
      <c r="D190" s="25" t="s">
        <v>19</v>
      </c>
      <c r="E190" s="25">
        <v>49</v>
      </c>
      <c r="F190" s="25" t="s">
        <v>43</v>
      </c>
      <c r="G190" s="25" t="s">
        <v>21</v>
      </c>
      <c r="H190" s="26">
        <v>43418</v>
      </c>
      <c r="I190" s="25">
        <v>76991</v>
      </c>
      <c r="J190" s="25" t="s">
        <v>62</v>
      </c>
      <c r="K190" s="25" t="s">
        <v>442</v>
      </c>
      <c r="L190" s="27" t="s">
        <v>24</v>
      </c>
      <c r="M190" s="28" t="str">
        <f>_xlfn.XLOOKUP(F190,Department!$A$2:$A$6,Department!$B$2:$B$6)</f>
        <v>Marketing</v>
      </c>
      <c r="N190" s="30">
        <f>_xlfn.XLOOKUP(A190,Performance!$A$2:$A$501,Performance!$C$2:$C$501)</f>
        <v>5</v>
      </c>
      <c r="O190" s="28" cm="1">
        <f t="array" ref="O190">_xlfn.IFS(N190=5,I190*15%,N190=4,I190*10%,N190=3,I190*7%,N190&lt;3,I190*5%)</f>
        <v>11548.65</v>
      </c>
    </row>
    <row r="191" spans="1:15">
      <c r="A191" s="24" t="s">
        <v>443</v>
      </c>
      <c r="B191" s="25" t="s">
        <v>61</v>
      </c>
      <c r="C191" s="25" t="s">
        <v>117</v>
      </c>
      <c r="D191" s="25" t="s">
        <v>28</v>
      </c>
      <c r="E191" s="25">
        <v>26</v>
      </c>
      <c r="F191" s="25" t="s">
        <v>35</v>
      </c>
      <c r="G191" s="25" t="s">
        <v>21</v>
      </c>
      <c r="H191" s="26">
        <v>44300</v>
      </c>
      <c r="I191" s="25">
        <v>92562</v>
      </c>
      <c r="J191" s="25" t="s">
        <v>37</v>
      </c>
      <c r="K191" s="25" t="s">
        <v>444</v>
      </c>
      <c r="L191" s="27" t="s">
        <v>39</v>
      </c>
      <c r="M191" s="28" t="str">
        <f>_xlfn.XLOOKUP(F191,Department!$A$2:$A$6,Department!$B$2:$B$6)</f>
        <v>Sales</v>
      </c>
      <c r="N191" s="30">
        <f>_xlfn.XLOOKUP(A191,Performance!$A$2:$A$501,Performance!$C$2:$C$501)</f>
        <v>5</v>
      </c>
      <c r="O191" s="28" cm="1">
        <f t="array" ref="O191">_xlfn.IFS(N191=5,I191*15%,N191=4,I191*10%,N191=3,I191*7%,N191&lt;3,I191*5%)</f>
        <v>13884.3</v>
      </c>
    </row>
    <row r="192" spans="1:15">
      <c r="A192" s="24" t="s">
        <v>445</v>
      </c>
      <c r="B192" s="25" t="s">
        <v>126</v>
      </c>
      <c r="C192" s="25" t="s">
        <v>141</v>
      </c>
      <c r="D192" s="25" t="s">
        <v>19</v>
      </c>
      <c r="E192" s="25">
        <v>51</v>
      </c>
      <c r="F192" s="25" t="s">
        <v>35</v>
      </c>
      <c r="G192" s="25" t="s">
        <v>44</v>
      </c>
      <c r="H192" s="26">
        <v>43560</v>
      </c>
      <c r="I192" s="25">
        <v>102983</v>
      </c>
      <c r="J192" s="25" t="s">
        <v>37</v>
      </c>
      <c r="K192" s="25" t="s">
        <v>446</v>
      </c>
      <c r="L192" s="27" t="s">
        <v>39</v>
      </c>
      <c r="M192" s="28" t="str">
        <f>_xlfn.XLOOKUP(F192,Department!$A$2:$A$6,Department!$B$2:$B$6)</f>
        <v>Sales</v>
      </c>
      <c r="N192" s="30">
        <f>_xlfn.XLOOKUP(A192,Performance!$A$2:$A$501,Performance!$C$2:$C$501)</f>
        <v>2</v>
      </c>
      <c r="O192" s="28" cm="1">
        <f t="array" ref="O192">_xlfn.IFS(N192=5,I192*15%,N192=4,I192*10%,N192=3,I192*7%,N192&lt;3,I192*5%)</f>
        <v>5149.1500000000005</v>
      </c>
    </row>
    <row r="193" spans="1:15">
      <c r="A193" s="24" t="s">
        <v>447</v>
      </c>
      <c r="B193" s="25" t="s">
        <v>126</v>
      </c>
      <c r="C193" s="25" t="s">
        <v>93</v>
      </c>
      <c r="D193" s="25" t="s">
        <v>28</v>
      </c>
      <c r="E193" s="25">
        <v>23</v>
      </c>
      <c r="F193" s="25" t="s">
        <v>20</v>
      </c>
      <c r="G193" s="25" t="s">
        <v>36</v>
      </c>
      <c r="H193" s="26">
        <v>44828</v>
      </c>
      <c r="I193" s="25">
        <v>114420</v>
      </c>
      <c r="J193" s="25" t="s">
        <v>22</v>
      </c>
      <c r="K193" s="25" t="s">
        <v>448</v>
      </c>
      <c r="L193" s="27" t="s">
        <v>24</v>
      </c>
      <c r="M193" s="28" t="str">
        <f>_xlfn.XLOOKUP(F193,Department!$A$2:$A$6,Department!$B$2:$B$6)</f>
        <v>HR</v>
      </c>
      <c r="N193" s="30">
        <f>_xlfn.XLOOKUP(A193,Performance!$A$2:$A$501,Performance!$C$2:$C$501)</f>
        <v>3</v>
      </c>
      <c r="O193" s="28" cm="1">
        <f t="array" ref="O193">_xlfn.IFS(N193=5,I193*15%,N193=4,I193*10%,N193=3,I193*7%,N193&lt;3,I193*5%)</f>
        <v>8009.4000000000005</v>
      </c>
    </row>
    <row r="194" spans="1:15">
      <c r="A194" s="24" t="s">
        <v>449</v>
      </c>
      <c r="B194" s="25" t="s">
        <v>34</v>
      </c>
      <c r="C194" s="25" t="s">
        <v>141</v>
      </c>
      <c r="D194" s="25" t="s">
        <v>19</v>
      </c>
      <c r="E194" s="25">
        <v>58</v>
      </c>
      <c r="F194" s="25" t="s">
        <v>54</v>
      </c>
      <c r="G194" s="25" t="s">
        <v>36</v>
      </c>
      <c r="H194" s="26">
        <v>45303</v>
      </c>
      <c r="I194" s="25">
        <v>108419</v>
      </c>
      <c r="J194" s="25" t="s">
        <v>62</v>
      </c>
      <c r="K194" s="25" t="s">
        <v>450</v>
      </c>
      <c r="L194" s="27" t="s">
        <v>24</v>
      </c>
      <c r="M194" s="28" t="str">
        <f>_xlfn.XLOOKUP(F194,Department!$A$2:$A$6,Department!$B$2:$B$6)</f>
        <v>Finance</v>
      </c>
      <c r="N194" s="30">
        <f>_xlfn.XLOOKUP(A194,Performance!$A$2:$A$501,Performance!$C$2:$C$501)</f>
        <v>3</v>
      </c>
      <c r="O194" s="28" cm="1">
        <f t="array" ref="O194">_xlfn.IFS(N194=5,I194*15%,N194=4,I194*10%,N194=3,I194*7%,N194&lt;3,I194*5%)</f>
        <v>7589.3300000000008</v>
      </c>
    </row>
    <row r="195" spans="1:15">
      <c r="A195" s="24" t="s">
        <v>451</v>
      </c>
      <c r="B195" s="25" t="s">
        <v>92</v>
      </c>
      <c r="C195" s="25" t="s">
        <v>49</v>
      </c>
      <c r="D195" s="25" t="s">
        <v>28</v>
      </c>
      <c r="E195" s="25">
        <v>54</v>
      </c>
      <c r="F195" s="25" t="s">
        <v>35</v>
      </c>
      <c r="G195" s="25" t="s">
        <v>102</v>
      </c>
      <c r="H195" s="26">
        <v>43952</v>
      </c>
      <c r="I195" s="25">
        <v>100498</v>
      </c>
      <c r="J195" s="25" t="s">
        <v>67</v>
      </c>
      <c r="K195" s="25" t="s">
        <v>452</v>
      </c>
      <c r="L195" s="27" t="s">
        <v>39</v>
      </c>
      <c r="M195" s="28" t="str">
        <f>_xlfn.XLOOKUP(F195,Department!$A$2:$A$6,Department!$B$2:$B$6)</f>
        <v>Sales</v>
      </c>
      <c r="N195" s="30">
        <f>_xlfn.XLOOKUP(A195,Performance!$A$2:$A$501,Performance!$C$2:$C$501)</f>
        <v>3</v>
      </c>
      <c r="O195" s="28" cm="1">
        <f t="array" ref="O195">_xlfn.IFS(N195=5,I195*15%,N195=4,I195*10%,N195=3,I195*7%,N195&lt;3,I195*5%)</f>
        <v>7034.8600000000006</v>
      </c>
    </row>
    <row r="196" spans="1:15">
      <c r="A196" s="24" t="s">
        <v>453</v>
      </c>
      <c r="B196" s="25" t="s">
        <v>17</v>
      </c>
      <c r="C196" s="25" t="s">
        <v>141</v>
      </c>
      <c r="D196" s="25" t="s">
        <v>28</v>
      </c>
      <c r="E196" s="25">
        <v>48</v>
      </c>
      <c r="F196" s="25" t="s">
        <v>29</v>
      </c>
      <c r="G196" s="25" t="s">
        <v>21</v>
      </c>
      <c r="H196" s="26">
        <v>43700</v>
      </c>
      <c r="I196" s="25">
        <v>62004</v>
      </c>
      <c r="J196" s="25" t="s">
        <v>67</v>
      </c>
      <c r="K196" s="25" t="s">
        <v>454</v>
      </c>
      <c r="L196" s="27" t="s">
        <v>24</v>
      </c>
      <c r="M196" s="28" t="str">
        <f>_xlfn.XLOOKUP(F196,Department!$A$2:$A$6,Department!$B$2:$B$6)</f>
        <v>IT</v>
      </c>
      <c r="N196" s="30">
        <f>_xlfn.XLOOKUP(A196,Performance!$A$2:$A$501,Performance!$C$2:$C$501)</f>
        <v>2</v>
      </c>
      <c r="O196" s="28" cm="1">
        <f t="array" ref="O196">_xlfn.IFS(N196=5,I196*15%,N196=4,I196*10%,N196=3,I196*7%,N196&lt;3,I196*5%)</f>
        <v>3100.2000000000003</v>
      </c>
    </row>
    <row r="197" spans="1:15">
      <c r="A197" s="24" t="s">
        <v>455</v>
      </c>
      <c r="B197" s="25" t="s">
        <v>61</v>
      </c>
      <c r="C197" s="25" t="s">
        <v>84</v>
      </c>
      <c r="D197" s="25" t="s">
        <v>28</v>
      </c>
      <c r="E197" s="25">
        <v>46</v>
      </c>
      <c r="F197" s="25" t="s">
        <v>43</v>
      </c>
      <c r="G197" s="25" t="s">
        <v>30</v>
      </c>
      <c r="H197" s="26">
        <v>44576</v>
      </c>
      <c r="I197" s="25">
        <v>37033</v>
      </c>
      <c r="J197" s="25" t="s">
        <v>62</v>
      </c>
      <c r="K197" s="25" t="s">
        <v>456</v>
      </c>
      <c r="L197" s="27" t="s">
        <v>39</v>
      </c>
      <c r="M197" s="28" t="str">
        <f>_xlfn.XLOOKUP(F197,Department!$A$2:$A$6,Department!$B$2:$B$6)</f>
        <v>Marketing</v>
      </c>
      <c r="N197" s="30">
        <f>_xlfn.XLOOKUP(A197,Performance!$A$2:$A$501,Performance!$C$2:$C$501)</f>
        <v>3</v>
      </c>
      <c r="O197" s="28" cm="1">
        <f t="array" ref="O197">_xlfn.IFS(N197=5,I197*15%,N197=4,I197*10%,N197=3,I197*7%,N197&lt;3,I197*5%)</f>
        <v>2592.3100000000004</v>
      </c>
    </row>
    <row r="198" spans="1:15">
      <c r="A198" s="24" t="s">
        <v>457</v>
      </c>
      <c r="B198" s="25" t="s">
        <v>17</v>
      </c>
      <c r="C198" s="25" t="s">
        <v>66</v>
      </c>
      <c r="D198" s="25" t="s">
        <v>28</v>
      </c>
      <c r="E198" s="25">
        <v>25</v>
      </c>
      <c r="F198" s="25" t="s">
        <v>43</v>
      </c>
      <c r="G198" s="25" t="s">
        <v>102</v>
      </c>
      <c r="H198" s="26">
        <v>43247</v>
      </c>
      <c r="I198" s="25">
        <v>58062</v>
      </c>
      <c r="J198" s="25" t="s">
        <v>37</v>
      </c>
      <c r="K198" s="25" t="s">
        <v>458</v>
      </c>
      <c r="L198" s="27" t="s">
        <v>24</v>
      </c>
      <c r="M198" s="28" t="str">
        <f>_xlfn.XLOOKUP(F198,Department!$A$2:$A$6,Department!$B$2:$B$6)</f>
        <v>Marketing</v>
      </c>
      <c r="N198" s="30">
        <f>_xlfn.XLOOKUP(A198,Performance!$A$2:$A$501,Performance!$C$2:$C$501)</f>
        <v>2</v>
      </c>
      <c r="O198" s="28" cm="1">
        <f t="array" ref="O198">_xlfn.IFS(N198=5,I198*15%,N198=4,I198*10%,N198=3,I198*7%,N198&lt;3,I198*5%)</f>
        <v>2903.1000000000004</v>
      </c>
    </row>
    <row r="199" spans="1:15">
      <c r="A199" s="24" t="s">
        <v>459</v>
      </c>
      <c r="B199" s="25" t="s">
        <v>48</v>
      </c>
      <c r="C199" s="25" t="s">
        <v>117</v>
      </c>
      <c r="D199" s="25" t="s">
        <v>19</v>
      </c>
      <c r="E199" s="25">
        <v>29</v>
      </c>
      <c r="F199" s="25" t="s">
        <v>20</v>
      </c>
      <c r="G199" s="25" t="s">
        <v>44</v>
      </c>
      <c r="H199" s="26">
        <v>43950</v>
      </c>
      <c r="I199" s="25">
        <v>49357</v>
      </c>
      <c r="J199" s="25" t="s">
        <v>62</v>
      </c>
      <c r="K199" s="25" t="s">
        <v>460</v>
      </c>
      <c r="L199" s="27" t="s">
        <v>24</v>
      </c>
      <c r="M199" s="28" t="str">
        <f>_xlfn.XLOOKUP(F199,Department!$A$2:$A$6,Department!$B$2:$B$6)</f>
        <v>HR</v>
      </c>
      <c r="N199" s="30">
        <f>_xlfn.XLOOKUP(A199,Performance!$A$2:$A$501,Performance!$C$2:$C$501)</f>
        <v>2</v>
      </c>
      <c r="O199" s="28" cm="1">
        <f t="array" ref="O199">_xlfn.IFS(N199=5,I199*15%,N199=4,I199*10%,N199=3,I199*7%,N199&lt;3,I199*5%)</f>
        <v>2467.8500000000004</v>
      </c>
    </row>
    <row r="200" spans="1:15">
      <c r="A200" s="24" t="s">
        <v>461</v>
      </c>
      <c r="B200" s="25" t="s">
        <v>74</v>
      </c>
      <c r="C200" s="25" t="s">
        <v>89</v>
      </c>
      <c r="D200" s="25" t="s">
        <v>19</v>
      </c>
      <c r="E200" s="25">
        <v>54</v>
      </c>
      <c r="F200" s="25" t="s">
        <v>35</v>
      </c>
      <c r="G200" s="25" t="s">
        <v>30</v>
      </c>
      <c r="H200" s="26">
        <v>43148</v>
      </c>
      <c r="I200" s="25">
        <v>59758</v>
      </c>
      <c r="J200" s="25" t="s">
        <v>37</v>
      </c>
      <c r="K200" s="25" t="s">
        <v>462</v>
      </c>
      <c r="L200" s="27" t="s">
        <v>39</v>
      </c>
      <c r="M200" s="28" t="str">
        <f>_xlfn.XLOOKUP(F200,Department!$A$2:$A$6,Department!$B$2:$B$6)</f>
        <v>Sales</v>
      </c>
      <c r="N200" s="30">
        <f>_xlfn.XLOOKUP(A200,Performance!$A$2:$A$501,Performance!$C$2:$C$501)</f>
        <v>5</v>
      </c>
      <c r="O200" s="28" cm="1">
        <f t="array" ref="O200">_xlfn.IFS(N200=5,I200*15%,N200=4,I200*10%,N200=3,I200*7%,N200&lt;3,I200*5%)</f>
        <v>8963.6999999999989</v>
      </c>
    </row>
    <row r="201" spans="1:15">
      <c r="A201" s="24" t="s">
        <v>463</v>
      </c>
      <c r="B201" s="25" t="s">
        <v>92</v>
      </c>
      <c r="C201" s="25" t="s">
        <v>141</v>
      </c>
      <c r="D201" s="25" t="s">
        <v>28</v>
      </c>
      <c r="E201" s="25">
        <v>37</v>
      </c>
      <c r="F201" s="25" t="s">
        <v>54</v>
      </c>
      <c r="G201" s="25" t="s">
        <v>21</v>
      </c>
      <c r="H201" s="26">
        <v>45095</v>
      </c>
      <c r="I201" s="25">
        <v>45788</v>
      </c>
      <c r="J201" s="25" t="s">
        <v>81</v>
      </c>
      <c r="K201" s="25" t="s">
        <v>464</v>
      </c>
      <c r="L201" s="27" t="s">
        <v>39</v>
      </c>
      <c r="M201" s="28" t="str">
        <f>_xlfn.XLOOKUP(F201,Department!$A$2:$A$6,Department!$B$2:$B$6)</f>
        <v>Finance</v>
      </c>
      <c r="N201" s="30">
        <f>_xlfn.XLOOKUP(A201,Performance!$A$2:$A$501,Performance!$C$2:$C$501)</f>
        <v>1</v>
      </c>
      <c r="O201" s="28" cm="1">
        <f t="array" ref="O201">_xlfn.IFS(N201=5,I201*15%,N201=4,I201*10%,N201=3,I201*7%,N201&lt;3,I201*5%)</f>
        <v>2289.4</v>
      </c>
    </row>
    <row r="202" spans="1:15">
      <c r="A202" s="24" t="s">
        <v>465</v>
      </c>
      <c r="B202" s="25" t="s">
        <v>34</v>
      </c>
      <c r="C202" s="25" t="s">
        <v>27</v>
      </c>
      <c r="D202" s="25" t="s">
        <v>28</v>
      </c>
      <c r="E202" s="25">
        <v>28</v>
      </c>
      <c r="F202" s="25" t="s">
        <v>20</v>
      </c>
      <c r="G202" s="25" t="s">
        <v>36</v>
      </c>
      <c r="H202" s="26">
        <v>44674</v>
      </c>
      <c r="I202" s="25">
        <v>38862</v>
      </c>
      <c r="J202" s="25" t="s">
        <v>67</v>
      </c>
      <c r="K202" s="25" t="s">
        <v>466</v>
      </c>
      <c r="L202" s="27" t="s">
        <v>39</v>
      </c>
      <c r="M202" s="28" t="str">
        <f>_xlfn.XLOOKUP(F202,Department!$A$2:$A$6,Department!$B$2:$B$6)</f>
        <v>HR</v>
      </c>
      <c r="N202" s="30">
        <f>_xlfn.XLOOKUP(A202,Performance!$A$2:$A$501,Performance!$C$2:$C$501)</f>
        <v>3</v>
      </c>
      <c r="O202" s="28" cm="1">
        <f t="array" ref="O202">_xlfn.IFS(N202=5,I202*15%,N202=4,I202*10%,N202=3,I202*7%,N202&lt;3,I202*5%)</f>
        <v>2720.34</v>
      </c>
    </row>
    <row r="203" spans="1:15">
      <c r="A203" s="24" t="s">
        <v>467</v>
      </c>
      <c r="B203" s="25" t="s">
        <v>48</v>
      </c>
      <c r="C203" s="25" t="s">
        <v>141</v>
      </c>
      <c r="D203" s="25" t="s">
        <v>28</v>
      </c>
      <c r="E203" s="25">
        <v>48</v>
      </c>
      <c r="F203" s="25" t="s">
        <v>29</v>
      </c>
      <c r="G203" s="25" t="s">
        <v>44</v>
      </c>
      <c r="H203" s="26">
        <v>44394</v>
      </c>
      <c r="I203" s="25">
        <v>76132</v>
      </c>
      <c r="J203" s="25" t="s">
        <v>22</v>
      </c>
      <c r="K203" s="25" t="s">
        <v>468</v>
      </c>
      <c r="L203" s="27" t="s">
        <v>39</v>
      </c>
      <c r="M203" s="28" t="str">
        <f>_xlfn.XLOOKUP(F203,Department!$A$2:$A$6,Department!$B$2:$B$6)</f>
        <v>IT</v>
      </c>
      <c r="N203" s="30">
        <f>_xlfn.XLOOKUP(A203,Performance!$A$2:$A$501,Performance!$C$2:$C$501)</f>
        <v>2</v>
      </c>
      <c r="O203" s="28" cm="1">
        <f t="array" ref="O203">_xlfn.IFS(N203=5,I203*15%,N203=4,I203*10%,N203=3,I203*7%,N203&lt;3,I203*5%)</f>
        <v>3806.6000000000004</v>
      </c>
    </row>
    <row r="204" spans="1:15">
      <c r="A204" s="24" t="s">
        <v>469</v>
      </c>
      <c r="B204" s="25" t="s">
        <v>34</v>
      </c>
      <c r="C204" s="25" t="s">
        <v>80</v>
      </c>
      <c r="D204" s="25" t="s">
        <v>28</v>
      </c>
      <c r="E204" s="25">
        <v>49</v>
      </c>
      <c r="F204" s="25" t="s">
        <v>29</v>
      </c>
      <c r="G204" s="25" t="s">
        <v>21</v>
      </c>
      <c r="H204" s="26">
        <v>45032</v>
      </c>
      <c r="I204" s="25">
        <v>56773</v>
      </c>
      <c r="J204" s="25" t="s">
        <v>81</v>
      </c>
      <c r="K204" s="25" t="s">
        <v>470</v>
      </c>
      <c r="L204" s="27" t="s">
        <v>24</v>
      </c>
      <c r="M204" s="28" t="str">
        <f>_xlfn.XLOOKUP(F204,Department!$A$2:$A$6,Department!$B$2:$B$6)</f>
        <v>IT</v>
      </c>
      <c r="N204" s="30">
        <f>_xlfn.XLOOKUP(A204,Performance!$A$2:$A$501,Performance!$C$2:$C$501)</f>
        <v>2</v>
      </c>
      <c r="O204" s="28" cm="1">
        <f t="array" ref="O204">_xlfn.IFS(N204=5,I204*15%,N204=4,I204*10%,N204=3,I204*7%,N204&lt;3,I204*5%)</f>
        <v>2838.65</v>
      </c>
    </row>
    <row r="205" spans="1:15">
      <c r="A205" s="24" t="s">
        <v>471</v>
      </c>
      <c r="B205" s="25" t="s">
        <v>34</v>
      </c>
      <c r="C205" s="25" t="s">
        <v>27</v>
      </c>
      <c r="D205" s="25" t="s">
        <v>19</v>
      </c>
      <c r="E205" s="25">
        <v>25</v>
      </c>
      <c r="F205" s="25" t="s">
        <v>20</v>
      </c>
      <c r="G205" s="25" t="s">
        <v>44</v>
      </c>
      <c r="H205" s="26">
        <v>43515</v>
      </c>
      <c r="I205" s="25">
        <v>84117</v>
      </c>
      <c r="J205" s="25" t="s">
        <v>81</v>
      </c>
      <c r="K205" s="25" t="s">
        <v>472</v>
      </c>
      <c r="L205" s="27" t="s">
        <v>39</v>
      </c>
      <c r="M205" s="28" t="str">
        <f>_xlfn.XLOOKUP(F205,Department!$A$2:$A$6,Department!$B$2:$B$6)</f>
        <v>HR</v>
      </c>
      <c r="N205" s="30">
        <f>_xlfn.XLOOKUP(A205,Performance!$A$2:$A$501,Performance!$C$2:$C$501)</f>
        <v>4</v>
      </c>
      <c r="O205" s="28" cm="1">
        <f t="array" ref="O205">_xlfn.IFS(N205=5,I205*15%,N205=4,I205*10%,N205=3,I205*7%,N205&lt;3,I205*5%)</f>
        <v>8411.7000000000007</v>
      </c>
    </row>
    <row r="206" spans="1:15">
      <c r="A206" s="24" t="s">
        <v>473</v>
      </c>
      <c r="B206" s="25" t="s">
        <v>61</v>
      </c>
      <c r="C206" s="25" t="s">
        <v>49</v>
      </c>
      <c r="D206" s="25" t="s">
        <v>28</v>
      </c>
      <c r="E206" s="25">
        <v>41</v>
      </c>
      <c r="F206" s="25" t="s">
        <v>20</v>
      </c>
      <c r="G206" s="25" t="s">
        <v>30</v>
      </c>
      <c r="H206" s="26">
        <v>43405</v>
      </c>
      <c r="I206" s="25">
        <v>111999</v>
      </c>
      <c r="J206" s="25" t="s">
        <v>81</v>
      </c>
      <c r="K206" s="25" t="s">
        <v>474</v>
      </c>
      <c r="L206" s="27" t="s">
        <v>39</v>
      </c>
      <c r="M206" s="28" t="str">
        <f>_xlfn.XLOOKUP(F206,Department!$A$2:$A$6,Department!$B$2:$B$6)</f>
        <v>HR</v>
      </c>
      <c r="N206" s="30">
        <f>_xlfn.XLOOKUP(A206,Performance!$A$2:$A$501,Performance!$C$2:$C$501)</f>
        <v>4</v>
      </c>
      <c r="O206" s="28" cm="1">
        <f t="array" ref="O206">_xlfn.IFS(N206=5,I206*15%,N206=4,I206*10%,N206=3,I206*7%,N206&lt;3,I206*5%)</f>
        <v>11199.900000000001</v>
      </c>
    </row>
    <row r="207" spans="1:15">
      <c r="A207" s="24" t="s">
        <v>475</v>
      </c>
      <c r="B207" s="25" t="s">
        <v>17</v>
      </c>
      <c r="C207" s="25" t="s">
        <v>49</v>
      </c>
      <c r="D207" s="25" t="s">
        <v>19</v>
      </c>
      <c r="E207" s="25">
        <v>23</v>
      </c>
      <c r="F207" s="25" t="s">
        <v>20</v>
      </c>
      <c r="G207" s="25" t="s">
        <v>44</v>
      </c>
      <c r="H207" s="26">
        <v>43547</v>
      </c>
      <c r="I207" s="25">
        <v>93395</v>
      </c>
      <c r="J207" s="25" t="s">
        <v>67</v>
      </c>
      <c r="K207" s="25" t="s">
        <v>476</v>
      </c>
      <c r="L207" s="27" t="s">
        <v>24</v>
      </c>
      <c r="M207" s="28" t="str">
        <f>_xlfn.XLOOKUP(F207,Department!$A$2:$A$6,Department!$B$2:$B$6)</f>
        <v>HR</v>
      </c>
      <c r="N207" s="30">
        <f>_xlfn.XLOOKUP(A207,Performance!$A$2:$A$501,Performance!$C$2:$C$501)</f>
        <v>1</v>
      </c>
      <c r="O207" s="28" cm="1">
        <f t="array" ref="O207">_xlfn.IFS(N207=5,I207*15%,N207=4,I207*10%,N207=3,I207*7%,N207&lt;3,I207*5%)</f>
        <v>4669.75</v>
      </c>
    </row>
    <row r="208" spans="1:15">
      <c r="A208" s="24" t="s">
        <v>477</v>
      </c>
      <c r="B208" s="25" t="s">
        <v>17</v>
      </c>
      <c r="C208" s="25" t="s">
        <v>18</v>
      </c>
      <c r="D208" s="25" t="s">
        <v>19</v>
      </c>
      <c r="E208" s="25">
        <v>42</v>
      </c>
      <c r="F208" s="25" t="s">
        <v>35</v>
      </c>
      <c r="G208" s="25" t="s">
        <v>102</v>
      </c>
      <c r="H208" s="26">
        <v>44036</v>
      </c>
      <c r="I208" s="25">
        <v>91944</v>
      </c>
      <c r="J208" s="25" t="s">
        <v>62</v>
      </c>
      <c r="K208" s="25" t="s">
        <v>478</v>
      </c>
      <c r="L208" s="27" t="s">
        <v>24</v>
      </c>
      <c r="M208" s="28" t="str">
        <f>_xlfn.XLOOKUP(F208,Department!$A$2:$A$6,Department!$B$2:$B$6)</f>
        <v>Sales</v>
      </c>
      <c r="N208" s="30">
        <f>_xlfn.XLOOKUP(A208,Performance!$A$2:$A$501,Performance!$C$2:$C$501)</f>
        <v>3</v>
      </c>
      <c r="O208" s="28" cm="1">
        <f t="array" ref="O208">_xlfn.IFS(N208=5,I208*15%,N208=4,I208*10%,N208=3,I208*7%,N208&lt;3,I208*5%)</f>
        <v>6436.0800000000008</v>
      </c>
    </row>
    <row r="209" spans="1:15">
      <c r="A209" s="24" t="s">
        <v>479</v>
      </c>
      <c r="B209" s="25" t="s">
        <v>74</v>
      </c>
      <c r="C209" s="25" t="s">
        <v>66</v>
      </c>
      <c r="D209" s="25" t="s">
        <v>28</v>
      </c>
      <c r="E209" s="25">
        <v>33</v>
      </c>
      <c r="F209" s="25" t="s">
        <v>43</v>
      </c>
      <c r="G209" s="25" t="s">
        <v>44</v>
      </c>
      <c r="H209" s="26">
        <v>45224</v>
      </c>
      <c r="I209" s="25">
        <v>115357</v>
      </c>
      <c r="J209" s="25" t="s">
        <v>22</v>
      </c>
      <c r="K209" s="25" t="s">
        <v>480</v>
      </c>
      <c r="L209" s="27" t="s">
        <v>39</v>
      </c>
      <c r="M209" s="28" t="str">
        <f>_xlfn.XLOOKUP(F209,Department!$A$2:$A$6,Department!$B$2:$B$6)</f>
        <v>Marketing</v>
      </c>
      <c r="N209" s="30">
        <f>_xlfn.XLOOKUP(A209,Performance!$A$2:$A$501,Performance!$C$2:$C$501)</f>
        <v>3</v>
      </c>
      <c r="O209" s="28" cm="1">
        <f t="array" ref="O209">_xlfn.IFS(N209=5,I209*15%,N209=4,I209*10%,N209=3,I209*7%,N209&lt;3,I209*5%)</f>
        <v>8074.9900000000007</v>
      </c>
    </row>
    <row r="210" spans="1:15">
      <c r="A210" s="24" t="s">
        <v>481</v>
      </c>
      <c r="B210" s="25" t="s">
        <v>34</v>
      </c>
      <c r="C210" s="25" t="s">
        <v>18</v>
      </c>
      <c r="D210" s="25" t="s">
        <v>19</v>
      </c>
      <c r="E210" s="25">
        <v>40</v>
      </c>
      <c r="F210" s="25" t="s">
        <v>20</v>
      </c>
      <c r="G210" s="25" t="s">
        <v>102</v>
      </c>
      <c r="H210" s="26">
        <v>43247</v>
      </c>
      <c r="I210" s="25">
        <v>103876</v>
      </c>
      <c r="J210" s="25" t="s">
        <v>81</v>
      </c>
      <c r="K210" s="25" t="s">
        <v>482</v>
      </c>
      <c r="L210" s="27" t="s">
        <v>39</v>
      </c>
      <c r="M210" s="28" t="str">
        <f>_xlfn.XLOOKUP(F210,Department!$A$2:$A$6,Department!$B$2:$B$6)</f>
        <v>HR</v>
      </c>
      <c r="N210" s="30">
        <f>_xlfn.XLOOKUP(A210,Performance!$A$2:$A$501,Performance!$C$2:$C$501)</f>
        <v>2</v>
      </c>
      <c r="O210" s="28" cm="1">
        <f t="array" ref="O210">_xlfn.IFS(N210=5,I210*15%,N210=4,I210*10%,N210=3,I210*7%,N210&lt;3,I210*5%)</f>
        <v>5193.8</v>
      </c>
    </row>
    <row r="211" spans="1:15">
      <c r="A211" s="24" t="s">
        <v>483</v>
      </c>
      <c r="B211" s="25" t="s">
        <v>42</v>
      </c>
      <c r="C211" s="25" t="s">
        <v>141</v>
      </c>
      <c r="D211" s="25" t="s">
        <v>19</v>
      </c>
      <c r="E211" s="25">
        <v>42</v>
      </c>
      <c r="F211" s="25" t="s">
        <v>20</v>
      </c>
      <c r="G211" s="25" t="s">
        <v>102</v>
      </c>
      <c r="H211" s="26">
        <v>44642</v>
      </c>
      <c r="I211" s="25">
        <v>106174</v>
      </c>
      <c r="J211" s="25" t="s">
        <v>67</v>
      </c>
      <c r="K211" s="25" t="s">
        <v>484</v>
      </c>
      <c r="L211" s="27" t="s">
        <v>24</v>
      </c>
      <c r="M211" s="28" t="str">
        <f>_xlfn.XLOOKUP(F211,Department!$A$2:$A$6,Department!$B$2:$B$6)</f>
        <v>HR</v>
      </c>
      <c r="N211" s="30">
        <f>_xlfn.XLOOKUP(A211,Performance!$A$2:$A$501,Performance!$C$2:$C$501)</f>
        <v>5</v>
      </c>
      <c r="O211" s="28" cm="1">
        <f t="array" ref="O211">_xlfn.IFS(N211=5,I211*15%,N211=4,I211*10%,N211=3,I211*7%,N211&lt;3,I211*5%)</f>
        <v>15926.099999999999</v>
      </c>
    </row>
    <row r="212" spans="1:15">
      <c r="A212" s="24" t="s">
        <v>485</v>
      </c>
      <c r="B212" s="25" t="s">
        <v>92</v>
      </c>
      <c r="C212" s="25" t="s">
        <v>49</v>
      </c>
      <c r="D212" s="25" t="s">
        <v>19</v>
      </c>
      <c r="E212" s="25">
        <v>29</v>
      </c>
      <c r="F212" s="25" t="s">
        <v>35</v>
      </c>
      <c r="G212" s="25" t="s">
        <v>44</v>
      </c>
      <c r="H212" s="26">
        <v>43345</v>
      </c>
      <c r="I212" s="25">
        <v>80612</v>
      </c>
      <c r="J212" s="25" t="s">
        <v>67</v>
      </c>
      <c r="K212" s="25" t="s">
        <v>486</v>
      </c>
      <c r="L212" s="27" t="s">
        <v>24</v>
      </c>
      <c r="M212" s="28" t="str">
        <f>_xlfn.XLOOKUP(F212,Department!$A$2:$A$6,Department!$B$2:$B$6)</f>
        <v>Sales</v>
      </c>
      <c r="N212" s="30">
        <f>_xlfn.XLOOKUP(A212,Performance!$A$2:$A$501,Performance!$C$2:$C$501)</f>
        <v>1</v>
      </c>
      <c r="O212" s="28" cm="1">
        <f t="array" ref="O212">_xlfn.IFS(N212=5,I212*15%,N212=4,I212*10%,N212=3,I212*7%,N212&lt;3,I212*5%)</f>
        <v>4030.6000000000004</v>
      </c>
    </row>
    <row r="213" spans="1:15">
      <c r="A213" s="24" t="s">
        <v>487</v>
      </c>
      <c r="B213" s="25" t="s">
        <v>126</v>
      </c>
      <c r="C213" s="25" t="s">
        <v>27</v>
      </c>
      <c r="D213" s="25" t="s">
        <v>19</v>
      </c>
      <c r="E213" s="25">
        <v>55</v>
      </c>
      <c r="F213" s="25" t="s">
        <v>35</v>
      </c>
      <c r="G213" s="25" t="s">
        <v>44</v>
      </c>
      <c r="H213" s="26">
        <v>44342</v>
      </c>
      <c r="I213" s="25">
        <v>103478</v>
      </c>
      <c r="J213" s="25" t="s">
        <v>67</v>
      </c>
      <c r="K213" s="25" t="s">
        <v>488</v>
      </c>
      <c r="L213" s="27" t="s">
        <v>24</v>
      </c>
      <c r="M213" s="28" t="str">
        <f>_xlfn.XLOOKUP(F213,Department!$A$2:$A$6,Department!$B$2:$B$6)</f>
        <v>Sales</v>
      </c>
      <c r="N213" s="30">
        <f>_xlfn.XLOOKUP(A213,Performance!$A$2:$A$501,Performance!$C$2:$C$501)</f>
        <v>4</v>
      </c>
      <c r="O213" s="28" cm="1">
        <f t="array" ref="O213">_xlfn.IFS(N213=5,I213*15%,N213=4,I213*10%,N213=3,I213*7%,N213&lt;3,I213*5%)</f>
        <v>10347.800000000001</v>
      </c>
    </row>
    <row r="214" spans="1:15">
      <c r="A214" s="24" t="s">
        <v>489</v>
      </c>
      <c r="B214" s="25" t="s">
        <v>34</v>
      </c>
      <c r="C214" s="25" t="s">
        <v>80</v>
      </c>
      <c r="D214" s="25" t="s">
        <v>19</v>
      </c>
      <c r="E214" s="25">
        <v>59</v>
      </c>
      <c r="F214" s="25" t="s">
        <v>20</v>
      </c>
      <c r="G214" s="25" t="s">
        <v>36</v>
      </c>
      <c r="H214" s="26">
        <v>44130</v>
      </c>
      <c r="I214" s="25">
        <v>38205</v>
      </c>
      <c r="J214" s="25" t="s">
        <v>81</v>
      </c>
      <c r="K214" s="25" t="s">
        <v>490</v>
      </c>
      <c r="L214" s="27" t="s">
        <v>39</v>
      </c>
      <c r="M214" s="28" t="str">
        <f>_xlfn.XLOOKUP(F214,Department!$A$2:$A$6,Department!$B$2:$B$6)</f>
        <v>HR</v>
      </c>
      <c r="N214" s="30">
        <f>_xlfn.XLOOKUP(A214,Performance!$A$2:$A$501,Performance!$C$2:$C$501)</f>
        <v>3</v>
      </c>
      <c r="O214" s="28" cm="1">
        <f t="array" ref="O214">_xlfn.IFS(N214=5,I214*15%,N214=4,I214*10%,N214=3,I214*7%,N214&lt;3,I214*5%)</f>
        <v>2674.3500000000004</v>
      </c>
    </row>
    <row r="215" spans="1:15">
      <c r="A215" s="24" t="s">
        <v>491</v>
      </c>
      <c r="B215" s="25" t="s">
        <v>53</v>
      </c>
      <c r="C215" s="25" t="s">
        <v>117</v>
      </c>
      <c r="D215" s="25" t="s">
        <v>19</v>
      </c>
      <c r="E215" s="25">
        <v>46</v>
      </c>
      <c r="F215" s="25" t="s">
        <v>29</v>
      </c>
      <c r="G215" s="25" t="s">
        <v>102</v>
      </c>
      <c r="H215" s="26">
        <v>45273</v>
      </c>
      <c r="I215" s="25">
        <v>53141</v>
      </c>
      <c r="J215" s="25" t="s">
        <v>37</v>
      </c>
      <c r="K215" s="25" t="s">
        <v>492</v>
      </c>
      <c r="L215" s="27" t="s">
        <v>39</v>
      </c>
      <c r="M215" s="28" t="str">
        <f>_xlfn.XLOOKUP(F215,Department!$A$2:$A$6,Department!$B$2:$B$6)</f>
        <v>IT</v>
      </c>
      <c r="N215" s="30">
        <f>_xlfn.XLOOKUP(A215,Performance!$A$2:$A$501,Performance!$C$2:$C$501)</f>
        <v>3</v>
      </c>
      <c r="O215" s="28" cm="1">
        <f t="array" ref="O215">_xlfn.IFS(N215=5,I215*15%,N215=4,I215*10%,N215=3,I215*7%,N215&lt;3,I215*5%)</f>
        <v>3719.8700000000003</v>
      </c>
    </row>
    <row r="216" spans="1:15">
      <c r="A216" s="24" t="s">
        <v>493</v>
      </c>
      <c r="B216" s="25" t="s">
        <v>42</v>
      </c>
      <c r="C216" s="25" t="s">
        <v>66</v>
      </c>
      <c r="D216" s="25" t="s">
        <v>28</v>
      </c>
      <c r="E216" s="25">
        <v>27</v>
      </c>
      <c r="F216" s="25" t="s">
        <v>29</v>
      </c>
      <c r="G216" s="25" t="s">
        <v>102</v>
      </c>
      <c r="H216" s="26">
        <v>44396</v>
      </c>
      <c r="I216" s="25">
        <v>70180</v>
      </c>
      <c r="J216" s="25" t="s">
        <v>37</v>
      </c>
      <c r="K216" s="25" t="s">
        <v>494</v>
      </c>
      <c r="L216" s="27" t="s">
        <v>24</v>
      </c>
      <c r="M216" s="28" t="str">
        <f>_xlfn.XLOOKUP(F216,Department!$A$2:$A$6,Department!$B$2:$B$6)</f>
        <v>IT</v>
      </c>
      <c r="N216" s="30">
        <f>_xlfn.XLOOKUP(A216,Performance!$A$2:$A$501,Performance!$C$2:$C$501)</f>
        <v>5</v>
      </c>
      <c r="O216" s="28" cm="1">
        <f t="array" ref="O216">_xlfn.IFS(N216=5,I216*15%,N216=4,I216*10%,N216=3,I216*7%,N216&lt;3,I216*5%)</f>
        <v>10527</v>
      </c>
    </row>
    <row r="217" spans="1:15">
      <c r="A217" s="24" t="s">
        <v>495</v>
      </c>
      <c r="B217" s="25" t="s">
        <v>42</v>
      </c>
      <c r="C217" s="25" t="s">
        <v>49</v>
      </c>
      <c r="D217" s="25" t="s">
        <v>19</v>
      </c>
      <c r="E217" s="25">
        <v>29</v>
      </c>
      <c r="F217" s="25" t="s">
        <v>54</v>
      </c>
      <c r="G217" s="25" t="s">
        <v>30</v>
      </c>
      <c r="H217" s="26">
        <v>44878</v>
      </c>
      <c r="I217" s="25">
        <v>48946</v>
      </c>
      <c r="J217" s="25" t="s">
        <v>62</v>
      </c>
      <c r="K217" s="25" t="s">
        <v>496</v>
      </c>
      <c r="L217" s="27" t="s">
        <v>39</v>
      </c>
      <c r="M217" s="28" t="str">
        <f>_xlfn.XLOOKUP(F217,Department!$A$2:$A$6,Department!$B$2:$B$6)</f>
        <v>Finance</v>
      </c>
      <c r="N217" s="30">
        <f>_xlfn.XLOOKUP(A217,Performance!$A$2:$A$501,Performance!$C$2:$C$501)</f>
        <v>3</v>
      </c>
      <c r="O217" s="28" cm="1">
        <f t="array" ref="O217">_xlfn.IFS(N217=5,I217*15%,N217=4,I217*10%,N217=3,I217*7%,N217&lt;3,I217*5%)</f>
        <v>3426.2200000000003</v>
      </c>
    </row>
    <row r="218" spans="1:15">
      <c r="A218" s="24" t="s">
        <v>497</v>
      </c>
      <c r="B218" s="25" t="s">
        <v>92</v>
      </c>
      <c r="C218" s="25" t="s">
        <v>80</v>
      </c>
      <c r="D218" s="25" t="s">
        <v>28</v>
      </c>
      <c r="E218" s="25">
        <v>38</v>
      </c>
      <c r="F218" s="25" t="s">
        <v>35</v>
      </c>
      <c r="G218" s="25" t="s">
        <v>36</v>
      </c>
      <c r="H218" s="26">
        <v>43116</v>
      </c>
      <c r="I218" s="25">
        <v>107342</v>
      </c>
      <c r="J218" s="25" t="s">
        <v>81</v>
      </c>
      <c r="K218" s="25" t="s">
        <v>498</v>
      </c>
      <c r="L218" s="27" t="s">
        <v>24</v>
      </c>
      <c r="M218" s="28" t="str">
        <f>_xlfn.XLOOKUP(F218,Department!$A$2:$A$6,Department!$B$2:$B$6)</f>
        <v>Sales</v>
      </c>
      <c r="N218" s="30">
        <f>_xlfn.XLOOKUP(A218,Performance!$A$2:$A$501,Performance!$C$2:$C$501)</f>
        <v>1</v>
      </c>
      <c r="O218" s="28" cm="1">
        <f t="array" ref="O218">_xlfn.IFS(N218=5,I218*15%,N218=4,I218*10%,N218=3,I218*7%,N218&lt;3,I218*5%)</f>
        <v>5367.1</v>
      </c>
    </row>
    <row r="219" spans="1:15">
      <c r="A219" s="24" t="s">
        <v>499</v>
      </c>
      <c r="B219" s="25" t="s">
        <v>34</v>
      </c>
      <c r="C219" s="25" t="s">
        <v>117</v>
      </c>
      <c r="D219" s="25" t="s">
        <v>28</v>
      </c>
      <c r="E219" s="25">
        <v>58</v>
      </c>
      <c r="F219" s="25" t="s">
        <v>35</v>
      </c>
      <c r="G219" s="25" t="s">
        <v>102</v>
      </c>
      <c r="H219" s="26">
        <v>43654</v>
      </c>
      <c r="I219" s="25">
        <v>45973</v>
      </c>
      <c r="J219" s="25" t="s">
        <v>67</v>
      </c>
      <c r="K219" s="25" t="s">
        <v>500</v>
      </c>
      <c r="L219" s="27" t="s">
        <v>39</v>
      </c>
      <c r="M219" s="28" t="str">
        <f>_xlfn.XLOOKUP(F219,Department!$A$2:$A$6,Department!$B$2:$B$6)</f>
        <v>Sales</v>
      </c>
      <c r="N219" s="30">
        <f>_xlfn.XLOOKUP(A219,Performance!$A$2:$A$501,Performance!$C$2:$C$501)</f>
        <v>3</v>
      </c>
      <c r="O219" s="28" cm="1">
        <f t="array" ref="O219">_xlfn.IFS(N219=5,I219*15%,N219=4,I219*10%,N219=3,I219*7%,N219&lt;3,I219*5%)</f>
        <v>3218.11</v>
      </c>
    </row>
    <row r="220" spans="1:15">
      <c r="A220" s="24" t="s">
        <v>501</v>
      </c>
      <c r="B220" s="25" t="s">
        <v>42</v>
      </c>
      <c r="C220" s="25" t="s">
        <v>84</v>
      </c>
      <c r="D220" s="25" t="s">
        <v>19</v>
      </c>
      <c r="E220" s="25">
        <v>26</v>
      </c>
      <c r="F220" s="25" t="s">
        <v>43</v>
      </c>
      <c r="G220" s="25" t="s">
        <v>30</v>
      </c>
      <c r="H220" s="26">
        <v>43259</v>
      </c>
      <c r="I220" s="25">
        <v>49800</v>
      </c>
      <c r="J220" s="25" t="s">
        <v>62</v>
      </c>
      <c r="K220" s="25" t="s">
        <v>502</v>
      </c>
      <c r="L220" s="27" t="s">
        <v>39</v>
      </c>
      <c r="M220" s="28" t="str">
        <f>_xlfn.XLOOKUP(F220,Department!$A$2:$A$6,Department!$B$2:$B$6)</f>
        <v>Marketing</v>
      </c>
      <c r="N220" s="30">
        <f>_xlfn.XLOOKUP(A220,Performance!$A$2:$A$501,Performance!$C$2:$C$501)</f>
        <v>5</v>
      </c>
      <c r="O220" s="28" cm="1">
        <f t="array" ref="O220">_xlfn.IFS(N220=5,I220*15%,N220=4,I220*10%,N220=3,I220*7%,N220&lt;3,I220*5%)</f>
        <v>7470</v>
      </c>
    </row>
    <row r="221" spans="1:15">
      <c r="A221" s="24" t="s">
        <v>503</v>
      </c>
      <c r="B221" s="25" t="s">
        <v>126</v>
      </c>
      <c r="C221" s="25" t="s">
        <v>27</v>
      </c>
      <c r="D221" s="25" t="s">
        <v>28</v>
      </c>
      <c r="E221" s="25">
        <v>25</v>
      </c>
      <c r="F221" s="25" t="s">
        <v>54</v>
      </c>
      <c r="G221" s="25" t="s">
        <v>36</v>
      </c>
      <c r="H221" s="26">
        <v>43301</v>
      </c>
      <c r="I221" s="25">
        <v>39237</v>
      </c>
      <c r="J221" s="25" t="s">
        <v>37</v>
      </c>
      <c r="K221" s="25" t="s">
        <v>504</v>
      </c>
      <c r="L221" s="27" t="s">
        <v>39</v>
      </c>
      <c r="M221" s="28" t="str">
        <f>_xlfn.XLOOKUP(F221,Department!$A$2:$A$6,Department!$B$2:$B$6)</f>
        <v>Finance</v>
      </c>
      <c r="N221" s="30">
        <f>_xlfn.XLOOKUP(A221,Performance!$A$2:$A$501,Performance!$C$2:$C$501)</f>
        <v>2</v>
      </c>
      <c r="O221" s="28" cm="1">
        <f t="array" ref="O221">_xlfn.IFS(N221=5,I221*15%,N221=4,I221*10%,N221=3,I221*7%,N221&lt;3,I221*5%)</f>
        <v>1961.8500000000001</v>
      </c>
    </row>
    <row r="222" spans="1:15">
      <c r="A222" s="24" t="s">
        <v>505</v>
      </c>
      <c r="B222" s="25" t="s">
        <v>17</v>
      </c>
      <c r="C222" s="25" t="s">
        <v>89</v>
      </c>
      <c r="D222" s="25" t="s">
        <v>19</v>
      </c>
      <c r="E222" s="25">
        <v>54</v>
      </c>
      <c r="F222" s="25" t="s">
        <v>43</v>
      </c>
      <c r="G222" s="25" t="s">
        <v>36</v>
      </c>
      <c r="H222" s="26">
        <v>44828</v>
      </c>
      <c r="I222" s="25">
        <v>69777</v>
      </c>
      <c r="J222" s="25" t="s">
        <v>22</v>
      </c>
      <c r="K222" s="25" t="s">
        <v>506</v>
      </c>
      <c r="L222" s="27" t="s">
        <v>24</v>
      </c>
      <c r="M222" s="28" t="str">
        <f>_xlfn.XLOOKUP(F222,Department!$A$2:$A$6,Department!$B$2:$B$6)</f>
        <v>Marketing</v>
      </c>
      <c r="N222" s="30">
        <f>_xlfn.XLOOKUP(A222,Performance!$A$2:$A$501,Performance!$C$2:$C$501)</f>
        <v>5</v>
      </c>
      <c r="O222" s="28" cm="1">
        <f t="array" ref="O222">_xlfn.IFS(N222=5,I222*15%,N222=4,I222*10%,N222=3,I222*7%,N222&lt;3,I222*5%)</f>
        <v>10466.549999999999</v>
      </c>
    </row>
    <row r="223" spans="1:15">
      <c r="A223" s="24" t="s">
        <v>507</v>
      </c>
      <c r="B223" s="25" t="s">
        <v>17</v>
      </c>
      <c r="C223" s="25" t="s">
        <v>84</v>
      </c>
      <c r="D223" s="25" t="s">
        <v>28</v>
      </c>
      <c r="E223" s="25">
        <v>24</v>
      </c>
      <c r="F223" s="25" t="s">
        <v>54</v>
      </c>
      <c r="G223" s="25" t="s">
        <v>30</v>
      </c>
      <c r="H223" s="26">
        <v>44783</v>
      </c>
      <c r="I223" s="25">
        <v>45012</v>
      </c>
      <c r="J223" s="25" t="s">
        <v>37</v>
      </c>
      <c r="K223" s="25" t="s">
        <v>508</v>
      </c>
      <c r="L223" s="27" t="s">
        <v>39</v>
      </c>
      <c r="M223" s="28" t="str">
        <f>_xlfn.XLOOKUP(F223,Department!$A$2:$A$6,Department!$B$2:$B$6)</f>
        <v>Finance</v>
      </c>
      <c r="N223" s="30">
        <f>_xlfn.XLOOKUP(A223,Performance!$A$2:$A$501,Performance!$C$2:$C$501)</f>
        <v>5</v>
      </c>
      <c r="O223" s="28" cm="1">
        <f t="array" ref="O223">_xlfn.IFS(N223=5,I223*15%,N223=4,I223*10%,N223=3,I223*7%,N223&lt;3,I223*5%)</f>
        <v>6751.8</v>
      </c>
    </row>
    <row r="224" spans="1:15">
      <c r="A224" s="24" t="s">
        <v>509</v>
      </c>
      <c r="B224" s="25" t="s">
        <v>61</v>
      </c>
      <c r="C224" s="25" t="s">
        <v>49</v>
      </c>
      <c r="D224" s="25" t="s">
        <v>28</v>
      </c>
      <c r="E224" s="25">
        <v>56</v>
      </c>
      <c r="F224" s="25" t="s">
        <v>54</v>
      </c>
      <c r="G224" s="25" t="s">
        <v>30</v>
      </c>
      <c r="H224" s="26">
        <v>43220</v>
      </c>
      <c r="I224" s="25">
        <v>99157</v>
      </c>
      <c r="J224" s="25" t="s">
        <v>62</v>
      </c>
      <c r="K224" s="25" t="s">
        <v>510</v>
      </c>
      <c r="L224" s="27" t="s">
        <v>39</v>
      </c>
      <c r="M224" s="28" t="str">
        <f>_xlfn.XLOOKUP(F224,Department!$A$2:$A$6,Department!$B$2:$B$6)</f>
        <v>Finance</v>
      </c>
      <c r="N224" s="30">
        <f>_xlfn.XLOOKUP(A224,Performance!$A$2:$A$501,Performance!$C$2:$C$501)</f>
        <v>5</v>
      </c>
      <c r="O224" s="28" cm="1">
        <f t="array" ref="O224">_xlfn.IFS(N224=5,I224*15%,N224=4,I224*10%,N224=3,I224*7%,N224&lt;3,I224*5%)</f>
        <v>14873.55</v>
      </c>
    </row>
    <row r="225" spans="1:15">
      <c r="A225" s="24" t="s">
        <v>511</v>
      </c>
      <c r="B225" s="25" t="s">
        <v>61</v>
      </c>
      <c r="C225" s="25" t="s">
        <v>141</v>
      </c>
      <c r="D225" s="25" t="s">
        <v>28</v>
      </c>
      <c r="E225" s="25">
        <v>42</v>
      </c>
      <c r="F225" s="25" t="s">
        <v>43</v>
      </c>
      <c r="G225" s="25" t="s">
        <v>44</v>
      </c>
      <c r="H225" s="26">
        <v>44012</v>
      </c>
      <c r="I225" s="25">
        <v>81470</v>
      </c>
      <c r="J225" s="25" t="s">
        <v>37</v>
      </c>
      <c r="K225" s="25" t="s">
        <v>512</v>
      </c>
      <c r="L225" s="27" t="s">
        <v>24</v>
      </c>
      <c r="M225" s="28" t="str">
        <f>_xlfn.XLOOKUP(F225,Department!$A$2:$A$6,Department!$B$2:$B$6)</f>
        <v>Marketing</v>
      </c>
      <c r="N225" s="30">
        <f>_xlfn.XLOOKUP(A225,Performance!$A$2:$A$501,Performance!$C$2:$C$501)</f>
        <v>1</v>
      </c>
      <c r="O225" s="28" cm="1">
        <f t="array" ref="O225">_xlfn.IFS(N225=5,I225*15%,N225=4,I225*10%,N225=3,I225*7%,N225&lt;3,I225*5%)</f>
        <v>4073.5</v>
      </c>
    </row>
    <row r="226" spans="1:15">
      <c r="A226" s="24" t="s">
        <v>513</v>
      </c>
      <c r="B226" s="25" t="s">
        <v>42</v>
      </c>
      <c r="C226" s="25" t="s">
        <v>84</v>
      </c>
      <c r="D226" s="25" t="s">
        <v>28</v>
      </c>
      <c r="E226" s="25">
        <v>23</v>
      </c>
      <c r="F226" s="25" t="s">
        <v>35</v>
      </c>
      <c r="G226" s="25" t="s">
        <v>44</v>
      </c>
      <c r="H226" s="26">
        <v>45450</v>
      </c>
      <c r="I226" s="25">
        <v>98738</v>
      </c>
      <c r="J226" s="25" t="s">
        <v>67</v>
      </c>
      <c r="K226" s="25" t="s">
        <v>514</v>
      </c>
      <c r="L226" s="27" t="s">
        <v>39</v>
      </c>
      <c r="M226" s="28" t="str">
        <f>_xlfn.XLOOKUP(F226,Department!$A$2:$A$6,Department!$B$2:$B$6)</f>
        <v>Sales</v>
      </c>
      <c r="N226" s="30">
        <f>_xlfn.XLOOKUP(A226,Performance!$A$2:$A$501,Performance!$C$2:$C$501)</f>
        <v>5</v>
      </c>
      <c r="O226" s="28" cm="1">
        <f t="array" ref="O226">_xlfn.IFS(N226=5,I226*15%,N226=4,I226*10%,N226=3,I226*7%,N226&lt;3,I226*5%)</f>
        <v>14810.699999999999</v>
      </c>
    </row>
    <row r="227" spans="1:15">
      <c r="A227" s="24" t="s">
        <v>515</v>
      </c>
      <c r="B227" s="25" t="s">
        <v>34</v>
      </c>
      <c r="C227" s="25" t="s">
        <v>49</v>
      </c>
      <c r="D227" s="25" t="s">
        <v>19</v>
      </c>
      <c r="E227" s="25">
        <v>45</v>
      </c>
      <c r="F227" s="25" t="s">
        <v>29</v>
      </c>
      <c r="G227" s="25" t="s">
        <v>36</v>
      </c>
      <c r="H227" s="26">
        <v>44423</v>
      </c>
      <c r="I227" s="25">
        <v>69768</v>
      </c>
      <c r="J227" s="25" t="s">
        <v>22</v>
      </c>
      <c r="K227" s="25" t="s">
        <v>516</v>
      </c>
      <c r="L227" s="27" t="s">
        <v>39</v>
      </c>
      <c r="M227" s="28" t="str">
        <f>_xlfn.XLOOKUP(F227,Department!$A$2:$A$6,Department!$B$2:$B$6)</f>
        <v>IT</v>
      </c>
      <c r="N227" s="30">
        <f>_xlfn.XLOOKUP(A227,Performance!$A$2:$A$501,Performance!$C$2:$C$501)</f>
        <v>2</v>
      </c>
      <c r="O227" s="28" cm="1">
        <f t="array" ref="O227">_xlfn.IFS(N227=5,I227*15%,N227=4,I227*10%,N227=3,I227*7%,N227&lt;3,I227*5%)</f>
        <v>3488.4</v>
      </c>
    </row>
    <row r="228" spans="1:15">
      <c r="A228" s="24" t="s">
        <v>517</v>
      </c>
      <c r="B228" s="25" t="s">
        <v>92</v>
      </c>
      <c r="C228" s="25" t="s">
        <v>80</v>
      </c>
      <c r="D228" s="25" t="s">
        <v>28</v>
      </c>
      <c r="E228" s="25">
        <v>47</v>
      </c>
      <c r="F228" s="25" t="s">
        <v>43</v>
      </c>
      <c r="G228" s="25" t="s">
        <v>36</v>
      </c>
      <c r="H228" s="26">
        <v>44063</v>
      </c>
      <c r="I228" s="25">
        <v>78816</v>
      </c>
      <c r="J228" s="25" t="s">
        <v>37</v>
      </c>
      <c r="K228" s="25" t="s">
        <v>518</v>
      </c>
      <c r="L228" s="27" t="s">
        <v>39</v>
      </c>
      <c r="M228" s="28" t="str">
        <f>_xlfn.XLOOKUP(F228,Department!$A$2:$A$6,Department!$B$2:$B$6)</f>
        <v>Marketing</v>
      </c>
      <c r="N228" s="30">
        <f>_xlfn.XLOOKUP(A228,Performance!$A$2:$A$501,Performance!$C$2:$C$501)</f>
        <v>4</v>
      </c>
      <c r="O228" s="28" cm="1">
        <f t="array" ref="O228">_xlfn.IFS(N228=5,I228*15%,N228=4,I228*10%,N228=3,I228*7%,N228&lt;3,I228*5%)</f>
        <v>7881.6</v>
      </c>
    </row>
    <row r="229" spans="1:15">
      <c r="A229" s="24" t="s">
        <v>519</v>
      </c>
      <c r="B229" s="25" t="s">
        <v>126</v>
      </c>
      <c r="C229" s="25" t="s">
        <v>141</v>
      </c>
      <c r="D229" s="25" t="s">
        <v>28</v>
      </c>
      <c r="E229" s="25">
        <v>30</v>
      </c>
      <c r="F229" s="25" t="s">
        <v>35</v>
      </c>
      <c r="G229" s="25" t="s">
        <v>102</v>
      </c>
      <c r="H229" s="26">
        <v>43540</v>
      </c>
      <c r="I229" s="25">
        <v>39186</v>
      </c>
      <c r="J229" s="25" t="s">
        <v>22</v>
      </c>
      <c r="K229" s="25" t="s">
        <v>520</v>
      </c>
      <c r="L229" s="27" t="s">
        <v>24</v>
      </c>
      <c r="M229" s="28" t="str">
        <f>_xlfn.XLOOKUP(F229,Department!$A$2:$A$6,Department!$B$2:$B$6)</f>
        <v>Sales</v>
      </c>
      <c r="N229" s="30">
        <f>_xlfn.XLOOKUP(A229,Performance!$A$2:$A$501,Performance!$C$2:$C$501)</f>
        <v>5</v>
      </c>
      <c r="O229" s="28" cm="1">
        <f t="array" ref="O229">_xlfn.IFS(N229=5,I229*15%,N229=4,I229*10%,N229=3,I229*7%,N229&lt;3,I229*5%)</f>
        <v>5877.9</v>
      </c>
    </row>
    <row r="230" spans="1:15">
      <c r="A230" s="24" t="s">
        <v>521</v>
      </c>
      <c r="B230" s="25" t="s">
        <v>48</v>
      </c>
      <c r="C230" s="25" t="s">
        <v>141</v>
      </c>
      <c r="D230" s="25" t="s">
        <v>19</v>
      </c>
      <c r="E230" s="25">
        <v>57</v>
      </c>
      <c r="F230" s="25" t="s">
        <v>20</v>
      </c>
      <c r="G230" s="25" t="s">
        <v>44</v>
      </c>
      <c r="H230" s="26">
        <v>44082</v>
      </c>
      <c r="I230" s="25">
        <v>90363</v>
      </c>
      <c r="J230" s="25" t="s">
        <v>62</v>
      </c>
      <c r="K230" s="25" t="s">
        <v>522</v>
      </c>
      <c r="L230" s="27" t="s">
        <v>39</v>
      </c>
      <c r="M230" s="28" t="str">
        <f>_xlfn.XLOOKUP(F230,Department!$A$2:$A$6,Department!$B$2:$B$6)</f>
        <v>HR</v>
      </c>
      <c r="N230" s="30">
        <f>_xlfn.XLOOKUP(A230,Performance!$A$2:$A$501,Performance!$C$2:$C$501)</f>
        <v>4</v>
      </c>
      <c r="O230" s="28" cm="1">
        <f t="array" ref="O230">_xlfn.IFS(N230=5,I230*15%,N230=4,I230*10%,N230=3,I230*7%,N230&lt;3,I230*5%)</f>
        <v>9036.3000000000011</v>
      </c>
    </row>
    <row r="231" spans="1:15">
      <c r="A231" s="24" t="s">
        <v>523</v>
      </c>
      <c r="B231" s="25" t="s">
        <v>42</v>
      </c>
      <c r="C231" s="25" t="s">
        <v>80</v>
      </c>
      <c r="D231" s="25" t="s">
        <v>19</v>
      </c>
      <c r="E231" s="25">
        <v>56</v>
      </c>
      <c r="F231" s="25" t="s">
        <v>20</v>
      </c>
      <c r="G231" s="25" t="s">
        <v>30</v>
      </c>
      <c r="H231" s="26">
        <v>43282</v>
      </c>
      <c r="I231" s="25">
        <v>86374</v>
      </c>
      <c r="J231" s="25" t="s">
        <v>22</v>
      </c>
      <c r="K231" s="25" t="s">
        <v>524</v>
      </c>
      <c r="L231" s="27" t="s">
        <v>39</v>
      </c>
      <c r="M231" s="28" t="str">
        <f>_xlfn.XLOOKUP(F231,Department!$A$2:$A$6,Department!$B$2:$B$6)</f>
        <v>HR</v>
      </c>
      <c r="N231" s="30">
        <f>_xlfn.XLOOKUP(A231,Performance!$A$2:$A$501,Performance!$C$2:$C$501)</f>
        <v>5</v>
      </c>
      <c r="O231" s="28" cm="1">
        <f t="array" ref="O231">_xlfn.IFS(N231=5,I231*15%,N231=4,I231*10%,N231=3,I231*7%,N231&lt;3,I231*5%)</f>
        <v>12956.1</v>
      </c>
    </row>
    <row r="232" spans="1:15">
      <c r="A232" s="24" t="s">
        <v>525</v>
      </c>
      <c r="B232" s="25" t="s">
        <v>92</v>
      </c>
      <c r="C232" s="25" t="s">
        <v>27</v>
      </c>
      <c r="D232" s="25" t="s">
        <v>19</v>
      </c>
      <c r="E232" s="25">
        <v>28</v>
      </c>
      <c r="F232" s="25" t="s">
        <v>29</v>
      </c>
      <c r="G232" s="25" t="s">
        <v>102</v>
      </c>
      <c r="H232" s="26">
        <v>43334</v>
      </c>
      <c r="I232" s="25">
        <v>51057</v>
      </c>
      <c r="J232" s="25" t="s">
        <v>37</v>
      </c>
      <c r="K232" s="25" t="s">
        <v>526</v>
      </c>
      <c r="L232" s="27" t="s">
        <v>24</v>
      </c>
      <c r="M232" s="28" t="str">
        <f>_xlfn.XLOOKUP(F232,Department!$A$2:$A$6,Department!$B$2:$B$6)</f>
        <v>IT</v>
      </c>
      <c r="N232" s="30">
        <f>_xlfn.XLOOKUP(A232,Performance!$A$2:$A$501,Performance!$C$2:$C$501)</f>
        <v>2</v>
      </c>
      <c r="O232" s="28" cm="1">
        <f t="array" ref="O232">_xlfn.IFS(N232=5,I232*15%,N232=4,I232*10%,N232=3,I232*7%,N232&lt;3,I232*5%)</f>
        <v>2552.8500000000004</v>
      </c>
    </row>
    <row r="233" spans="1:15">
      <c r="A233" s="24" t="s">
        <v>527</v>
      </c>
      <c r="B233" s="25" t="s">
        <v>17</v>
      </c>
      <c r="C233" s="25" t="s">
        <v>84</v>
      </c>
      <c r="D233" s="25" t="s">
        <v>19</v>
      </c>
      <c r="E233" s="25">
        <v>55</v>
      </c>
      <c r="F233" s="25" t="s">
        <v>54</v>
      </c>
      <c r="G233" s="25" t="s">
        <v>21</v>
      </c>
      <c r="H233" s="26">
        <v>44521</v>
      </c>
      <c r="I233" s="25">
        <v>94146</v>
      </c>
      <c r="J233" s="25" t="s">
        <v>62</v>
      </c>
      <c r="K233" s="25" t="s">
        <v>528</v>
      </c>
      <c r="L233" s="27" t="s">
        <v>39</v>
      </c>
      <c r="M233" s="28" t="str">
        <f>_xlfn.XLOOKUP(F233,Department!$A$2:$A$6,Department!$B$2:$B$6)</f>
        <v>Finance</v>
      </c>
      <c r="N233" s="30">
        <f>_xlfn.XLOOKUP(A233,Performance!$A$2:$A$501,Performance!$C$2:$C$501)</f>
        <v>2</v>
      </c>
      <c r="O233" s="28" cm="1">
        <f t="array" ref="O233">_xlfn.IFS(N233=5,I233*15%,N233=4,I233*10%,N233=3,I233*7%,N233&lt;3,I233*5%)</f>
        <v>4707.3</v>
      </c>
    </row>
    <row r="234" spans="1:15">
      <c r="A234" s="24" t="s">
        <v>529</v>
      </c>
      <c r="B234" s="25" t="s">
        <v>42</v>
      </c>
      <c r="C234" s="25" t="s">
        <v>18</v>
      </c>
      <c r="D234" s="25" t="s">
        <v>28</v>
      </c>
      <c r="E234" s="25">
        <v>33</v>
      </c>
      <c r="F234" s="25" t="s">
        <v>54</v>
      </c>
      <c r="G234" s="25" t="s">
        <v>102</v>
      </c>
      <c r="H234" s="26">
        <v>45289</v>
      </c>
      <c r="I234" s="25">
        <v>102836</v>
      </c>
      <c r="J234" s="25" t="s">
        <v>62</v>
      </c>
      <c r="K234" s="25" t="s">
        <v>530</v>
      </c>
      <c r="L234" s="27" t="s">
        <v>24</v>
      </c>
      <c r="M234" s="28" t="str">
        <f>_xlfn.XLOOKUP(F234,Department!$A$2:$A$6,Department!$B$2:$B$6)</f>
        <v>Finance</v>
      </c>
      <c r="N234" s="30">
        <f>_xlfn.XLOOKUP(A234,Performance!$A$2:$A$501,Performance!$C$2:$C$501)</f>
        <v>2</v>
      </c>
      <c r="O234" s="28" cm="1">
        <f t="array" ref="O234">_xlfn.IFS(N234=5,I234*15%,N234=4,I234*10%,N234=3,I234*7%,N234&lt;3,I234*5%)</f>
        <v>5141.8</v>
      </c>
    </row>
    <row r="235" spans="1:15">
      <c r="A235" s="24" t="s">
        <v>531</v>
      </c>
      <c r="B235" s="25" t="s">
        <v>92</v>
      </c>
      <c r="C235" s="25" t="s">
        <v>27</v>
      </c>
      <c r="D235" s="25" t="s">
        <v>28</v>
      </c>
      <c r="E235" s="25">
        <v>28</v>
      </c>
      <c r="F235" s="25" t="s">
        <v>54</v>
      </c>
      <c r="G235" s="25" t="s">
        <v>30</v>
      </c>
      <c r="H235" s="26">
        <v>44213</v>
      </c>
      <c r="I235" s="25">
        <v>56052</v>
      </c>
      <c r="J235" s="25" t="s">
        <v>67</v>
      </c>
      <c r="K235" s="25" t="s">
        <v>532</v>
      </c>
      <c r="L235" s="27" t="s">
        <v>39</v>
      </c>
      <c r="M235" s="28" t="str">
        <f>_xlfn.XLOOKUP(F235,Department!$A$2:$A$6,Department!$B$2:$B$6)</f>
        <v>Finance</v>
      </c>
      <c r="N235" s="30">
        <f>_xlfn.XLOOKUP(A235,Performance!$A$2:$A$501,Performance!$C$2:$C$501)</f>
        <v>4</v>
      </c>
      <c r="O235" s="28" cm="1">
        <f t="array" ref="O235">_xlfn.IFS(N235=5,I235*15%,N235=4,I235*10%,N235=3,I235*7%,N235&lt;3,I235*5%)</f>
        <v>5605.2000000000007</v>
      </c>
    </row>
    <row r="236" spans="1:15">
      <c r="A236" s="24" t="s">
        <v>533</v>
      </c>
      <c r="B236" s="25" t="s">
        <v>48</v>
      </c>
      <c r="C236" s="25" t="s">
        <v>49</v>
      </c>
      <c r="D236" s="25" t="s">
        <v>19</v>
      </c>
      <c r="E236" s="25">
        <v>56</v>
      </c>
      <c r="F236" s="25" t="s">
        <v>29</v>
      </c>
      <c r="G236" s="25" t="s">
        <v>102</v>
      </c>
      <c r="H236" s="26">
        <v>44202</v>
      </c>
      <c r="I236" s="25">
        <v>106491</v>
      </c>
      <c r="J236" s="25" t="s">
        <v>22</v>
      </c>
      <c r="K236" s="25" t="s">
        <v>534</v>
      </c>
      <c r="L236" s="27" t="s">
        <v>39</v>
      </c>
      <c r="M236" s="28" t="str">
        <f>_xlfn.XLOOKUP(F236,Department!$A$2:$A$6,Department!$B$2:$B$6)</f>
        <v>IT</v>
      </c>
      <c r="N236" s="30">
        <f>_xlfn.XLOOKUP(A236,Performance!$A$2:$A$501,Performance!$C$2:$C$501)</f>
        <v>5</v>
      </c>
      <c r="O236" s="28" cm="1">
        <f t="array" ref="O236">_xlfn.IFS(N236=5,I236*15%,N236=4,I236*10%,N236=3,I236*7%,N236&lt;3,I236*5%)</f>
        <v>15973.65</v>
      </c>
    </row>
    <row r="237" spans="1:15">
      <c r="A237" s="24" t="s">
        <v>535</v>
      </c>
      <c r="B237" s="25" t="s">
        <v>61</v>
      </c>
      <c r="C237" s="25" t="s">
        <v>141</v>
      </c>
      <c r="D237" s="25" t="s">
        <v>28</v>
      </c>
      <c r="E237" s="25">
        <v>48</v>
      </c>
      <c r="F237" s="25" t="s">
        <v>35</v>
      </c>
      <c r="G237" s="25" t="s">
        <v>102</v>
      </c>
      <c r="H237" s="26">
        <v>44348</v>
      </c>
      <c r="I237" s="25">
        <v>36633</v>
      </c>
      <c r="J237" s="25" t="s">
        <v>62</v>
      </c>
      <c r="K237" s="25" t="s">
        <v>536</v>
      </c>
      <c r="L237" s="27" t="s">
        <v>39</v>
      </c>
      <c r="M237" s="28" t="str">
        <f>_xlfn.XLOOKUP(F237,Department!$A$2:$A$6,Department!$B$2:$B$6)</f>
        <v>Sales</v>
      </c>
      <c r="N237" s="30">
        <f>_xlfn.XLOOKUP(A237,Performance!$A$2:$A$501,Performance!$C$2:$C$501)</f>
        <v>4</v>
      </c>
      <c r="O237" s="28" cm="1">
        <f t="array" ref="O237">_xlfn.IFS(N237=5,I237*15%,N237=4,I237*10%,N237=3,I237*7%,N237&lt;3,I237*5%)</f>
        <v>3663.3</v>
      </c>
    </row>
    <row r="238" spans="1:15">
      <c r="A238" s="24" t="s">
        <v>537</v>
      </c>
      <c r="B238" s="25" t="s">
        <v>34</v>
      </c>
      <c r="C238" s="25" t="s">
        <v>49</v>
      </c>
      <c r="D238" s="25" t="s">
        <v>19</v>
      </c>
      <c r="E238" s="25">
        <v>50</v>
      </c>
      <c r="F238" s="25" t="s">
        <v>29</v>
      </c>
      <c r="G238" s="25" t="s">
        <v>30</v>
      </c>
      <c r="H238" s="26">
        <v>44632</v>
      </c>
      <c r="I238" s="25">
        <v>109744</v>
      </c>
      <c r="J238" s="25" t="s">
        <v>22</v>
      </c>
      <c r="K238" s="25" t="s">
        <v>538</v>
      </c>
      <c r="L238" s="27" t="s">
        <v>39</v>
      </c>
      <c r="M238" s="28" t="str">
        <f>_xlfn.XLOOKUP(F238,Department!$A$2:$A$6,Department!$B$2:$B$6)</f>
        <v>IT</v>
      </c>
      <c r="N238" s="30">
        <f>_xlfn.XLOOKUP(A238,Performance!$A$2:$A$501,Performance!$C$2:$C$501)</f>
        <v>4</v>
      </c>
      <c r="O238" s="28" cm="1">
        <f t="array" ref="O238">_xlfn.IFS(N238=5,I238*15%,N238=4,I238*10%,N238=3,I238*7%,N238&lt;3,I238*5%)</f>
        <v>10974.400000000001</v>
      </c>
    </row>
    <row r="239" spans="1:15">
      <c r="A239" s="24" t="s">
        <v>539</v>
      </c>
      <c r="B239" s="25" t="s">
        <v>17</v>
      </c>
      <c r="C239" s="25" t="s">
        <v>141</v>
      </c>
      <c r="D239" s="25" t="s">
        <v>19</v>
      </c>
      <c r="E239" s="25">
        <v>57</v>
      </c>
      <c r="F239" s="25" t="s">
        <v>35</v>
      </c>
      <c r="G239" s="25" t="s">
        <v>44</v>
      </c>
      <c r="H239" s="26">
        <v>44680</v>
      </c>
      <c r="I239" s="25">
        <v>44217</v>
      </c>
      <c r="J239" s="25" t="s">
        <v>22</v>
      </c>
      <c r="K239" s="25" t="s">
        <v>540</v>
      </c>
      <c r="L239" s="27" t="s">
        <v>39</v>
      </c>
      <c r="M239" s="28" t="str">
        <f>_xlfn.XLOOKUP(F239,Department!$A$2:$A$6,Department!$B$2:$B$6)</f>
        <v>Sales</v>
      </c>
      <c r="N239" s="30">
        <f>_xlfn.XLOOKUP(A239,Performance!$A$2:$A$501,Performance!$C$2:$C$501)</f>
        <v>4</v>
      </c>
      <c r="O239" s="28" cm="1">
        <f t="array" ref="O239">_xlfn.IFS(N239=5,I239*15%,N239=4,I239*10%,N239=3,I239*7%,N239&lt;3,I239*5%)</f>
        <v>4421.7</v>
      </c>
    </row>
    <row r="240" spans="1:15">
      <c r="A240" s="24" t="s">
        <v>541</v>
      </c>
      <c r="B240" s="25" t="s">
        <v>126</v>
      </c>
      <c r="C240" s="25" t="s">
        <v>89</v>
      </c>
      <c r="D240" s="25" t="s">
        <v>28</v>
      </c>
      <c r="E240" s="25">
        <v>28</v>
      </c>
      <c r="F240" s="25" t="s">
        <v>54</v>
      </c>
      <c r="G240" s="25" t="s">
        <v>21</v>
      </c>
      <c r="H240" s="26">
        <v>44724</v>
      </c>
      <c r="I240" s="25">
        <v>40758</v>
      </c>
      <c r="J240" s="25" t="s">
        <v>81</v>
      </c>
      <c r="K240" s="25" t="s">
        <v>542</v>
      </c>
      <c r="L240" s="27" t="s">
        <v>24</v>
      </c>
      <c r="M240" s="28" t="str">
        <f>_xlfn.XLOOKUP(F240,Department!$A$2:$A$6,Department!$B$2:$B$6)</f>
        <v>Finance</v>
      </c>
      <c r="N240" s="30">
        <f>_xlfn.XLOOKUP(A240,Performance!$A$2:$A$501,Performance!$C$2:$C$501)</f>
        <v>2</v>
      </c>
      <c r="O240" s="28" cm="1">
        <f t="array" ref="O240">_xlfn.IFS(N240=5,I240*15%,N240=4,I240*10%,N240=3,I240*7%,N240&lt;3,I240*5%)</f>
        <v>2037.9</v>
      </c>
    </row>
    <row r="241" spans="1:15">
      <c r="A241" s="24" t="s">
        <v>543</v>
      </c>
      <c r="B241" s="25" t="s">
        <v>34</v>
      </c>
      <c r="C241" s="25" t="s">
        <v>93</v>
      </c>
      <c r="D241" s="25" t="s">
        <v>19</v>
      </c>
      <c r="E241" s="25">
        <v>59</v>
      </c>
      <c r="F241" s="25" t="s">
        <v>54</v>
      </c>
      <c r="G241" s="25" t="s">
        <v>44</v>
      </c>
      <c r="H241" s="26">
        <v>45023</v>
      </c>
      <c r="I241" s="25">
        <v>49878</v>
      </c>
      <c r="J241" s="25" t="s">
        <v>67</v>
      </c>
      <c r="K241" s="25" t="s">
        <v>544</v>
      </c>
      <c r="L241" s="27" t="s">
        <v>24</v>
      </c>
      <c r="M241" s="28" t="str">
        <f>_xlfn.XLOOKUP(F241,Department!$A$2:$A$6,Department!$B$2:$B$6)</f>
        <v>Finance</v>
      </c>
      <c r="N241" s="30">
        <f>_xlfn.XLOOKUP(A241,Performance!$A$2:$A$501,Performance!$C$2:$C$501)</f>
        <v>2</v>
      </c>
      <c r="O241" s="28" cm="1">
        <f t="array" ref="O241">_xlfn.IFS(N241=5,I241*15%,N241=4,I241*10%,N241=3,I241*7%,N241&lt;3,I241*5%)</f>
        <v>2493.9</v>
      </c>
    </row>
    <row r="242" spans="1:15">
      <c r="A242" s="24" t="s">
        <v>545</v>
      </c>
      <c r="B242" s="25" t="s">
        <v>58</v>
      </c>
      <c r="C242" s="25" t="s">
        <v>117</v>
      </c>
      <c r="D242" s="25" t="s">
        <v>19</v>
      </c>
      <c r="E242" s="25">
        <v>48</v>
      </c>
      <c r="F242" s="25" t="s">
        <v>35</v>
      </c>
      <c r="G242" s="25" t="s">
        <v>102</v>
      </c>
      <c r="H242" s="26">
        <v>45115</v>
      </c>
      <c r="I242" s="25">
        <v>95831</v>
      </c>
      <c r="J242" s="25" t="s">
        <v>62</v>
      </c>
      <c r="K242" s="25" t="s">
        <v>546</v>
      </c>
      <c r="L242" s="27" t="s">
        <v>39</v>
      </c>
      <c r="M242" s="28" t="str">
        <f>_xlfn.XLOOKUP(F242,Department!$A$2:$A$6,Department!$B$2:$B$6)</f>
        <v>Sales</v>
      </c>
      <c r="N242" s="30">
        <f>_xlfn.XLOOKUP(A242,Performance!$A$2:$A$501,Performance!$C$2:$C$501)</f>
        <v>2</v>
      </c>
      <c r="O242" s="28" cm="1">
        <f t="array" ref="O242">_xlfn.IFS(N242=5,I242*15%,N242=4,I242*10%,N242=3,I242*7%,N242&lt;3,I242*5%)</f>
        <v>4791.55</v>
      </c>
    </row>
    <row r="243" spans="1:15">
      <c r="A243" s="24" t="s">
        <v>547</v>
      </c>
      <c r="B243" s="25" t="s">
        <v>92</v>
      </c>
      <c r="C243" s="25" t="s">
        <v>18</v>
      </c>
      <c r="D243" s="25" t="s">
        <v>19</v>
      </c>
      <c r="E243" s="25">
        <v>22</v>
      </c>
      <c r="F243" s="25" t="s">
        <v>29</v>
      </c>
      <c r="G243" s="25" t="s">
        <v>30</v>
      </c>
      <c r="H243" s="26">
        <v>45490</v>
      </c>
      <c r="I243" s="25">
        <v>106015</v>
      </c>
      <c r="J243" s="25" t="s">
        <v>22</v>
      </c>
      <c r="K243" s="25" t="s">
        <v>548</v>
      </c>
      <c r="L243" s="27" t="s">
        <v>24</v>
      </c>
      <c r="M243" s="28" t="str">
        <f>_xlfn.XLOOKUP(F243,Department!$A$2:$A$6,Department!$B$2:$B$6)</f>
        <v>IT</v>
      </c>
      <c r="N243" s="30">
        <f>_xlfn.XLOOKUP(A243,Performance!$A$2:$A$501,Performance!$C$2:$C$501)</f>
        <v>2</v>
      </c>
      <c r="O243" s="28" cm="1">
        <f t="array" ref="O243">_xlfn.IFS(N243=5,I243*15%,N243=4,I243*10%,N243=3,I243*7%,N243&lt;3,I243*5%)</f>
        <v>5300.75</v>
      </c>
    </row>
    <row r="244" spans="1:15">
      <c r="A244" s="24" t="s">
        <v>549</v>
      </c>
      <c r="B244" s="25" t="s">
        <v>42</v>
      </c>
      <c r="C244" s="25" t="s">
        <v>49</v>
      </c>
      <c r="D244" s="25" t="s">
        <v>19</v>
      </c>
      <c r="E244" s="25">
        <v>28</v>
      </c>
      <c r="F244" s="25" t="s">
        <v>20</v>
      </c>
      <c r="G244" s="25" t="s">
        <v>21</v>
      </c>
      <c r="H244" s="26">
        <v>43985</v>
      </c>
      <c r="I244" s="25">
        <v>100388</v>
      </c>
      <c r="J244" s="25" t="s">
        <v>81</v>
      </c>
      <c r="K244" s="25" t="s">
        <v>550</v>
      </c>
      <c r="L244" s="27" t="s">
        <v>24</v>
      </c>
      <c r="M244" s="28" t="str">
        <f>_xlfn.XLOOKUP(F244,Department!$A$2:$A$6,Department!$B$2:$B$6)</f>
        <v>HR</v>
      </c>
      <c r="N244" s="30">
        <f>_xlfn.XLOOKUP(A244,Performance!$A$2:$A$501,Performance!$C$2:$C$501)</f>
        <v>1</v>
      </c>
      <c r="O244" s="28" cm="1">
        <f t="array" ref="O244">_xlfn.IFS(N244=5,I244*15%,N244=4,I244*10%,N244=3,I244*7%,N244&lt;3,I244*5%)</f>
        <v>5019.4000000000005</v>
      </c>
    </row>
    <row r="245" spans="1:15">
      <c r="A245" s="24" t="s">
        <v>551</v>
      </c>
      <c r="B245" s="25" t="s">
        <v>34</v>
      </c>
      <c r="C245" s="25" t="s">
        <v>89</v>
      </c>
      <c r="D245" s="25" t="s">
        <v>28</v>
      </c>
      <c r="E245" s="25">
        <v>47</v>
      </c>
      <c r="F245" s="25" t="s">
        <v>43</v>
      </c>
      <c r="G245" s="25" t="s">
        <v>30</v>
      </c>
      <c r="H245" s="26">
        <v>43271</v>
      </c>
      <c r="I245" s="25">
        <v>60932</v>
      </c>
      <c r="J245" s="25" t="s">
        <v>81</v>
      </c>
      <c r="K245" s="25" t="s">
        <v>552</v>
      </c>
      <c r="L245" s="27" t="s">
        <v>39</v>
      </c>
      <c r="M245" s="28" t="str">
        <f>_xlfn.XLOOKUP(F245,Department!$A$2:$A$6,Department!$B$2:$B$6)</f>
        <v>Marketing</v>
      </c>
      <c r="N245" s="30">
        <f>_xlfn.XLOOKUP(A245,Performance!$A$2:$A$501,Performance!$C$2:$C$501)</f>
        <v>4</v>
      </c>
      <c r="O245" s="28" cm="1">
        <f t="array" ref="O245">_xlfn.IFS(N245=5,I245*15%,N245=4,I245*10%,N245=3,I245*7%,N245&lt;3,I245*5%)</f>
        <v>6093.2000000000007</v>
      </c>
    </row>
    <row r="246" spans="1:15">
      <c r="A246" s="24" t="s">
        <v>553</v>
      </c>
      <c r="B246" s="25" t="s">
        <v>53</v>
      </c>
      <c r="C246" s="25" t="s">
        <v>84</v>
      </c>
      <c r="D246" s="25" t="s">
        <v>19</v>
      </c>
      <c r="E246" s="25">
        <v>36</v>
      </c>
      <c r="F246" s="25" t="s">
        <v>43</v>
      </c>
      <c r="G246" s="25" t="s">
        <v>36</v>
      </c>
      <c r="H246" s="26">
        <v>44284</v>
      </c>
      <c r="I246" s="25">
        <v>107818</v>
      </c>
      <c r="J246" s="25" t="s">
        <v>37</v>
      </c>
      <c r="K246" s="25" t="s">
        <v>554</v>
      </c>
      <c r="L246" s="27" t="s">
        <v>24</v>
      </c>
      <c r="M246" s="28" t="str">
        <f>_xlfn.XLOOKUP(F246,Department!$A$2:$A$6,Department!$B$2:$B$6)</f>
        <v>Marketing</v>
      </c>
      <c r="N246" s="30">
        <f>_xlfn.XLOOKUP(A246,Performance!$A$2:$A$501,Performance!$C$2:$C$501)</f>
        <v>1</v>
      </c>
      <c r="O246" s="28" cm="1">
        <f t="array" ref="O246">_xlfn.IFS(N246=5,I246*15%,N246=4,I246*10%,N246=3,I246*7%,N246&lt;3,I246*5%)</f>
        <v>5390.9000000000005</v>
      </c>
    </row>
    <row r="247" spans="1:15">
      <c r="A247" s="24" t="s">
        <v>555</v>
      </c>
      <c r="B247" s="25" t="s">
        <v>17</v>
      </c>
      <c r="C247" s="25" t="s">
        <v>49</v>
      </c>
      <c r="D247" s="25" t="s">
        <v>28</v>
      </c>
      <c r="E247" s="25">
        <v>49</v>
      </c>
      <c r="F247" s="25" t="s">
        <v>54</v>
      </c>
      <c r="G247" s="25" t="s">
        <v>36</v>
      </c>
      <c r="H247" s="26">
        <v>45139</v>
      </c>
      <c r="I247" s="25">
        <v>95198</v>
      </c>
      <c r="J247" s="25" t="s">
        <v>37</v>
      </c>
      <c r="K247" s="25" t="s">
        <v>556</v>
      </c>
      <c r="L247" s="27" t="s">
        <v>24</v>
      </c>
      <c r="M247" s="28" t="str">
        <f>_xlfn.XLOOKUP(F247,Department!$A$2:$A$6,Department!$B$2:$B$6)</f>
        <v>Finance</v>
      </c>
      <c r="N247" s="30">
        <f>_xlfn.XLOOKUP(A247,Performance!$A$2:$A$501,Performance!$C$2:$C$501)</f>
        <v>4</v>
      </c>
      <c r="O247" s="28" cm="1">
        <f t="array" ref="O247">_xlfn.IFS(N247=5,I247*15%,N247=4,I247*10%,N247=3,I247*7%,N247&lt;3,I247*5%)</f>
        <v>9519.8000000000011</v>
      </c>
    </row>
    <row r="248" spans="1:15">
      <c r="A248" s="24" t="s">
        <v>557</v>
      </c>
      <c r="B248" s="25" t="s">
        <v>126</v>
      </c>
      <c r="C248" s="25" t="s">
        <v>117</v>
      </c>
      <c r="D248" s="25" t="s">
        <v>19</v>
      </c>
      <c r="E248" s="25">
        <v>43</v>
      </c>
      <c r="F248" s="25" t="s">
        <v>29</v>
      </c>
      <c r="G248" s="25" t="s">
        <v>44</v>
      </c>
      <c r="H248" s="26">
        <v>44067</v>
      </c>
      <c r="I248" s="25">
        <v>42635</v>
      </c>
      <c r="J248" s="25" t="s">
        <v>22</v>
      </c>
      <c r="K248" s="25" t="s">
        <v>558</v>
      </c>
      <c r="L248" s="27" t="s">
        <v>24</v>
      </c>
      <c r="M248" s="28" t="str">
        <f>_xlfn.XLOOKUP(F248,Department!$A$2:$A$6,Department!$B$2:$B$6)</f>
        <v>IT</v>
      </c>
      <c r="N248" s="30">
        <f>_xlfn.XLOOKUP(A248,Performance!$A$2:$A$501,Performance!$C$2:$C$501)</f>
        <v>3</v>
      </c>
      <c r="O248" s="28" cm="1">
        <f t="array" ref="O248">_xlfn.IFS(N248=5,I248*15%,N248=4,I248*10%,N248=3,I248*7%,N248&lt;3,I248*5%)</f>
        <v>2984.4500000000003</v>
      </c>
    </row>
    <row r="249" spans="1:15">
      <c r="A249" s="24" t="s">
        <v>559</v>
      </c>
      <c r="B249" s="25" t="s">
        <v>48</v>
      </c>
      <c r="C249" s="25" t="s">
        <v>18</v>
      </c>
      <c r="D249" s="25" t="s">
        <v>19</v>
      </c>
      <c r="E249" s="25">
        <v>48</v>
      </c>
      <c r="F249" s="25" t="s">
        <v>20</v>
      </c>
      <c r="G249" s="25" t="s">
        <v>36</v>
      </c>
      <c r="H249" s="26">
        <v>43497</v>
      </c>
      <c r="I249" s="25">
        <v>48738</v>
      </c>
      <c r="J249" s="25" t="s">
        <v>62</v>
      </c>
      <c r="K249" s="25" t="s">
        <v>560</v>
      </c>
      <c r="L249" s="27" t="s">
        <v>24</v>
      </c>
      <c r="M249" s="28" t="str">
        <f>_xlfn.XLOOKUP(F249,Department!$A$2:$A$6,Department!$B$2:$B$6)</f>
        <v>HR</v>
      </c>
      <c r="N249" s="30">
        <f>_xlfn.XLOOKUP(A249,Performance!$A$2:$A$501,Performance!$C$2:$C$501)</f>
        <v>5</v>
      </c>
      <c r="O249" s="28" cm="1">
        <f t="array" ref="O249">_xlfn.IFS(N249=5,I249*15%,N249=4,I249*10%,N249=3,I249*7%,N249&lt;3,I249*5%)</f>
        <v>7310.7</v>
      </c>
    </row>
    <row r="250" spans="1:15">
      <c r="A250" s="24" t="s">
        <v>561</v>
      </c>
      <c r="B250" s="25" t="s">
        <v>48</v>
      </c>
      <c r="C250" s="25" t="s">
        <v>66</v>
      </c>
      <c r="D250" s="25" t="s">
        <v>19</v>
      </c>
      <c r="E250" s="25">
        <v>23</v>
      </c>
      <c r="F250" s="25" t="s">
        <v>20</v>
      </c>
      <c r="G250" s="25" t="s">
        <v>21</v>
      </c>
      <c r="H250" s="26">
        <v>44978</v>
      </c>
      <c r="I250" s="25">
        <v>64435</v>
      </c>
      <c r="J250" s="25" t="s">
        <v>81</v>
      </c>
      <c r="K250" s="25" t="s">
        <v>562</v>
      </c>
      <c r="L250" s="27" t="s">
        <v>24</v>
      </c>
      <c r="M250" s="28" t="str">
        <f>_xlfn.XLOOKUP(F250,Department!$A$2:$A$6,Department!$B$2:$B$6)</f>
        <v>HR</v>
      </c>
      <c r="N250" s="30">
        <f>_xlfn.XLOOKUP(A250,Performance!$A$2:$A$501,Performance!$C$2:$C$501)</f>
        <v>5</v>
      </c>
      <c r="O250" s="28" cm="1">
        <f t="array" ref="O250">_xlfn.IFS(N250=5,I250*15%,N250=4,I250*10%,N250=3,I250*7%,N250&lt;3,I250*5%)</f>
        <v>9665.25</v>
      </c>
    </row>
    <row r="251" spans="1:15">
      <c r="A251" s="24" t="s">
        <v>563</v>
      </c>
      <c r="B251" s="25" t="s">
        <v>74</v>
      </c>
      <c r="C251" s="25" t="s">
        <v>27</v>
      </c>
      <c r="D251" s="25" t="s">
        <v>28</v>
      </c>
      <c r="E251" s="25">
        <v>55</v>
      </c>
      <c r="F251" s="25" t="s">
        <v>20</v>
      </c>
      <c r="G251" s="25" t="s">
        <v>21</v>
      </c>
      <c r="H251" s="26">
        <v>45037</v>
      </c>
      <c r="I251" s="25">
        <v>116007</v>
      </c>
      <c r="J251" s="25" t="s">
        <v>67</v>
      </c>
      <c r="K251" s="25" t="s">
        <v>564</v>
      </c>
      <c r="L251" s="27" t="s">
        <v>24</v>
      </c>
      <c r="M251" s="28" t="str">
        <f>_xlfn.XLOOKUP(F251,Department!$A$2:$A$6,Department!$B$2:$B$6)</f>
        <v>HR</v>
      </c>
      <c r="N251" s="30">
        <f>_xlfn.XLOOKUP(A251,Performance!$A$2:$A$501,Performance!$C$2:$C$501)</f>
        <v>5</v>
      </c>
      <c r="O251" s="28" cm="1">
        <f t="array" ref="O251">_xlfn.IFS(N251=5,I251*15%,N251=4,I251*10%,N251=3,I251*7%,N251&lt;3,I251*5%)</f>
        <v>17401.05</v>
      </c>
    </row>
    <row r="252" spans="1:15">
      <c r="A252" s="24" t="s">
        <v>565</v>
      </c>
      <c r="B252" s="25" t="s">
        <v>53</v>
      </c>
      <c r="C252" s="25" t="s">
        <v>89</v>
      </c>
      <c r="D252" s="25" t="s">
        <v>28</v>
      </c>
      <c r="E252" s="25">
        <v>38</v>
      </c>
      <c r="F252" s="25" t="s">
        <v>29</v>
      </c>
      <c r="G252" s="25" t="s">
        <v>30</v>
      </c>
      <c r="H252" s="26">
        <v>43892</v>
      </c>
      <c r="I252" s="25">
        <v>60256</v>
      </c>
      <c r="J252" s="25" t="s">
        <v>62</v>
      </c>
      <c r="K252" s="25" t="s">
        <v>566</v>
      </c>
      <c r="L252" s="27" t="s">
        <v>24</v>
      </c>
      <c r="M252" s="28" t="str">
        <f>_xlfn.XLOOKUP(F252,Department!$A$2:$A$6,Department!$B$2:$B$6)</f>
        <v>IT</v>
      </c>
      <c r="N252" s="30">
        <f>_xlfn.XLOOKUP(A252,Performance!$A$2:$A$501,Performance!$C$2:$C$501)</f>
        <v>4</v>
      </c>
      <c r="O252" s="28" cm="1">
        <f t="array" ref="O252">_xlfn.IFS(N252=5,I252*15%,N252=4,I252*10%,N252=3,I252*7%,N252&lt;3,I252*5%)</f>
        <v>6025.6</v>
      </c>
    </row>
    <row r="253" spans="1:15">
      <c r="A253" s="24" t="s">
        <v>567</v>
      </c>
      <c r="B253" s="25" t="s">
        <v>58</v>
      </c>
      <c r="C253" s="25" t="s">
        <v>141</v>
      </c>
      <c r="D253" s="25" t="s">
        <v>19</v>
      </c>
      <c r="E253" s="25">
        <v>52</v>
      </c>
      <c r="F253" s="25" t="s">
        <v>35</v>
      </c>
      <c r="G253" s="25" t="s">
        <v>44</v>
      </c>
      <c r="H253" s="26">
        <v>45101</v>
      </c>
      <c r="I253" s="25">
        <v>79852</v>
      </c>
      <c r="J253" s="25" t="s">
        <v>37</v>
      </c>
      <c r="K253" s="25" t="s">
        <v>568</v>
      </c>
      <c r="L253" s="27" t="s">
        <v>39</v>
      </c>
      <c r="M253" s="28" t="str">
        <f>_xlfn.XLOOKUP(F253,Department!$A$2:$A$6,Department!$B$2:$B$6)</f>
        <v>Sales</v>
      </c>
      <c r="N253" s="30">
        <f>_xlfn.XLOOKUP(A253,Performance!$A$2:$A$501,Performance!$C$2:$C$501)</f>
        <v>3</v>
      </c>
      <c r="O253" s="28" cm="1">
        <f t="array" ref="O253">_xlfn.IFS(N253=5,I253*15%,N253=4,I253*10%,N253=3,I253*7%,N253&lt;3,I253*5%)</f>
        <v>5589.64</v>
      </c>
    </row>
    <row r="254" spans="1:15">
      <c r="A254" s="24" t="s">
        <v>569</v>
      </c>
      <c r="B254" s="25" t="s">
        <v>42</v>
      </c>
      <c r="C254" s="25" t="s">
        <v>93</v>
      </c>
      <c r="D254" s="25" t="s">
        <v>28</v>
      </c>
      <c r="E254" s="25">
        <v>25</v>
      </c>
      <c r="F254" s="25" t="s">
        <v>43</v>
      </c>
      <c r="G254" s="25" t="s">
        <v>30</v>
      </c>
      <c r="H254" s="26">
        <v>45576</v>
      </c>
      <c r="I254" s="25">
        <v>94875</v>
      </c>
      <c r="J254" s="25" t="s">
        <v>62</v>
      </c>
      <c r="K254" s="25" t="s">
        <v>570</v>
      </c>
      <c r="L254" s="27" t="s">
        <v>24</v>
      </c>
      <c r="M254" s="28" t="str">
        <f>_xlfn.XLOOKUP(F254,Department!$A$2:$A$6,Department!$B$2:$B$6)</f>
        <v>Marketing</v>
      </c>
      <c r="N254" s="30">
        <f>_xlfn.XLOOKUP(A254,Performance!$A$2:$A$501,Performance!$C$2:$C$501)</f>
        <v>1</v>
      </c>
      <c r="O254" s="28" cm="1">
        <f t="array" ref="O254">_xlfn.IFS(N254=5,I254*15%,N254=4,I254*10%,N254=3,I254*7%,N254&lt;3,I254*5%)</f>
        <v>4743.75</v>
      </c>
    </row>
    <row r="255" spans="1:15">
      <c r="A255" s="24" t="s">
        <v>571</v>
      </c>
      <c r="B255" s="25" t="s">
        <v>42</v>
      </c>
      <c r="C255" s="25" t="s">
        <v>49</v>
      </c>
      <c r="D255" s="25" t="s">
        <v>19</v>
      </c>
      <c r="E255" s="25">
        <v>42</v>
      </c>
      <c r="F255" s="25" t="s">
        <v>29</v>
      </c>
      <c r="G255" s="25" t="s">
        <v>36</v>
      </c>
      <c r="H255" s="26">
        <v>43268</v>
      </c>
      <c r="I255" s="25">
        <v>43197</v>
      </c>
      <c r="J255" s="25" t="s">
        <v>22</v>
      </c>
      <c r="K255" s="25" t="s">
        <v>572</v>
      </c>
      <c r="L255" s="27" t="s">
        <v>39</v>
      </c>
      <c r="M255" s="28" t="str">
        <f>_xlfn.XLOOKUP(F255,Department!$A$2:$A$6,Department!$B$2:$B$6)</f>
        <v>IT</v>
      </c>
      <c r="N255" s="30">
        <f>_xlfn.XLOOKUP(A255,Performance!$A$2:$A$501,Performance!$C$2:$C$501)</f>
        <v>5</v>
      </c>
      <c r="O255" s="28" cm="1">
        <f t="array" ref="O255">_xlfn.IFS(N255=5,I255*15%,N255=4,I255*10%,N255=3,I255*7%,N255&lt;3,I255*5%)</f>
        <v>6479.55</v>
      </c>
    </row>
    <row r="256" spans="1:15">
      <c r="A256" s="24" t="s">
        <v>573</v>
      </c>
      <c r="B256" s="25" t="s">
        <v>53</v>
      </c>
      <c r="C256" s="25" t="s">
        <v>89</v>
      </c>
      <c r="D256" s="25" t="s">
        <v>28</v>
      </c>
      <c r="E256" s="25">
        <v>32</v>
      </c>
      <c r="F256" s="25" t="s">
        <v>54</v>
      </c>
      <c r="G256" s="25" t="s">
        <v>44</v>
      </c>
      <c r="H256" s="26">
        <v>44468</v>
      </c>
      <c r="I256" s="25">
        <v>117451</v>
      </c>
      <c r="J256" s="25" t="s">
        <v>67</v>
      </c>
      <c r="K256" s="25" t="s">
        <v>574</v>
      </c>
      <c r="L256" s="27" t="s">
        <v>24</v>
      </c>
      <c r="M256" s="28" t="str">
        <f>_xlfn.XLOOKUP(F256,Department!$A$2:$A$6,Department!$B$2:$B$6)</f>
        <v>Finance</v>
      </c>
      <c r="N256" s="30">
        <f>_xlfn.XLOOKUP(A256,Performance!$A$2:$A$501,Performance!$C$2:$C$501)</f>
        <v>1</v>
      </c>
      <c r="O256" s="28" cm="1">
        <f t="array" ref="O256">_xlfn.IFS(N256=5,I256*15%,N256=4,I256*10%,N256=3,I256*7%,N256&lt;3,I256*5%)</f>
        <v>5872.55</v>
      </c>
    </row>
    <row r="257" spans="1:15">
      <c r="A257" s="24" t="s">
        <v>575</v>
      </c>
      <c r="B257" s="25" t="s">
        <v>126</v>
      </c>
      <c r="C257" s="25" t="s">
        <v>117</v>
      </c>
      <c r="D257" s="25" t="s">
        <v>28</v>
      </c>
      <c r="E257" s="25">
        <v>28</v>
      </c>
      <c r="F257" s="25" t="s">
        <v>43</v>
      </c>
      <c r="G257" s="25" t="s">
        <v>44</v>
      </c>
      <c r="H257" s="26">
        <v>45096</v>
      </c>
      <c r="I257" s="25">
        <v>54493</v>
      </c>
      <c r="J257" s="25" t="s">
        <v>67</v>
      </c>
      <c r="K257" s="25" t="s">
        <v>576</v>
      </c>
      <c r="L257" s="27" t="s">
        <v>24</v>
      </c>
      <c r="M257" s="28" t="str">
        <f>_xlfn.XLOOKUP(F257,Department!$A$2:$A$6,Department!$B$2:$B$6)</f>
        <v>Marketing</v>
      </c>
      <c r="N257" s="30">
        <f>_xlfn.XLOOKUP(A257,Performance!$A$2:$A$501,Performance!$C$2:$C$501)</f>
        <v>4</v>
      </c>
      <c r="O257" s="28" cm="1">
        <f t="array" ref="O257">_xlfn.IFS(N257=5,I257*15%,N257=4,I257*10%,N257=3,I257*7%,N257&lt;3,I257*5%)</f>
        <v>5449.3</v>
      </c>
    </row>
    <row r="258" spans="1:15">
      <c r="A258" s="24" t="s">
        <v>577</v>
      </c>
      <c r="B258" s="25" t="s">
        <v>126</v>
      </c>
      <c r="C258" s="25" t="s">
        <v>80</v>
      </c>
      <c r="D258" s="25" t="s">
        <v>19</v>
      </c>
      <c r="E258" s="25">
        <v>55</v>
      </c>
      <c r="F258" s="25" t="s">
        <v>43</v>
      </c>
      <c r="G258" s="25" t="s">
        <v>36</v>
      </c>
      <c r="H258" s="26">
        <v>45122</v>
      </c>
      <c r="I258" s="25">
        <v>68822</v>
      </c>
      <c r="J258" s="25" t="s">
        <v>37</v>
      </c>
      <c r="K258" s="25" t="s">
        <v>578</v>
      </c>
      <c r="L258" s="27" t="s">
        <v>39</v>
      </c>
      <c r="M258" s="28" t="str">
        <f>_xlfn.XLOOKUP(F258,Department!$A$2:$A$6,Department!$B$2:$B$6)</f>
        <v>Marketing</v>
      </c>
      <c r="N258" s="30">
        <f>_xlfn.XLOOKUP(A258,Performance!$A$2:$A$501,Performance!$C$2:$C$501)</f>
        <v>3</v>
      </c>
      <c r="O258" s="28" cm="1">
        <f t="array" ref="O258">_xlfn.IFS(N258=5,I258*15%,N258=4,I258*10%,N258=3,I258*7%,N258&lt;3,I258*5%)</f>
        <v>4817.5400000000009</v>
      </c>
    </row>
    <row r="259" spans="1:15">
      <c r="A259" s="24" t="s">
        <v>579</v>
      </c>
      <c r="B259" s="25" t="s">
        <v>48</v>
      </c>
      <c r="C259" s="25" t="s">
        <v>93</v>
      </c>
      <c r="D259" s="25" t="s">
        <v>28</v>
      </c>
      <c r="E259" s="25">
        <v>27</v>
      </c>
      <c r="F259" s="25" t="s">
        <v>54</v>
      </c>
      <c r="G259" s="25" t="s">
        <v>30</v>
      </c>
      <c r="H259" s="26">
        <v>43410</v>
      </c>
      <c r="I259" s="25">
        <v>96058</v>
      </c>
      <c r="J259" s="25" t="s">
        <v>22</v>
      </c>
      <c r="K259" s="25" t="s">
        <v>580</v>
      </c>
      <c r="L259" s="27" t="s">
        <v>39</v>
      </c>
      <c r="M259" s="28" t="str">
        <f>_xlfn.XLOOKUP(F259,Department!$A$2:$A$6,Department!$B$2:$B$6)</f>
        <v>Finance</v>
      </c>
      <c r="N259" s="30">
        <f>_xlfn.XLOOKUP(A259,Performance!$A$2:$A$501,Performance!$C$2:$C$501)</f>
        <v>2</v>
      </c>
      <c r="O259" s="28" cm="1">
        <f t="array" ref="O259">_xlfn.IFS(N259=5,I259*15%,N259=4,I259*10%,N259=3,I259*7%,N259&lt;3,I259*5%)</f>
        <v>4802.9000000000005</v>
      </c>
    </row>
    <row r="260" spans="1:15">
      <c r="A260" s="24" t="s">
        <v>581</v>
      </c>
      <c r="B260" s="25" t="s">
        <v>126</v>
      </c>
      <c r="C260" s="25" t="s">
        <v>141</v>
      </c>
      <c r="D260" s="25" t="s">
        <v>28</v>
      </c>
      <c r="E260" s="25">
        <v>26</v>
      </c>
      <c r="F260" s="25" t="s">
        <v>20</v>
      </c>
      <c r="G260" s="25" t="s">
        <v>21</v>
      </c>
      <c r="H260" s="26">
        <v>43954</v>
      </c>
      <c r="I260" s="25">
        <v>109724</v>
      </c>
      <c r="J260" s="25" t="s">
        <v>62</v>
      </c>
      <c r="K260" s="25" t="s">
        <v>582</v>
      </c>
      <c r="L260" s="27" t="s">
        <v>24</v>
      </c>
      <c r="M260" s="28" t="str">
        <f>_xlfn.XLOOKUP(F260,Department!$A$2:$A$6,Department!$B$2:$B$6)</f>
        <v>HR</v>
      </c>
      <c r="N260" s="30">
        <f>_xlfn.XLOOKUP(A260,Performance!$A$2:$A$501,Performance!$C$2:$C$501)</f>
        <v>1</v>
      </c>
      <c r="O260" s="28" cm="1">
        <f t="array" ref="O260">_xlfn.IFS(N260=5,I260*15%,N260=4,I260*10%,N260=3,I260*7%,N260&lt;3,I260*5%)</f>
        <v>5486.2000000000007</v>
      </c>
    </row>
    <row r="261" spans="1:15">
      <c r="A261" s="24" t="s">
        <v>583</v>
      </c>
      <c r="B261" s="25" t="s">
        <v>48</v>
      </c>
      <c r="C261" s="25" t="s">
        <v>49</v>
      </c>
      <c r="D261" s="25" t="s">
        <v>28</v>
      </c>
      <c r="E261" s="25">
        <v>35</v>
      </c>
      <c r="F261" s="25" t="s">
        <v>20</v>
      </c>
      <c r="G261" s="25" t="s">
        <v>30</v>
      </c>
      <c r="H261" s="26">
        <v>44217</v>
      </c>
      <c r="I261" s="25">
        <v>69243</v>
      </c>
      <c r="J261" s="25" t="s">
        <v>67</v>
      </c>
      <c r="K261" s="25" t="s">
        <v>584</v>
      </c>
      <c r="L261" s="27" t="s">
        <v>39</v>
      </c>
      <c r="M261" s="28" t="str">
        <f>_xlfn.XLOOKUP(F261,Department!$A$2:$A$6,Department!$B$2:$B$6)</f>
        <v>HR</v>
      </c>
      <c r="N261" s="30">
        <f>_xlfn.XLOOKUP(A261,Performance!$A$2:$A$501,Performance!$C$2:$C$501)</f>
        <v>3</v>
      </c>
      <c r="O261" s="28" cm="1">
        <f t="array" ref="O261">_xlfn.IFS(N261=5,I261*15%,N261=4,I261*10%,N261=3,I261*7%,N261&lt;3,I261*5%)</f>
        <v>4847.01</v>
      </c>
    </row>
    <row r="262" spans="1:15">
      <c r="A262" s="24" t="s">
        <v>585</v>
      </c>
      <c r="B262" s="25" t="s">
        <v>58</v>
      </c>
      <c r="C262" s="25" t="s">
        <v>49</v>
      </c>
      <c r="D262" s="25" t="s">
        <v>19</v>
      </c>
      <c r="E262" s="25">
        <v>22</v>
      </c>
      <c r="F262" s="25" t="s">
        <v>29</v>
      </c>
      <c r="G262" s="25" t="s">
        <v>30</v>
      </c>
      <c r="H262" s="26">
        <v>45027</v>
      </c>
      <c r="I262" s="25">
        <v>46775</v>
      </c>
      <c r="J262" s="25" t="s">
        <v>22</v>
      </c>
      <c r="K262" s="25" t="s">
        <v>586</v>
      </c>
      <c r="L262" s="27" t="s">
        <v>39</v>
      </c>
      <c r="M262" s="28" t="str">
        <f>_xlfn.XLOOKUP(F262,Department!$A$2:$A$6,Department!$B$2:$B$6)</f>
        <v>IT</v>
      </c>
      <c r="N262" s="30">
        <f>_xlfn.XLOOKUP(A262,Performance!$A$2:$A$501,Performance!$C$2:$C$501)</f>
        <v>4</v>
      </c>
      <c r="O262" s="28" cm="1">
        <f t="array" ref="O262">_xlfn.IFS(N262=5,I262*15%,N262=4,I262*10%,N262=3,I262*7%,N262&lt;3,I262*5%)</f>
        <v>4677.5</v>
      </c>
    </row>
    <row r="263" spans="1:15">
      <c r="A263" s="24" t="s">
        <v>587</v>
      </c>
      <c r="B263" s="25" t="s">
        <v>58</v>
      </c>
      <c r="C263" s="25" t="s">
        <v>117</v>
      </c>
      <c r="D263" s="25" t="s">
        <v>19</v>
      </c>
      <c r="E263" s="25">
        <v>37</v>
      </c>
      <c r="F263" s="25" t="s">
        <v>20</v>
      </c>
      <c r="G263" s="25" t="s">
        <v>44</v>
      </c>
      <c r="H263" s="26">
        <v>44348</v>
      </c>
      <c r="I263" s="25">
        <v>86841</v>
      </c>
      <c r="J263" s="25" t="s">
        <v>62</v>
      </c>
      <c r="K263" s="25" t="s">
        <v>588</v>
      </c>
      <c r="L263" s="27" t="s">
        <v>39</v>
      </c>
      <c r="M263" s="28" t="str">
        <f>_xlfn.XLOOKUP(F263,Department!$A$2:$A$6,Department!$B$2:$B$6)</f>
        <v>HR</v>
      </c>
      <c r="N263" s="30">
        <f>_xlfn.XLOOKUP(A263,Performance!$A$2:$A$501,Performance!$C$2:$C$501)</f>
        <v>2</v>
      </c>
      <c r="O263" s="28" cm="1">
        <f t="array" ref="O263">_xlfn.IFS(N263=5,I263*15%,N263=4,I263*10%,N263=3,I263*7%,N263&lt;3,I263*5%)</f>
        <v>4342.05</v>
      </c>
    </row>
    <row r="264" spans="1:15">
      <c r="A264" s="24" t="s">
        <v>589</v>
      </c>
      <c r="B264" s="25" t="s">
        <v>34</v>
      </c>
      <c r="C264" s="25" t="s">
        <v>89</v>
      </c>
      <c r="D264" s="25" t="s">
        <v>28</v>
      </c>
      <c r="E264" s="25">
        <v>59</v>
      </c>
      <c r="F264" s="25" t="s">
        <v>20</v>
      </c>
      <c r="G264" s="25" t="s">
        <v>102</v>
      </c>
      <c r="H264" s="26">
        <v>44131</v>
      </c>
      <c r="I264" s="25">
        <v>91520</v>
      </c>
      <c r="J264" s="25" t="s">
        <v>81</v>
      </c>
      <c r="K264" s="25" t="s">
        <v>590</v>
      </c>
      <c r="L264" s="27" t="s">
        <v>39</v>
      </c>
      <c r="M264" s="28" t="str">
        <f>_xlfn.XLOOKUP(F264,Department!$A$2:$A$6,Department!$B$2:$B$6)</f>
        <v>HR</v>
      </c>
      <c r="N264" s="30">
        <f>_xlfn.XLOOKUP(A264,Performance!$A$2:$A$501,Performance!$C$2:$C$501)</f>
        <v>5</v>
      </c>
      <c r="O264" s="28" cm="1">
        <f t="array" ref="O264">_xlfn.IFS(N264=5,I264*15%,N264=4,I264*10%,N264=3,I264*7%,N264&lt;3,I264*5%)</f>
        <v>13728</v>
      </c>
    </row>
    <row r="265" spans="1:15">
      <c r="A265" s="24" t="s">
        <v>591</v>
      </c>
      <c r="B265" s="25" t="s">
        <v>92</v>
      </c>
      <c r="C265" s="25" t="s">
        <v>117</v>
      </c>
      <c r="D265" s="25" t="s">
        <v>19</v>
      </c>
      <c r="E265" s="25">
        <v>44</v>
      </c>
      <c r="F265" s="25" t="s">
        <v>29</v>
      </c>
      <c r="G265" s="25" t="s">
        <v>21</v>
      </c>
      <c r="H265" s="26">
        <v>43183</v>
      </c>
      <c r="I265" s="25">
        <v>97265</v>
      </c>
      <c r="J265" s="25" t="s">
        <v>22</v>
      </c>
      <c r="K265" s="25" t="s">
        <v>592</v>
      </c>
      <c r="L265" s="27" t="s">
        <v>24</v>
      </c>
      <c r="M265" s="28" t="str">
        <f>_xlfn.XLOOKUP(F265,Department!$A$2:$A$6,Department!$B$2:$B$6)</f>
        <v>IT</v>
      </c>
      <c r="N265" s="30">
        <f>_xlfn.XLOOKUP(A265,Performance!$A$2:$A$501,Performance!$C$2:$C$501)</f>
        <v>2</v>
      </c>
      <c r="O265" s="28" cm="1">
        <f t="array" ref="O265">_xlfn.IFS(N265=5,I265*15%,N265=4,I265*10%,N265=3,I265*7%,N265&lt;3,I265*5%)</f>
        <v>4863.25</v>
      </c>
    </row>
    <row r="266" spans="1:15">
      <c r="A266" s="24" t="s">
        <v>593</v>
      </c>
      <c r="B266" s="25" t="s">
        <v>34</v>
      </c>
      <c r="C266" s="25" t="s">
        <v>80</v>
      </c>
      <c r="D266" s="25" t="s">
        <v>28</v>
      </c>
      <c r="E266" s="25">
        <v>60</v>
      </c>
      <c r="F266" s="25" t="s">
        <v>20</v>
      </c>
      <c r="G266" s="25" t="s">
        <v>36</v>
      </c>
      <c r="H266" s="26">
        <v>44264</v>
      </c>
      <c r="I266" s="25">
        <v>76450</v>
      </c>
      <c r="J266" s="25" t="s">
        <v>62</v>
      </c>
      <c r="K266" s="25" t="s">
        <v>594</v>
      </c>
      <c r="L266" s="27" t="s">
        <v>24</v>
      </c>
      <c r="M266" s="28" t="str">
        <f>_xlfn.XLOOKUP(F266,Department!$A$2:$A$6,Department!$B$2:$B$6)</f>
        <v>HR</v>
      </c>
      <c r="N266" s="30">
        <f>_xlfn.XLOOKUP(A266,Performance!$A$2:$A$501,Performance!$C$2:$C$501)</f>
        <v>2</v>
      </c>
      <c r="O266" s="28" cm="1">
        <f t="array" ref="O266">_xlfn.IFS(N266=5,I266*15%,N266=4,I266*10%,N266=3,I266*7%,N266&lt;3,I266*5%)</f>
        <v>3822.5</v>
      </c>
    </row>
    <row r="267" spans="1:15">
      <c r="A267" s="24" t="s">
        <v>595</v>
      </c>
      <c r="B267" s="25" t="s">
        <v>61</v>
      </c>
      <c r="C267" s="25" t="s">
        <v>18</v>
      </c>
      <c r="D267" s="25" t="s">
        <v>28</v>
      </c>
      <c r="E267" s="25">
        <v>45</v>
      </c>
      <c r="F267" s="25" t="s">
        <v>29</v>
      </c>
      <c r="G267" s="25" t="s">
        <v>21</v>
      </c>
      <c r="H267" s="26">
        <v>43670</v>
      </c>
      <c r="I267" s="25">
        <v>85702</v>
      </c>
      <c r="J267" s="25" t="s">
        <v>37</v>
      </c>
      <c r="K267" s="25" t="s">
        <v>596</v>
      </c>
      <c r="L267" s="27" t="s">
        <v>39</v>
      </c>
      <c r="M267" s="28" t="str">
        <f>_xlfn.XLOOKUP(F267,Department!$A$2:$A$6,Department!$B$2:$B$6)</f>
        <v>IT</v>
      </c>
      <c r="N267" s="30">
        <f>_xlfn.XLOOKUP(A267,Performance!$A$2:$A$501,Performance!$C$2:$C$501)</f>
        <v>4</v>
      </c>
      <c r="O267" s="28" cm="1">
        <f t="array" ref="O267">_xlfn.IFS(N267=5,I267*15%,N267=4,I267*10%,N267=3,I267*7%,N267&lt;3,I267*5%)</f>
        <v>8570.2000000000007</v>
      </c>
    </row>
    <row r="268" spans="1:15">
      <c r="A268" s="24" t="s">
        <v>597</v>
      </c>
      <c r="B268" s="25" t="s">
        <v>74</v>
      </c>
      <c r="C268" s="25" t="s">
        <v>141</v>
      </c>
      <c r="D268" s="25" t="s">
        <v>19</v>
      </c>
      <c r="E268" s="25">
        <v>52</v>
      </c>
      <c r="F268" s="25" t="s">
        <v>35</v>
      </c>
      <c r="G268" s="25" t="s">
        <v>44</v>
      </c>
      <c r="H268" s="26">
        <v>44909</v>
      </c>
      <c r="I268" s="25">
        <v>94043</v>
      </c>
      <c r="J268" s="25" t="s">
        <v>67</v>
      </c>
      <c r="K268" s="25" t="s">
        <v>598</v>
      </c>
      <c r="L268" s="27" t="s">
        <v>39</v>
      </c>
      <c r="M268" s="28" t="str">
        <f>_xlfn.XLOOKUP(F268,Department!$A$2:$A$6,Department!$B$2:$B$6)</f>
        <v>Sales</v>
      </c>
      <c r="N268" s="30">
        <f>_xlfn.XLOOKUP(A268,Performance!$A$2:$A$501,Performance!$C$2:$C$501)</f>
        <v>4</v>
      </c>
      <c r="O268" s="28" cm="1">
        <f t="array" ref="O268">_xlfn.IFS(N268=5,I268*15%,N268=4,I268*10%,N268=3,I268*7%,N268&lt;3,I268*5%)</f>
        <v>9404.3000000000011</v>
      </c>
    </row>
    <row r="269" spans="1:15">
      <c r="A269" s="24" t="s">
        <v>599</v>
      </c>
      <c r="B269" s="25" t="s">
        <v>48</v>
      </c>
      <c r="C269" s="25" t="s">
        <v>80</v>
      </c>
      <c r="D269" s="25" t="s">
        <v>19</v>
      </c>
      <c r="E269" s="25">
        <v>26</v>
      </c>
      <c r="F269" s="25" t="s">
        <v>35</v>
      </c>
      <c r="G269" s="25" t="s">
        <v>102</v>
      </c>
      <c r="H269" s="26">
        <v>43145</v>
      </c>
      <c r="I269" s="25">
        <v>59385</v>
      </c>
      <c r="J269" s="25" t="s">
        <v>37</v>
      </c>
      <c r="K269" s="25" t="s">
        <v>600</v>
      </c>
      <c r="L269" s="27" t="s">
        <v>24</v>
      </c>
      <c r="M269" s="28" t="str">
        <f>_xlfn.XLOOKUP(F269,Department!$A$2:$A$6,Department!$B$2:$B$6)</f>
        <v>Sales</v>
      </c>
      <c r="N269" s="30">
        <f>_xlfn.XLOOKUP(A269,Performance!$A$2:$A$501,Performance!$C$2:$C$501)</f>
        <v>2</v>
      </c>
      <c r="O269" s="28" cm="1">
        <f t="array" ref="O269">_xlfn.IFS(N269=5,I269*15%,N269=4,I269*10%,N269=3,I269*7%,N269&lt;3,I269*5%)</f>
        <v>2969.25</v>
      </c>
    </row>
    <row r="270" spans="1:15">
      <c r="A270" s="24" t="s">
        <v>601</v>
      </c>
      <c r="B270" s="25" t="s">
        <v>58</v>
      </c>
      <c r="C270" s="25" t="s">
        <v>66</v>
      </c>
      <c r="D270" s="25" t="s">
        <v>19</v>
      </c>
      <c r="E270" s="25">
        <v>43</v>
      </c>
      <c r="F270" s="25" t="s">
        <v>54</v>
      </c>
      <c r="G270" s="25" t="s">
        <v>44</v>
      </c>
      <c r="H270" s="26">
        <v>44780</v>
      </c>
      <c r="I270" s="25">
        <v>114243</v>
      </c>
      <c r="J270" s="25" t="s">
        <v>67</v>
      </c>
      <c r="K270" s="25" t="s">
        <v>602</v>
      </c>
      <c r="L270" s="27" t="s">
        <v>24</v>
      </c>
      <c r="M270" s="28" t="str">
        <f>_xlfn.XLOOKUP(F270,Department!$A$2:$A$6,Department!$B$2:$B$6)</f>
        <v>Finance</v>
      </c>
      <c r="N270" s="30">
        <f>_xlfn.XLOOKUP(A270,Performance!$A$2:$A$501,Performance!$C$2:$C$501)</f>
        <v>1</v>
      </c>
      <c r="O270" s="28" cm="1">
        <f t="array" ref="O270">_xlfn.IFS(N270=5,I270*15%,N270=4,I270*10%,N270=3,I270*7%,N270&lt;3,I270*5%)</f>
        <v>5712.1500000000005</v>
      </c>
    </row>
    <row r="271" spans="1:15">
      <c r="A271" s="24" t="s">
        <v>603</v>
      </c>
      <c r="B271" s="25" t="s">
        <v>17</v>
      </c>
      <c r="C271" s="25" t="s">
        <v>84</v>
      </c>
      <c r="D271" s="25" t="s">
        <v>19</v>
      </c>
      <c r="E271" s="25">
        <v>38</v>
      </c>
      <c r="F271" s="25" t="s">
        <v>20</v>
      </c>
      <c r="G271" s="25" t="s">
        <v>21</v>
      </c>
      <c r="H271" s="26">
        <v>43844</v>
      </c>
      <c r="I271" s="25">
        <v>108702</v>
      </c>
      <c r="J271" s="25" t="s">
        <v>62</v>
      </c>
      <c r="K271" s="25" t="s">
        <v>604</v>
      </c>
      <c r="L271" s="27" t="s">
        <v>24</v>
      </c>
      <c r="M271" s="28" t="str">
        <f>_xlfn.XLOOKUP(F271,Department!$A$2:$A$6,Department!$B$2:$B$6)</f>
        <v>HR</v>
      </c>
      <c r="N271" s="30">
        <f>_xlfn.XLOOKUP(A271,Performance!$A$2:$A$501,Performance!$C$2:$C$501)</f>
        <v>4</v>
      </c>
      <c r="O271" s="28" cm="1">
        <f t="array" ref="O271">_xlfn.IFS(N271=5,I271*15%,N271=4,I271*10%,N271=3,I271*7%,N271&lt;3,I271*5%)</f>
        <v>10870.2</v>
      </c>
    </row>
    <row r="272" spans="1:15">
      <c r="A272" s="24" t="s">
        <v>605</v>
      </c>
      <c r="B272" s="25" t="s">
        <v>17</v>
      </c>
      <c r="C272" s="25" t="s">
        <v>80</v>
      </c>
      <c r="D272" s="25" t="s">
        <v>28</v>
      </c>
      <c r="E272" s="25">
        <v>54</v>
      </c>
      <c r="F272" s="25" t="s">
        <v>20</v>
      </c>
      <c r="G272" s="25" t="s">
        <v>44</v>
      </c>
      <c r="H272" s="26">
        <v>44723</v>
      </c>
      <c r="I272" s="25">
        <v>103130</v>
      </c>
      <c r="J272" s="25" t="s">
        <v>22</v>
      </c>
      <c r="K272" s="25" t="s">
        <v>606</v>
      </c>
      <c r="L272" s="27" t="s">
        <v>24</v>
      </c>
      <c r="M272" s="28" t="str">
        <f>_xlfn.XLOOKUP(F272,Department!$A$2:$A$6,Department!$B$2:$B$6)</f>
        <v>HR</v>
      </c>
      <c r="N272" s="30">
        <f>_xlfn.XLOOKUP(A272,Performance!$A$2:$A$501,Performance!$C$2:$C$501)</f>
        <v>5</v>
      </c>
      <c r="O272" s="28" cm="1">
        <f t="array" ref="O272">_xlfn.IFS(N272=5,I272*15%,N272=4,I272*10%,N272=3,I272*7%,N272&lt;3,I272*5%)</f>
        <v>15469.5</v>
      </c>
    </row>
    <row r="273" spans="1:15">
      <c r="A273" s="24" t="s">
        <v>607</v>
      </c>
      <c r="B273" s="25" t="s">
        <v>34</v>
      </c>
      <c r="C273" s="25" t="s">
        <v>49</v>
      </c>
      <c r="D273" s="25" t="s">
        <v>28</v>
      </c>
      <c r="E273" s="25">
        <v>44</v>
      </c>
      <c r="F273" s="25" t="s">
        <v>35</v>
      </c>
      <c r="G273" s="25" t="s">
        <v>21</v>
      </c>
      <c r="H273" s="26">
        <v>44768</v>
      </c>
      <c r="I273" s="25">
        <v>71195</v>
      </c>
      <c r="J273" s="25" t="s">
        <v>81</v>
      </c>
      <c r="K273" s="25" t="s">
        <v>608</v>
      </c>
      <c r="L273" s="27" t="s">
        <v>24</v>
      </c>
      <c r="M273" s="28" t="str">
        <f>_xlfn.XLOOKUP(F273,Department!$A$2:$A$6,Department!$B$2:$B$6)</f>
        <v>Sales</v>
      </c>
      <c r="N273" s="30">
        <f>_xlfn.XLOOKUP(A273,Performance!$A$2:$A$501,Performance!$C$2:$C$501)</f>
        <v>4</v>
      </c>
      <c r="O273" s="28" cm="1">
        <f t="array" ref="O273">_xlfn.IFS(N273=5,I273*15%,N273=4,I273*10%,N273=3,I273*7%,N273&lt;3,I273*5%)</f>
        <v>7119.5</v>
      </c>
    </row>
    <row r="274" spans="1:15">
      <c r="A274" s="24" t="s">
        <v>609</v>
      </c>
      <c r="B274" s="25" t="s">
        <v>126</v>
      </c>
      <c r="C274" s="25" t="s">
        <v>84</v>
      </c>
      <c r="D274" s="25" t="s">
        <v>19</v>
      </c>
      <c r="E274" s="25">
        <v>55</v>
      </c>
      <c r="F274" s="25" t="s">
        <v>20</v>
      </c>
      <c r="G274" s="25" t="s">
        <v>30</v>
      </c>
      <c r="H274" s="26">
        <v>45160</v>
      </c>
      <c r="I274" s="25">
        <v>40336</v>
      </c>
      <c r="J274" s="25" t="s">
        <v>81</v>
      </c>
      <c r="K274" s="25" t="s">
        <v>610</v>
      </c>
      <c r="L274" s="27" t="s">
        <v>39</v>
      </c>
      <c r="M274" s="28" t="str">
        <f>_xlfn.XLOOKUP(F274,Department!$A$2:$A$6,Department!$B$2:$B$6)</f>
        <v>HR</v>
      </c>
      <c r="N274" s="30">
        <f>_xlfn.XLOOKUP(A274,Performance!$A$2:$A$501,Performance!$C$2:$C$501)</f>
        <v>2</v>
      </c>
      <c r="O274" s="28" cm="1">
        <f t="array" ref="O274">_xlfn.IFS(N274=5,I274*15%,N274=4,I274*10%,N274=3,I274*7%,N274&lt;3,I274*5%)</f>
        <v>2016.8000000000002</v>
      </c>
    </row>
    <row r="275" spans="1:15">
      <c r="A275" s="24" t="s">
        <v>611</v>
      </c>
      <c r="B275" s="25" t="s">
        <v>92</v>
      </c>
      <c r="C275" s="25" t="s">
        <v>27</v>
      </c>
      <c r="D275" s="25" t="s">
        <v>28</v>
      </c>
      <c r="E275" s="25">
        <v>52</v>
      </c>
      <c r="F275" s="25" t="s">
        <v>54</v>
      </c>
      <c r="G275" s="25" t="s">
        <v>44</v>
      </c>
      <c r="H275" s="26">
        <v>43277</v>
      </c>
      <c r="I275" s="25">
        <v>107267</v>
      </c>
      <c r="J275" s="25" t="s">
        <v>67</v>
      </c>
      <c r="K275" s="25" t="s">
        <v>612</v>
      </c>
      <c r="L275" s="27" t="s">
        <v>39</v>
      </c>
      <c r="M275" s="28" t="str">
        <f>_xlfn.XLOOKUP(F275,Department!$A$2:$A$6,Department!$B$2:$B$6)</f>
        <v>Finance</v>
      </c>
      <c r="N275" s="30">
        <f>_xlfn.XLOOKUP(A275,Performance!$A$2:$A$501,Performance!$C$2:$C$501)</f>
        <v>4</v>
      </c>
      <c r="O275" s="28" cm="1">
        <f t="array" ref="O275">_xlfn.IFS(N275=5,I275*15%,N275=4,I275*10%,N275=3,I275*7%,N275&lt;3,I275*5%)</f>
        <v>10726.7</v>
      </c>
    </row>
    <row r="276" spans="1:15">
      <c r="A276" s="24" t="s">
        <v>613</v>
      </c>
      <c r="B276" s="25" t="s">
        <v>17</v>
      </c>
      <c r="C276" s="25" t="s">
        <v>89</v>
      </c>
      <c r="D276" s="25" t="s">
        <v>19</v>
      </c>
      <c r="E276" s="25">
        <v>43</v>
      </c>
      <c r="F276" s="25" t="s">
        <v>35</v>
      </c>
      <c r="G276" s="25" t="s">
        <v>36</v>
      </c>
      <c r="H276" s="26">
        <v>45117</v>
      </c>
      <c r="I276" s="25">
        <v>89633</v>
      </c>
      <c r="J276" s="25" t="s">
        <v>67</v>
      </c>
      <c r="K276" s="25" t="s">
        <v>614</v>
      </c>
      <c r="L276" s="27" t="s">
        <v>39</v>
      </c>
      <c r="M276" s="28" t="str">
        <f>_xlfn.XLOOKUP(F276,Department!$A$2:$A$6,Department!$B$2:$B$6)</f>
        <v>Sales</v>
      </c>
      <c r="N276" s="30">
        <f>_xlfn.XLOOKUP(A276,Performance!$A$2:$A$501,Performance!$C$2:$C$501)</f>
        <v>4</v>
      </c>
      <c r="O276" s="28" cm="1">
        <f t="array" ref="O276">_xlfn.IFS(N276=5,I276*15%,N276=4,I276*10%,N276=3,I276*7%,N276&lt;3,I276*5%)</f>
        <v>8963.3000000000011</v>
      </c>
    </row>
    <row r="277" spans="1:15">
      <c r="A277" s="24" t="s">
        <v>615</v>
      </c>
      <c r="B277" s="25" t="s">
        <v>58</v>
      </c>
      <c r="C277" s="25" t="s">
        <v>27</v>
      </c>
      <c r="D277" s="25" t="s">
        <v>28</v>
      </c>
      <c r="E277" s="25">
        <v>51</v>
      </c>
      <c r="F277" s="25" t="s">
        <v>35</v>
      </c>
      <c r="G277" s="25" t="s">
        <v>44</v>
      </c>
      <c r="H277" s="26">
        <v>44803</v>
      </c>
      <c r="I277" s="25">
        <v>76409</v>
      </c>
      <c r="J277" s="25" t="s">
        <v>37</v>
      </c>
      <c r="K277" s="25" t="s">
        <v>616</v>
      </c>
      <c r="L277" s="27" t="s">
        <v>39</v>
      </c>
      <c r="M277" s="28" t="str">
        <f>_xlfn.XLOOKUP(F277,Department!$A$2:$A$6,Department!$B$2:$B$6)</f>
        <v>Sales</v>
      </c>
      <c r="N277" s="30">
        <f>_xlfn.XLOOKUP(A277,Performance!$A$2:$A$501,Performance!$C$2:$C$501)</f>
        <v>2</v>
      </c>
      <c r="O277" s="28" cm="1">
        <f t="array" ref="O277">_xlfn.IFS(N277=5,I277*15%,N277=4,I277*10%,N277=3,I277*7%,N277&lt;3,I277*5%)</f>
        <v>3820.4500000000003</v>
      </c>
    </row>
    <row r="278" spans="1:15">
      <c r="A278" s="24" t="s">
        <v>617</v>
      </c>
      <c r="B278" s="25" t="s">
        <v>92</v>
      </c>
      <c r="C278" s="25" t="s">
        <v>49</v>
      </c>
      <c r="D278" s="25" t="s">
        <v>19</v>
      </c>
      <c r="E278" s="25">
        <v>22</v>
      </c>
      <c r="F278" s="25" t="s">
        <v>35</v>
      </c>
      <c r="G278" s="25" t="s">
        <v>30</v>
      </c>
      <c r="H278" s="26">
        <v>45546</v>
      </c>
      <c r="I278" s="25">
        <v>79899</v>
      </c>
      <c r="J278" s="25" t="s">
        <v>67</v>
      </c>
      <c r="K278" s="25" t="s">
        <v>618</v>
      </c>
      <c r="L278" s="27" t="s">
        <v>39</v>
      </c>
      <c r="M278" s="28" t="str">
        <f>_xlfn.XLOOKUP(F278,Department!$A$2:$A$6,Department!$B$2:$B$6)</f>
        <v>Sales</v>
      </c>
      <c r="N278" s="30">
        <f>_xlfn.XLOOKUP(A278,Performance!$A$2:$A$501,Performance!$C$2:$C$501)</f>
        <v>2</v>
      </c>
      <c r="O278" s="28" cm="1">
        <f t="array" ref="O278">_xlfn.IFS(N278=5,I278*15%,N278=4,I278*10%,N278=3,I278*7%,N278&lt;3,I278*5%)</f>
        <v>3994.9500000000003</v>
      </c>
    </row>
    <row r="279" spans="1:15">
      <c r="A279" s="24" t="s">
        <v>619</v>
      </c>
      <c r="B279" s="25" t="s">
        <v>53</v>
      </c>
      <c r="C279" s="25" t="s">
        <v>93</v>
      </c>
      <c r="D279" s="25" t="s">
        <v>19</v>
      </c>
      <c r="E279" s="25">
        <v>28</v>
      </c>
      <c r="F279" s="25" t="s">
        <v>20</v>
      </c>
      <c r="G279" s="25" t="s">
        <v>36</v>
      </c>
      <c r="H279" s="26">
        <v>45549</v>
      </c>
      <c r="I279" s="25">
        <v>92548</v>
      </c>
      <c r="J279" s="25" t="s">
        <v>22</v>
      </c>
      <c r="K279" s="25" t="s">
        <v>620</v>
      </c>
      <c r="L279" s="27" t="s">
        <v>39</v>
      </c>
      <c r="M279" s="28" t="str">
        <f>_xlfn.XLOOKUP(F279,Department!$A$2:$A$6,Department!$B$2:$B$6)</f>
        <v>HR</v>
      </c>
      <c r="N279" s="30">
        <f>_xlfn.XLOOKUP(A279,Performance!$A$2:$A$501,Performance!$C$2:$C$501)</f>
        <v>2</v>
      </c>
      <c r="O279" s="28" cm="1">
        <f t="array" ref="O279">_xlfn.IFS(N279=5,I279*15%,N279=4,I279*10%,N279=3,I279*7%,N279&lt;3,I279*5%)</f>
        <v>4627.4000000000005</v>
      </c>
    </row>
    <row r="280" spans="1:15">
      <c r="A280" s="24" t="s">
        <v>621</v>
      </c>
      <c r="B280" s="25" t="s">
        <v>42</v>
      </c>
      <c r="C280" s="25" t="s">
        <v>141</v>
      </c>
      <c r="D280" s="25" t="s">
        <v>19</v>
      </c>
      <c r="E280" s="25">
        <v>32</v>
      </c>
      <c r="F280" s="25" t="s">
        <v>20</v>
      </c>
      <c r="G280" s="25" t="s">
        <v>44</v>
      </c>
      <c r="H280" s="26">
        <v>44142</v>
      </c>
      <c r="I280" s="25">
        <v>60558</v>
      </c>
      <c r="J280" s="25" t="s">
        <v>62</v>
      </c>
      <c r="K280" s="25" t="s">
        <v>622</v>
      </c>
      <c r="L280" s="27" t="s">
        <v>24</v>
      </c>
      <c r="M280" s="28" t="str">
        <f>_xlfn.XLOOKUP(F280,Department!$A$2:$A$6,Department!$B$2:$B$6)</f>
        <v>HR</v>
      </c>
      <c r="N280" s="30">
        <f>_xlfn.XLOOKUP(A280,Performance!$A$2:$A$501,Performance!$C$2:$C$501)</f>
        <v>2</v>
      </c>
      <c r="O280" s="28" cm="1">
        <f t="array" ref="O280">_xlfn.IFS(N280=5,I280*15%,N280=4,I280*10%,N280=3,I280*7%,N280&lt;3,I280*5%)</f>
        <v>3027.9</v>
      </c>
    </row>
    <row r="281" spans="1:15">
      <c r="A281" s="24" t="s">
        <v>623</v>
      </c>
      <c r="B281" s="25" t="s">
        <v>53</v>
      </c>
      <c r="C281" s="25" t="s">
        <v>117</v>
      </c>
      <c r="D281" s="25" t="s">
        <v>19</v>
      </c>
      <c r="E281" s="25">
        <v>60</v>
      </c>
      <c r="F281" s="25" t="s">
        <v>29</v>
      </c>
      <c r="G281" s="25" t="s">
        <v>21</v>
      </c>
      <c r="H281" s="26">
        <v>44135</v>
      </c>
      <c r="I281" s="25">
        <v>40802</v>
      </c>
      <c r="J281" s="25" t="s">
        <v>81</v>
      </c>
      <c r="K281" s="25" t="s">
        <v>624</v>
      </c>
      <c r="L281" s="27" t="s">
        <v>24</v>
      </c>
      <c r="M281" s="28" t="str">
        <f>_xlfn.XLOOKUP(F281,Department!$A$2:$A$6,Department!$B$2:$B$6)</f>
        <v>IT</v>
      </c>
      <c r="N281" s="30">
        <f>_xlfn.XLOOKUP(A281,Performance!$A$2:$A$501,Performance!$C$2:$C$501)</f>
        <v>1</v>
      </c>
      <c r="O281" s="28" cm="1">
        <f t="array" ref="O281">_xlfn.IFS(N281=5,I281*15%,N281=4,I281*10%,N281=3,I281*7%,N281&lt;3,I281*5%)</f>
        <v>2040.1000000000001</v>
      </c>
    </row>
    <row r="282" spans="1:15">
      <c r="A282" s="24" t="s">
        <v>625</v>
      </c>
      <c r="B282" s="25" t="s">
        <v>126</v>
      </c>
      <c r="C282" s="25" t="s">
        <v>141</v>
      </c>
      <c r="D282" s="25" t="s">
        <v>28</v>
      </c>
      <c r="E282" s="25">
        <v>24</v>
      </c>
      <c r="F282" s="25" t="s">
        <v>43</v>
      </c>
      <c r="G282" s="25" t="s">
        <v>102</v>
      </c>
      <c r="H282" s="26">
        <v>44198</v>
      </c>
      <c r="I282" s="25">
        <v>117454</v>
      </c>
      <c r="J282" s="25" t="s">
        <v>67</v>
      </c>
      <c r="K282" s="25" t="s">
        <v>626</v>
      </c>
      <c r="L282" s="27" t="s">
        <v>39</v>
      </c>
      <c r="M282" s="28" t="str">
        <f>_xlfn.XLOOKUP(F282,Department!$A$2:$A$6,Department!$B$2:$B$6)</f>
        <v>Marketing</v>
      </c>
      <c r="N282" s="30">
        <f>_xlfn.XLOOKUP(A282,Performance!$A$2:$A$501,Performance!$C$2:$C$501)</f>
        <v>1</v>
      </c>
      <c r="O282" s="28" cm="1">
        <f t="array" ref="O282">_xlfn.IFS(N282=5,I282*15%,N282=4,I282*10%,N282=3,I282*7%,N282&lt;3,I282*5%)</f>
        <v>5872.7000000000007</v>
      </c>
    </row>
    <row r="283" spans="1:15">
      <c r="A283" s="24" t="s">
        <v>627</v>
      </c>
      <c r="B283" s="25" t="s">
        <v>126</v>
      </c>
      <c r="C283" s="25" t="s">
        <v>93</v>
      </c>
      <c r="D283" s="25" t="s">
        <v>28</v>
      </c>
      <c r="E283" s="25">
        <v>26</v>
      </c>
      <c r="F283" s="25" t="s">
        <v>35</v>
      </c>
      <c r="G283" s="25" t="s">
        <v>36</v>
      </c>
      <c r="H283" s="26">
        <v>44440</v>
      </c>
      <c r="I283" s="25">
        <v>48830</v>
      </c>
      <c r="J283" s="25" t="s">
        <v>67</v>
      </c>
      <c r="K283" s="25" t="s">
        <v>628</v>
      </c>
      <c r="L283" s="27" t="s">
        <v>24</v>
      </c>
      <c r="M283" s="28" t="str">
        <f>_xlfn.XLOOKUP(F283,Department!$A$2:$A$6,Department!$B$2:$B$6)</f>
        <v>Sales</v>
      </c>
      <c r="N283" s="30">
        <f>_xlfn.XLOOKUP(A283,Performance!$A$2:$A$501,Performance!$C$2:$C$501)</f>
        <v>1</v>
      </c>
      <c r="O283" s="28" cm="1">
        <f t="array" ref="O283">_xlfn.IFS(N283=5,I283*15%,N283=4,I283*10%,N283=3,I283*7%,N283&lt;3,I283*5%)</f>
        <v>2441.5</v>
      </c>
    </row>
    <row r="284" spans="1:15">
      <c r="A284" s="24" t="s">
        <v>629</v>
      </c>
      <c r="B284" s="25" t="s">
        <v>61</v>
      </c>
      <c r="C284" s="25" t="s">
        <v>27</v>
      </c>
      <c r="D284" s="25" t="s">
        <v>28</v>
      </c>
      <c r="E284" s="25">
        <v>36</v>
      </c>
      <c r="F284" s="25" t="s">
        <v>54</v>
      </c>
      <c r="G284" s="25" t="s">
        <v>21</v>
      </c>
      <c r="H284" s="26">
        <v>44479</v>
      </c>
      <c r="I284" s="25">
        <v>45532</v>
      </c>
      <c r="J284" s="25" t="s">
        <v>81</v>
      </c>
      <c r="K284" s="25" t="s">
        <v>630</v>
      </c>
      <c r="L284" s="27" t="s">
        <v>39</v>
      </c>
      <c r="M284" s="28" t="str">
        <f>_xlfn.XLOOKUP(F284,Department!$A$2:$A$6,Department!$B$2:$B$6)</f>
        <v>Finance</v>
      </c>
      <c r="N284" s="30">
        <f>_xlfn.XLOOKUP(A284,Performance!$A$2:$A$501,Performance!$C$2:$C$501)</f>
        <v>5</v>
      </c>
      <c r="O284" s="28" cm="1">
        <f t="array" ref="O284">_xlfn.IFS(N284=5,I284*15%,N284=4,I284*10%,N284=3,I284*7%,N284&lt;3,I284*5%)</f>
        <v>6829.8</v>
      </c>
    </row>
    <row r="285" spans="1:15">
      <c r="A285" s="24" t="s">
        <v>631</v>
      </c>
      <c r="B285" s="25" t="s">
        <v>48</v>
      </c>
      <c r="C285" s="25" t="s">
        <v>93</v>
      </c>
      <c r="D285" s="25" t="s">
        <v>28</v>
      </c>
      <c r="E285" s="25">
        <v>43</v>
      </c>
      <c r="F285" s="25" t="s">
        <v>43</v>
      </c>
      <c r="G285" s="25" t="s">
        <v>44</v>
      </c>
      <c r="H285" s="26">
        <v>44155</v>
      </c>
      <c r="I285" s="25">
        <v>44771</v>
      </c>
      <c r="J285" s="25" t="s">
        <v>67</v>
      </c>
      <c r="K285" s="25" t="s">
        <v>632</v>
      </c>
      <c r="L285" s="27" t="s">
        <v>24</v>
      </c>
      <c r="M285" s="28" t="str">
        <f>_xlfn.XLOOKUP(F285,Department!$A$2:$A$6,Department!$B$2:$B$6)</f>
        <v>Marketing</v>
      </c>
      <c r="N285" s="30">
        <f>_xlfn.XLOOKUP(A285,Performance!$A$2:$A$501,Performance!$C$2:$C$501)</f>
        <v>2</v>
      </c>
      <c r="O285" s="28" cm="1">
        <f t="array" ref="O285">_xlfn.IFS(N285=5,I285*15%,N285=4,I285*10%,N285=3,I285*7%,N285&lt;3,I285*5%)</f>
        <v>2238.5500000000002</v>
      </c>
    </row>
    <row r="286" spans="1:15">
      <c r="A286" s="24" t="s">
        <v>633</v>
      </c>
      <c r="B286" s="25" t="s">
        <v>58</v>
      </c>
      <c r="C286" s="25" t="s">
        <v>49</v>
      </c>
      <c r="D286" s="25" t="s">
        <v>19</v>
      </c>
      <c r="E286" s="25">
        <v>27</v>
      </c>
      <c r="F286" s="25" t="s">
        <v>43</v>
      </c>
      <c r="G286" s="25" t="s">
        <v>21</v>
      </c>
      <c r="H286" s="26">
        <v>45441</v>
      </c>
      <c r="I286" s="25">
        <v>46998</v>
      </c>
      <c r="J286" s="25" t="s">
        <v>62</v>
      </c>
      <c r="K286" s="25" t="s">
        <v>634</v>
      </c>
      <c r="L286" s="27" t="s">
        <v>39</v>
      </c>
      <c r="M286" s="28" t="str">
        <f>_xlfn.XLOOKUP(F286,Department!$A$2:$A$6,Department!$B$2:$B$6)</f>
        <v>Marketing</v>
      </c>
      <c r="N286" s="30">
        <f>_xlfn.XLOOKUP(A286,Performance!$A$2:$A$501,Performance!$C$2:$C$501)</f>
        <v>3</v>
      </c>
      <c r="O286" s="28" cm="1">
        <f t="array" ref="O286">_xlfn.IFS(N286=5,I286*15%,N286=4,I286*10%,N286=3,I286*7%,N286&lt;3,I286*5%)</f>
        <v>3289.86</v>
      </c>
    </row>
    <row r="287" spans="1:15">
      <c r="A287" s="24" t="s">
        <v>635</v>
      </c>
      <c r="B287" s="25" t="s">
        <v>74</v>
      </c>
      <c r="C287" s="25" t="s">
        <v>49</v>
      </c>
      <c r="D287" s="25" t="s">
        <v>19</v>
      </c>
      <c r="E287" s="25">
        <v>47</v>
      </c>
      <c r="F287" s="25" t="s">
        <v>35</v>
      </c>
      <c r="G287" s="25" t="s">
        <v>30</v>
      </c>
      <c r="H287" s="26">
        <v>43568</v>
      </c>
      <c r="I287" s="25">
        <v>106837</v>
      </c>
      <c r="J287" s="25" t="s">
        <v>81</v>
      </c>
      <c r="K287" s="25" t="s">
        <v>636</v>
      </c>
      <c r="L287" s="27" t="s">
        <v>39</v>
      </c>
      <c r="M287" s="28" t="str">
        <f>_xlfn.XLOOKUP(F287,Department!$A$2:$A$6,Department!$B$2:$B$6)</f>
        <v>Sales</v>
      </c>
      <c r="N287" s="30">
        <f>_xlfn.XLOOKUP(A287,Performance!$A$2:$A$501,Performance!$C$2:$C$501)</f>
        <v>3</v>
      </c>
      <c r="O287" s="28" cm="1">
        <f t="array" ref="O287">_xlfn.IFS(N287=5,I287*15%,N287=4,I287*10%,N287=3,I287*7%,N287&lt;3,I287*5%)</f>
        <v>7478.5900000000011</v>
      </c>
    </row>
    <row r="288" spans="1:15">
      <c r="A288" s="24" t="s">
        <v>637</v>
      </c>
      <c r="B288" s="25" t="s">
        <v>61</v>
      </c>
      <c r="C288" s="25" t="s">
        <v>117</v>
      </c>
      <c r="D288" s="25" t="s">
        <v>19</v>
      </c>
      <c r="E288" s="25">
        <v>52</v>
      </c>
      <c r="F288" s="25" t="s">
        <v>35</v>
      </c>
      <c r="G288" s="25" t="s">
        <v>102</v>
      </c>
      <c r="H288" s="26">
        <v>44091</v>
      </c>
      <c r="I288" s="25">
        <v>97878</v>
      </c>
      <c r="J288" s="25" t="s">
        <v>67</v>
      </c>
      <c r="K288" s="25" t="s">
        <v>638</v>
      </c>
      <c r="L288" s="27" t="s">
        <v>39</v>
      </c>
      <c r="M288" s="28" t="str">
        <f>_xlfn.XLOOKUP(F288,Department!$A$2:$A$6,Department!$B$2:$B$6)</f>
        <v>Sales</v>
      </c>
      <c r="N288" s="30">
        <f>_xlfn.XLOOKUP(A288,Performance!$A$2:$A$501,Performance!$C$2:$C$501)</f>
        <v>1</v>
      </c>
      <c r="O288" s="28" cm="1">
        <f t="array" ref="O288">_xlfn.IFS(N288=5,I288*15%,N288=4,I288*10%,N288=3,I288*7%,N288&lt;3,I288*5%)</f>
        <v>4893.9000000000005</v>
      </c>
    </row>
    <row r="289" spans="1:15">
      <c r="A289" s="24" t="s">
        <v>639</v>
      </c>
      <c r="B289" s="25" t="s">
        <v>58</v>
      </c>
      <c r="C289" s="25" t="s">
        <v>93</v>
      </c>
      <c r="D289" s="25" t="s">
        <v>19</v>
      </c>
      <c r="E289" s="25">
        <v>52</v>
      </c>
      <c r="F289" s="25" t="s">
        <v>35</v>
      </c>
      <c r="G289" s="25" t="s">
        <v>102</v>
      </c>
      <c r="H289" s="26">
        <v>44577</v>
      </c>
      <c r="I289" s="25">
        <v>42401</v>
      </c>
      <c r="J289" s="25" t="s">
        <v>67</v>
      </c>
      <c r="K289" s="25" t="s">
        <v>640</v>
      </c>
      <c r="L289" s="27" t="s">
        <v>39</v>
      </c>
      <c r="M289" s="28" t="str">
        <f>_xlfn.XLOOKUP(F289,Department!$A$2:$A$6,Department!$B$2:$B$6)</f>
        <v>Sales</v>
      </c>
      <c r="N289" s="30">
        <f>_xlfn.XLOOKUP(A289,Performance!$A$2:$A$501,Performance!$C$2:$C$501)</f>
        <v>4</v>
      </c>
      <c r="O289" s="28" cm="1">
        <f t="array" ref="O289">_xlfn.IFS(N289=5,I289*15%,N289=4,I289*10%,N289=3,I289*7%,N289&lt;3,I289*5%)</f>
        <v>4240.1000000000004</v>
      </c>
    </row>
    <row r="290" spans="1:15">
      <c r="A290" s="24" t="s">
        <v>641</v>
      </c>
      <c r="B290" s="25" t="s">
        <v>53</v>
      </c>
      <c r="C290" s="25" t="s">
        <v>141</v>
      </c>
      <c r="D290" s="25" t="s">
        <v>19</v>
      </c>
      <c r="E290" s="25">
        <v>59</v>
      </c>
      <c r="F290" s="25" t="s">
        <v>35</v>
      </c>
      <c r="G290" s="25" t="s">
        <v>30</v>
      </c>
      <c r="H290" s="26">
        <v>44290</v>
      </c>
      <c r="I290" s="25">
        <v>88760</v>
      </c>
      <c r="J290" s="25" t="s">
        <v>22</v>
      </c>
      <c r="K290" s="25" t="s">
        <v>642</v>
      </c>
      <c r="L290" s="27" t="s">
        <v>24</v>
      </c>
      <c r="M290" s="28" t="str">
        <f>_xlfn.XLOOKUP(F290,Department!$A$2:$A$6,Department!$B$2:$B$6)</f>
        <v>Sales</v>
      </c>
      <c r="N290" s="30">
        <f>_xlfn.XLOOKUP(A290,Performance!$A$2:$A$501,Performance!$C$2:$C$501)</f>
        <v>1</v>
      </c>
      <c r="O290" s="28" cm="1">
        <f t="array" ref="O290">_xlfn.IFS(N290=5,I290*15%,N290=4,I290*10%,N290=3,I290*7%,N290&lt;3,I290*5%)</f>
        <v>4438</v>
      </c>
    </row>
    <row r="291" spans="1:15">
      <c r="A291" s="24" t="s">
        <v>643</v>
      </c>
      <c r="B291" s="25" t="s">
        <v>92</v>
      </c>
      <c r="C291" s="25" t="s">
        <v>66</v>
      </c>
      <c r="D291" s="25" t="s">
        <v>28</v>
      </c>
      <c r="E291" s="25">
        <v>43</v>
      </c>
      <c r="F291" s="25" t="s">
        <v>43</v>
      </c>
      <c r="G291" s="25" t="s">
        <v>21</v>
      </c>
      <c r="H291" s="26">
        <v>44159</v>
      </c>
      <c r="I291" s="25">
        <v>55436</v>
      </c>
      <c r="J291" s="25" t="s">
        <v>81</v>
      </c>
      <c r="K291" s="25" t="s">
        <v>644</v>
      </c>
      <c r="L291" s="27" t="s">
        <v>24</v>
      </c>
      <c r="M291" s="28" t="str">
        <f>_xlfn.XLOOKUP(F291,Department!$A$2:$A$6,Department!$B$2:$B$6)</f>
        <v>Marketing</v>
      </c>
      <c r="N291" s="30">
        <f>_xlfn.XLOOKUP(A291,Performance!$A$2:$A$501,Performance!$C$2:$C$501)</f>
        <v>5</v>
      </c>
      <c r="O291" s="28" cm="1">
        <f t="array" ref="O291">_xlfn.IFS(N291=5,I291*15%,N291=4,I291*10%,N291=3,I291*7%,N291&lt;3,I291*5%)</f>
        <v>8315.4</v>
      </c>
    </row>
    <row r="292" spans="1:15">
      <c r="A292" s="24" t="s">
        <v>645</v>
      </c>
      <c r="B292" s="25" t="s">
        <v>61</v>
      </c>
      <c r="C292" s="25" t="s">
        <v>49</v>
      </c>
      <c r="D292" s="25" t="s">
        <v>19</v>
      </c>
      <c r="E292" s="25">
        <v>55</v>
      </c>
      <c r="F292" s="25" t="s">
        <v>35</v>
      </c>
      <c r="G292" s="25" t="s">
        <v>102</v>
      </c>
      <c r="H292" s="26">
        <v>44008</v>
      </c>
      <c r="I292" s="25">
        <v>84404</v>
      </c>
      <c r="J292" s="25" t="s">
        <v>22</v>
      </c>
      <c r="K292" s="25" t="s">
        <v>646</v>
      </c>
      <c r="L292" s="27" t="s">
        <v>39</v>
      </c>
      <c r="M292" s="28" t="str">
        <f>_xlfn.XLOOKUP(F292,Department!$A$2:$A$6,Department!$B$2:$B$6)</f>
        <v>Sales</v>
      </c>
      <c r="N292" s="30">
        <f>_xlfn.XLOOKUP(A292,Performance!$A$2:$A$501,Performance!$C$2:$C$501)</f>
        <v>3</v>
      </c>
      <c r="O292" s="28" cm="1">
        <f t="array" ref="O292">_xlfn.IFS(N292=5,I292*15%,N292=4,I292*10%,N292=3,I292*7%,N292&lt;3,I292*5%)</f>
        <v>5908.2800000000007</v>
      </c>
    </row>
    <row r="293" spans="1:15">
      <c r="A293" s="24" t="s">
        <v>647</v>
      </c>
      <c r="B293" s="25" t="s">
        <v>126</v>
      </c>
      <c r="C293" s="25" t="s">
        <v>117</v>
      </c>
      <c r="D293" s="25" t="s">
        <v>28</v>
      </c>
      <c r="E293" s="25">
        <v>24</v>
      </c>
      <c r="F293" s="25" t="s">
        <v>43</v>
      </c>
      <c r="G293" s="25" t="s">
        <v>30</v>
      </c>
      <c r="H293" s="26">
        <v>44331</v>
      </c>
      <c r="I293" s="25">
        <v>83157</v>
      </c>
      <c r="J293" s="25" t="s">
        <v>22</v>
      </c>
      <c r="K293" s="25" t="s">
        <v>648</v>
      </c>
      <c r="L293" s="27" t="s">
        <v>39</v>
      </c>
      <c r="M293" s="28" t="str">
        <f>_xlfn.XLOOKUP(F293,Department!$A$2:$A$6,Department!$B$2:$B$6)</f>
        <v>Marketing</v>
      </c>
      <c r="N293" s="30">
        <f>_xlfn.XLOOKUP(A293,Performance!$A$2:$A$501,Performance!$C$2:$C$501)</f>
        <v>3</v>
      </c>
      <c r="O293" s="28" cm="1">
        <f t="array" ref="O293">_xlfn.IFS(N293=5,I293*15%,N293=4,I293*10%,N293=3,I293*7%,N293&lt;3,I293*5%)</f>
        <v>5820.9900000000007</v>
      </c>
    </row>
    <row r="294" spans="1:15">
      <c r="A294" s="24" t="s">
        <v>649</v>
      </c>
      <c r="B294" s="25" t="s">
        <v>42</v>
      </c>
      <c r="C294" s="25" t="s">
        <v>49</v>
      </c>
      <c r="D294" s="25" t="s">
        <v>28</v>
      </c>
      <c r="E294" s="25">
        <v>50</v>
      </c>
      <c r="F294" s="25" t="s">
        <v>35</v>
      </c>
      <c r="G294" s="25" t="s">
        <v>30</v>
      </c>
      <c r="H294" s="26">
        <v>45136</v>
      </c>
      <c r="I294" s="25">
        <v>49330</v>
      </c>
      <c r="J294" s="25" t="s">
        <v>67</v>
      </c>
      <c r="K294" s="25" t="s">
        <v>650</v>
      </c>
      <c r="L294" s="27" t="s">
        <v>24</v>
      </c>
      <c r="M294" s="28" t="str">
        <f>_xlfn.XLOOKUP(F294,Department!$A$2:$A$6,Department!$B$2:$B$6)</f>
        <v>Sales</v>
      </c>
      <c r="N294" s="30">
        <f>_xlfn.XLOOKUP(A294,Performance!$A$2:$A$501,Performance!$C$2:$C$501)</f>
        <v>5</v>
      </c>
      <c r="O294" s="28" cm="1">
        <f t="array" ref="O294">_xlfn.IFS(N294=5,I294*15%,N294=4,I294*10%,N294=3,I294*7%,N294&lt;3,I294*5%)</f>
        <v>7399.5</v>
      </c>
    </row>
    <row r="295" spans="1:15">
      <c r="A295" s="24" t="s">
        <v>651</v>
      </c>
      <c r="B295" s="25" t="s">
        <v>17</v>
      </c>
      <c r="C295" s="25" t="s">
        <v>49</v>
      </c>
      <c r="D295" s="25" t="s">
        <v>28</v>
      </c>
      <c r="E295" s="25">
        <v>40</v>
      </c>
      <c r="F295" s="25" t="s">
        <v>29</v>
      </c>
      <c r="G295" s="25" t="s">
        <v>44</v>
      </c>
      <c r="H295" s="26">
        <v>43236</v>
      </c>
      <c r="I295" s="25">
        <v>89213</v>
      </c>
      <c r="J295" s="25" t="s">
        <v>37</v>
      </c>
      <c r="K295" s="25" t="s">
        <v>652</v>
      </c>
      <c r="L295" s="27" t="s">
        <v>24</v>
      </c>
      <c r="M295" s="28" t="str">
        <f>_xlfn.XLOOKUP(F295,Department!$A$2:$A$6,Department!$B$2:$B$6)</f>
        <v>IT</v>
      </c>
      <c r="N295" s="30">
        <f>_xlfn.XLOOKUP(A295,Performance!$A$2:$A$501,Performance!$C$2:$C$501)</f>
        <v>3</v>
      </c>
      <c r="O295" s="28" cm="1">
        <f t="array" ref="O295">_xlfn.IFS(N295=5,I295*15%,N295=4,I295*10%,N295=3,I295*7%,N295&lt;3,I295*5%)</f>
        <v>6244.9100000000008</v>
      </c>
    </row>
    <row r="296" spans="1:15">
      <c r="A296" s="24" t="s">
        <v>653</v>
      </c>
      <c r="B296" s="25" t="s">
        <v>126</v>
      </c>
      <c r="C296" s="25" t="s">
        <v>66</v>
      </c>
      <c r="D296" s="25" t="s">
        <v>28</v>
      </c>
      <c r="E296" s="25">
        <v>29</v>
      </c>
      <c r="F296" s="25" t="s">
        <v>20</v>
      </c>
      <c r="G296" s="25" t="s">
        <v>36</v>
      </c>
      <c r="H296" s="26">
        <v>44672</v>
      </c>
      <c r="I296" s="25">
        <v>75306</v>
      </c>
      <c r="J296" s="25" t="s">
        <v>67</v>
      </c>
      <c r="K296" s="25" t="s">
        <v>654</v>
      </c>
      <c r="L296" s="27" t="s">
        <v>39</v>
      </c>
      <c r="M296" s="28" t="str">
        <f>_xlfn.XLOOKUP(F296,Department!$A$2:$A$6,Department!$B$2:$B$6)</f>
        <v>HR</v>
      </c>
      <c r="N296" s="30">
        <f>_xlfn.XLOOKUP(A296,Performance!$A$2:$A$501,Performance!$C$2:$C$501)</f>
        <v>3</v>
      </c>
      <c r="O296" s="28" cm="1">
        <f t="array" ref="O296">_xlfn.IFS(N296=5,I296*15%,N296=4,I296*10%,N296=3,I296*7%,N296&lt;3,I296*5%)</f>
        <v>5271.42</v>
      </c>
    </row>
    <row r="297" spans="1:15">
      <c r="A297" s="24" t="s">
        <v>655</v>
      </c>
      <c r="B297" s="25" t="s">
        <v>34</v>
      </c>
      <c r="C297" s="25" t="s">
        <v>93</v>
      </c>
      <c r="D297" s="25" t="s">
        <v>19</v>
      </c>
      <c r="E297" s="25">
        <v>33</v>
      </c>
      <c r="F297" s="25" t="s">
        <v>29</v>
      </c>
      <c r="G297" s="25" t="s">
        <v>30</v>
      </c>
      <c r="H297" s="26">
        <v>43428</v>
      </c>
      <c r="I297" s="25">
        <v>88151</v>
      </c>
      <c r="J297" s="25" t="s">
        <v>81</v>
      </c>
      <c r="K297" s="25" t="s">
        <v>656</v>
      </c>
      <c r="L297" s="27" t="s">
        <v>39</v>
      </c>
      <c r="M297" s="28" t="str">
        <f>_xlfn.XLOOKUP(F297,Department!$A$2:$A$6,Department!$B$2:$B$6)</f>
        <v>IT</v>
      </c>
      <c r="N297" s="30">
        <f>_xlfn.XLOOKUP(A297,Performance!$A$2:$A$501,Performance!$C$2:$C$501)</f>
        <v>3</v>
      </c>
      <c r="O297" s="28" cm="1">
        <f t="array" ref="O297">_xlfn.IFS(N297=5,I297*15%,N297=4,I297*10%,N297=3,I297*7%,N297&lt;3,I297*5%)</f>
        <v>6170.5700000000006</v>
      </c>
    </row>
    <row r="298" spans="1:15">
      <c r="A298" s="24" t="s">
        <v>657</v>
      </c>
      <c r="B298" s="25" t="s">
        <v>17</v>
      </c>
      <c r="C298" s="25" t="s">
        <v>80</v>
      </c>
      <c r="D298" s="25" t="s">
        <v>28</v>
      </c>
      <c r="E298" s="25">
        <v>36</v>
      </c>
      <c r="F298" s="25" t="s">
        <v>35</v>
      </c>
      <c r="G298" s="25" t="s">
        <v>36</v>
      </c>
      <c r="H298" s="26">
        <v>45144</v>
      </c>
      <c r="I298" s="25">
        <v>112274</v>
      </c>
      <c r="J298" s="25" t="s">
        <v>62</v>
      </c>
      <c r="K298" s="25" t="s">
        <v>658</v>
      </c>
      <c r="L298" s="27" t="s">
        <v>39</v>
      </c>
      <c r="M298" s="28" t="str">
        <f>_xlfn.XLOOKUP(F298,Department!$A$2:$A$6,Department!$B$2:$B$6)</f>
        <v>Sales</v>
      </c>
      <c r="N298" s="30">
        <f>_xlfn.XLOOKUP(A298,Performance!$A$2:$A$501,Performance!$C$2:$C$501)</f>
        <v>3</v>
      </c>
      <c r="O298" s="28" cm="1">
        <f t="array" ref="O298">_xlfn.IFS(N298=5,I298*15%,N298=4,I298*10%,N298=3,I298*7%,N298&lt;3,I298*5%)</f>
        <v>7859.1800000000012</v>
      </c>
    </row>
    <row r="299" spans="1:15">
      <c r="A299" s="24" t="s">
        <v>659</v>
      </c>
      <c r="B299" s="25" t="s">
        <v>74</v>
      </c>
      <c r="C299" s="25" t="s">
        <v>18</v>
      </c>
      <c r="D299" s="25" t="s">
        <v>19</v>
      </c>
      <c r="E299" s="25">
        <v>39</v>
      </c>
      <c r="F299" s="25" t="s">
        <v>20</v>
      </c>
      <c r="G299" s="25" t="s">
        <v>44</v>
      </c>
      <c r="H299" s="26">
        <v>44096</v>
      </c>
      <c r="I299" s="25">
        <v>55507</v>
      </c>
      <c r="J299" s="25" t="s">
        <v>81</v>
      </c>
      <c r="K299" s="25" t="s">
        <v>660</v>
      </c>
      <c r="L299" s="27" t="s">
        <v>24</v>
      </c>
      <c r="M299" s="28" t="str">
        <f>_xlfn.XLOOKUP(F299,Department!$A$2:$A$6,Department!$B$2:$B$6)</f>
        <v>HR</v>
      </c>
      <c r="N299" s="30">
        <f>_xlfn.XLOOKUP(A299,Performance!$A$2:$A$501,Performance!$C$2:$C$501)</f>
        <v>3</v>
      </c>
      <c r="O299" s="28" cm="1">
        <f t="array" ref="O299">_xlfn.IFS(N299=5,I299*15%,N299=4,I299*10%,N299=3,I299*7%,N299&lt;3,I299*5%)</f>
        <v>3885.4900000000002</v>
      </c>
    </row>
    <row r="300" spans="1:15">
      <c r="A300" s="24" t="s">
        <v>661</v>
      </c>
      <c r="B300" s="25" t="s">
        <v>34</v>
      </c>
      <c r="C300" s="25" t="s">
        <v>93</v>
      </c>
      <c r="D300" s="25" t="s">
        <v>19</v>
      </c>
      <c r="E300" s="25">
        <v>24</v>
      </c>
      <c r="F300" s="25" t="s">
        <v>54</v>
      </c>
      <c r="G300" s="25" t="s">
        <v>21</v>
      </c>
      <c r="H300" s="26">
        <v>45217</v>
      </c>
      <c r="I300" s="25">
        <v>66638</v>
      </c>
      <c r="J300" s="25" t="s">
        <v>67</v>
      </c>
      <c r="K300" s="25" t="s">
        <v>662</v>
      </c>
      <c r="L300" s="27" t="s">
        <v>24</v>
      </c>
      <c r="M300" s="28" t="str">
        <f>_xlfn.XLOOKUP(F300,Department!$A$2:$A$6,Department!$B$2:$B$6)</f>
        <v>Finance</v>
      </c>
      <c r="N300" s="30">
        <f>_xlfn.XLOOKUP(A300,Performance!$A$2:$A$501,Performance!$C$2:$C$501)</f>
        <v>5</v>
      </c>
      <c r="O300" s="28" cm="1">
        <f t="array" ref="O300">_xlfn.IFS(N300=5,I300*15%,N300=4,I300*10%,N300=3,I300*7%,N300&lt;3,I300*5%)</f>
        <v>9995.6999999999989</v>
      </c>
    </row>
    <row r="301" spans="1:15">
      <c r="A301" s="24" t="s">
        <v>663</v>
      </c>
      <c r="B301" s="25" t="s">
        <v>48</v>
      </c>
      <c r="C301" s="25" t="s">
        <v>80</v>
      </c>
      <c r="D301" s="25" t="s">
        <v>19</v>
      </c>
      <c r="E301" s="25">
        <v>51</v>
      </c>
      <c r="F301" s="25" t="s">
        <v>20</v>
      </c>
      <c r="G301" s="25" t="s">
        <v>102</v>
      </c>
      <c r="H301" s="26">
        <v>44061</v>
      </c>
      <c r="I301" s="25">
        <v>43356</v>
      </c>
      <c r="J301" s="25" t="s">
        <v>67</v>
      </c>
      <c r="K301" s="25" t="s">
        <v>664</v>
      </c>
      <c r="L301" s="27" t="s">
        <v>24</v>
      </c>
      <c r="M301" s="28" t="str">
        <f>_xlfn.XLOOKUP(F301,Department!$A$2:$A$6,Department!$B$2:$B$6)</f>
        <v>HR</v>
      </c>
      <c r="N301" s="30">
        <f>_xlfn.XLOOKUP(A301,Performance!$A$2:$A$501,Performance!$C$2:$C$501)</f>
        <v>1</v>
      </c>
      <c r="O301" s="28" cm="1">
        <f t="array" ref="O301">_xlfn.IFS(N301=5,I301*15%,N301=4,I301*10%,N301=3,I301*7%,N301&lt;3,I301*5%)</f>
        <v>2167.8000000000002</v>
      </c>
    </row>
    <row r="302" spans="1:15">
      <c r="A302" s="24" t="s">
        <v>665</v>
      </c>
      <c r="B302" s="25" t="s">
        <v>42</v>
      </c>
      <c r="C302" s="25" t="s">
        <v>117</v>
      </c>
      <c r="D302" s="25" t="s">
        <v>19</v>
      </c>
      <c r="E302" s="25">
        <v>44</v>
      </c>
      <c r="F302" s="25" t="s">
        <v>35</v>
      </c>
      <c r="G302" s="25" t="s">
        <v>44</v>
      </c>
      <c r="H302" s="26">
        <v>45341</v>
      </c>
      <c r="I302" s="25">
        <v>82425</v>
      </c>
      <c r="J302" s="25" t="s">
        <v>81</v>
      </c>
      <c r="K302" s="25" t="s">
        <v>666</v>
      </c>
      <c r="L302" s="27" t="s">
        <v>24</v>
      </c>
      <c r="M302" s="28" t="str">
        <f>_xlfn.XLOOKUP(F302,Department!$A$2:$A$6,Department!$B$2:$B$6)</f>
        <v>Sales</v>
      </c>
      <c r="N302" s="30">
        <f>_xlfn.XLOOKUP(A302,Performance!$A$2:$A$501,Performance!$C$2:$C$501)</f>
        <v>4</v>
      </c>
      <c r="O302" s="28" cm="1">
        <f t="array" ref="O302">_xlfn.IFS(N302=5,I302*15%,N302=4,I302*10%,N302=3,I302*7%,N302&lt;3,I302*5%)</f>
        <v>8242.5</v>
      </c>
    </row>
    <row r="303" spans="1:15">
      <c r="A303" s="24" t="s">
        <v>667</v>
      </c>
      <c r="B303" s="25" t="s">
        <v>48</v>
      </c>
      <c r="C303" s="25" t="s">
        <v>27</v>
      </c>
      <c r="D303" s="25" t="s">
        <v>19</v>
      </c>
      <c r="E303" s="25">
        <v>23</v>
      </c>
      <c r="F303" s="25" t="s">
        <v>43</v>
      </c>
      <c r="G303" s="25" t="s">
        <v>44</v>
      </c>
      <c r="H303" s="26">
        <v>43125</v>
      </c>
      <c r="I303" s="25">
        <v>79670</v>
      </c>
      <c r="J303" s="25" t="s">
        <v>81</v>
      </c>
      <c r="K303" s="25" t="s">
        <v>668</v>
      </c>
      <c r="L303" s="27" t="s">
        <v>39</v>
      </c>
      <c r="M303" s="28" t="str">
        <f>_xlfn.XLOOKUP(F303,Department!$A$2:$A$6,Department!$B$2:$B$6)</f>
        <v>Marketing</v>
      </c>
      <c r="N303" s="30">
        <f>_xlfn.XLOOKUP(A303,Performance!$A$2:$A$501,Performance!$C$2:$C$501)</f>
        <v>2</v>
      </c>
      <c r="O303" s="28" cm="1">
        <f t="array" ref="O303">_xlfn.IFS(N303=5,I303*15%,N303=4,I303*10%,N303=3,I303*7%,N303&lt;3,I303*5%)</f>
        <v>3983.5</v>
      </c>
    </row>
    <row r="304" spans="1:15">
      <c r="A304" s="24" t="s">
        <v>669</v>
      </c>
      <c r="B304" s="25" t="s">
        <v>17</v>
      </c>
      <c r="C304" s="25" t="s">
        <v>18</v>
      </c>
      <c r="D304" s="25" t="s">
        <v>28</v>
      </c>
      <c r="E304" s="25">
        <v>58</v>
      </c>
      <c r="F304" s="25" t="s">
        <v>54</v>
      </c>
      <c r="G304" s="25" t="s">
        <v>36</v>
      </c>
      <c r="H304" s="26">
        <v>43806</v>
      </c>
      <c r="I304" s="25">
        <v>85427</v>
      </c>
      <c r="J304" s="25" t="s">
        <v>67</v>
      </c>
      <c r="K304" s="25" t="s">
        <v>670</v>
      </c>
      <c r="L304" s="27" t="s">
        <v>39</v>
      </c>
      <c r="M304" s="28" t="str">
        <f>_xlfn.XLOOKUP(F304,Department!$A$2:$A$6,Department!$B$2:$B$6)</f>
        <v>Finance</v>
      </c>
      <c r="N304" s="30">
        <f>_xlfn.XLOOKUP(A304,Performance!$A$2:$A$501,Performance!$C$2:$C$501)</f>
        <v>1</v>
      </c>
      <c r="O304" s="28" cm="1">
        <f t="array" ref="O304">_xlfn.IFS(N304=5,I304*15%,N304=4,I304*10%,N304=3,I304*7%,N304&lt;3,I304*5%)</f>
        <v>4271.3500000000004</v>
      </c>
    </row>
    <row r="305" spans="1:15">
      <c r="A305" s="24" t="s">
        <v>671</v>
      </c>
      <c r="B305" s="25" t="s">
        <v>126</v>
      </c>
      <c r="C305" s="25" t="s">
        <v>93</v>
      </c>
      <c r="D305" s="25" t="s">
        <v>19</v>
      </c>
      <c r="E305" s="25">
        <v>25</v>
      </c>
      <c r="F305" s="25" t="s">
        <v>29</v>
      </c>
      <c r="G305" s="25" t="s">
        <v>102</v>
      </c>
      <c r="H305" s="26">
        <v>43656</v>
      </c>
      <c r="I305" s="25">
        <v>76975</v>
      </c>
      <c r="J305" s="25" t="s">
        <v>37</v>
      </c>
      <c r="K305" s="25" t="s">
        <v>672</v>
      </c>
      <c r="L305" s="27" t="s">
        <v>24</v>
      </c>
      <c r="M305" s="28" t="str">
        <f>_xlfn.XLOOKUP(F305,Department!$A$2:$A$6,Department!$B$2:$B$6)</f>
        <v>IT</v>
      </c>
      <c r="N305" s="30">
        <f>_xlfn.XLOOKUP(A305,Performance!$A$2:$A$501,Performance!$C$2:$C$501)</f>
        <v>5</v>
      </c>
      <c r="O305" s="28" cm="1">
        <f t="array" ref="O305">_xlfn.IFS(N305=5,I305*15%,N305=4,I305*10%,N305=3,I305*7%,N305&lt;3,I305*5%)</f>
        <v>11546.25</v>
      </c>
    </row>
    <row r="306" spans="1:15">
      <c r="A306" s="24" t="s">
        <v>673</v>
      </c>
      <c r="B306" s="25" t="s">
        <v>42</v>
      </c>
      <c r="C306" s="25" t="s">
        <v>49</v>
      </c>
      <c r="D306" s="25" t="s">
        <v>19</v>
      </c>
      <c r="E306" s="25">
        <v>40</v>
      </c>
      <c r="F306" s="25" t="s">
        <v>20</v>
      </c>
      <c r="G306" s="25" t="s">
        <v>44</v>
      </c>
      <c r="H306" s="26">
        <v>43553</v>
      </c>
      <c r="I306" s="25">
        <v>52019</v>
      </c>
      <c r="J306" s="25" t="s">
        <v>81</v>
      </c>
      <c r="K306" s="25" t="s">
        <v>674</v>
      </c>
      <c r="L306" s="27" t="s">
        <v>24</v>
      </c>
      <c r="M306" s="28" t="str">
        <f>_xlfn.XLOOKUP(F306,Department!$A$2:$A$6,Department!$B$2:$B$6)</f>
        <v>HR</v>
      </c>
      <c r="N306" s="30">
        <f>_xlfn.XLOOKUP(A306,Performance!$A$2:$A$501,Performance!$C$2:$C$501)</f>
        <v>2</v>
      </c>
      <c r="O306" s="28" cm="1">
        <f t="array" ref="O306">_xlfn.IFS(N306=5,I306*15%,N306=4,I306*10%,N306=3,I306*7%,N306&lt;3,I306*5%)</f>
        <v>2600.9500000000003</v>
      </c>
    </row>
    <row r="307" spans="1:15">
      <c r="A307" s="24" t="s">
        <v>675</v>
      </c>
      <c r="B307" s="25" t="s">
        <v>61</v>
      </c>
      <c r="C307" s="25" t="s">
        <v>117</v>
      </c>
      <c r="D307" s="25" t="s">
        <v>19</v>
      </c>
      <c r="E307" s="25">
        <v>22</v>
      </c>
      <c r="F307" s="25" t="s">
        <v>20</v>
      </c>
      <c r="G307" s="25" t="s">
        <v>102</v>
      </c>
      <c r="H307" s="26">
        <v>44337</v>
      </c>
      <c r="I307" s="25">
        <v>89336</v>
      </c>
      <c r="J307" s="25" t="s">
        <v>67</v>
      </c>
      <c r="K307" s="25" t="s">
        <v>676</v>
      </c>
      <c r="L307" s="27" t="s">
        <v>24</v>
      </c>
      <c r="M307" s="28" t="str">
        <f>_xlfn.XLOOKUP(F307,Department!$A$2:$A$6,Department!$B$2:$B$6)</f>
        <v>HR</v>
      </c>
      <c r="N307" s="30">
        <f>_xlfn.XLOOKUP(A307,Performance!$A$2:$A$501,Performance!$C$2:$C$501)</f>
        <v>2</v>
      </c>
      <c r="O307" s="28" cm="1">
        <f t="array" ref="O307">_xlfn.IFS(N307=5,I307*15%,N307=4,I307*10%,N307=3,I307*7%,N307&lt;3,I307*5%)</f>
        <v>4466.8</v>
      </c>
    </row>
    <row r="308" spans="1:15">
      <c r="A308" s="24" t="s">
        <v>677</v>
      </c>
      <c r="B308" s="25" t="s">
        <v>42</v>
      </c>
      <c r="C308" s="25" t="s">
        <v>80</v>
      </c>
      <c r="D308" s="25" t="s">
        <v>28</v>
      </c>
      <c r="E308" s="25">
        <v>41</v>
      </c>
      <c r="F308" s="25" t="s">
        <v>54</v>
      </c>
      <c r="G308" s="25" t="s">
        <v>36</v>
      </c>
      <c r="H308" s="26">
        <v>45179</v>
      </c>
      <c r="I308" s="25">
        <v>81363</v>
      </c>
      <c r="J308" s="25" t="s">
        <v>62</v>
      </c>
      <c r="K308" s="25" t="s">
        <v>678</v>
      </c>
      <c r="L308" s="27" t="s">
        <v>39</v>
      </c>
      <c r="M308" s="28" t="str">
        <f>_xlfn.XLOOKUP(F308,Department!$A$2:$A$6,Department!$B$2:$B$6)</f>
        <v>Finance</v>
      </c>
      <c r="N308" s="30">
        <f>_xlfn.XLOOKUP(A308,Performance!$A$2:$A$501,Performance!$C$2:$C$501)</f>
        <v>2</v>
      </c>
      <c r="O308" s="28" cm="1">
        <f t="array" ref="O308">_xlfn.IFS(N308=5,I308*15%,N308=4,I308*10%,N308=3,I308*7%,N308&lt;3,I308*5%)</f>
        <v>4068.15</v>
      </c>
    </row>
    <row r="309" spans="1:15">
      <c r="A309" s="24" t="s">
        <v>679</v>
      </c>
      <c r="B309" s="25" t="s">
        <v>53</v>
      </c>
      <c r="C309" s="25" t="s">
        <v>84</v>
      </c>
      <c r="D309" s="25" t="s">
        <v>28</v>
      </c>
      <c r="E309" s="25">
        <v>45</v>
      </c>
      <c r="F309" s="25" t="s">
        <v>54</v>
      </c>
      <c r="G309" s="25" t="s">
        <v>21</v>
      </c>
      <c r="H309" s="26">
        <v>43363</v>
      </c>
      <c r="I309" s="25">
        <v>74751</v>
      </c>
      <c r="J309" s="25" t="s">
        <v>62</v>
      </c>
      <c r="K309" s="25" t="s">
        <v>680</v>
      </c>
      <c r="L309" s="27" t="s">
        <v>24</v>
      </c>
      <c r="M309" s="28" t="str">
        <f>_xlfn.XLOOKUP(F309,Department!$A$2:$A$6,Department!$B$2:$B$6)</f>
        <v>Finance</v>
      </c>
      <c r="N309" s="30">
        <f>_xlfn.XLOOKUP(A309,Performance!$A$2:$A$501,Performance!$C$2:$C$501)</f>
        <v>3</v>
      </c>
      <c r="O309" s="28" cm="1">
        <f t="array" ref="O309">_xlfn.IFS(N309=5,I309*15%,N309=4,I309*10%,N309=3,I309*7%,N309&lt;3,I309*5%)</f>
        <v>5232.5700000000006</v>
      </c>
    </row>
    <row r="310" spans="1:15">
      <c r="A310" s="24" t="s">
        <v>681</v>
      </c>
      <c r="B310" s="25" t="s">
        <v>126</v>
      </c>
      <c r="C310" s="25" t="s">
        <v>66</v>
      </c>
      <c r="D310" s="25" t="s">
        <v>19</v>
      </c>
      <c r="E310" s="25">
        <v>55</v>
      </c>
      <c r="F310" s="25" t="s">
        <v>54</v>
      </c>
      <c r="G310" s="25" t="s">
        <v>44</v>
      </c>
      <c r="H310" s="26">
        <v>44546</v>
      </c>
      <c r="I310" s="25">
        <v>75014</v>
      </c>
      <c r="J310" s="25" t="s">
        <v>67</v>
      </c>
      <c r="K310" s="25" t="s">
        <v>682</v>
      </c>
      <c r="L310" s="27" t="s">
        <v>24</v>
      </c>
      <c r="M310" s="28" t="str">
        <f>_xlfn.XLOOKUP(F310,Department!$A$2:$A$6,Department!$B$2:$B$6)</f>
        <v>Finance</v>
      </c>
      <c r="N310" s="30">
        <f>_xlfn.XLOOKUP(A310,Performance!$A$2:$A$501,Performance!$C$2:$C$501)</f>
        <v>1</v>
      </c>
      <c r="O310" s="28" cm="1">
        <f t="array" ref="O310">_xlfn.IFS(N310=5,I310*15%,N310=4,I310*10%,N310=3,I310*7%,N310&lt;3,I310*5%)</f>
        <v>3750.7000000000003</v>
      </c>
    </row>
    <row r="311" spans="1:15">
      <c r="A311" s="24" t="s">
        <v>683</v>
      </c>
      <c r="B311" s="25" t="s">
        <v>58</v>
      </c>
      <c r="C311" s="25" t="s">
        <v>66</v>
      </c>
      <c r="D311" s="25" t="s">
        <v>19</v>
      </c>
      <c r="E311" s="25">
        <v>55</v>
      </c>
      <c r="F311" s="25" t="s">
        <v>43</v>
      </c>
      <c r="G311" s="25" t="s">
        <v>30</v>
      </c>
      <c r="H311" s="26">
        <v>44608</v>
      </c>
      <c r="I311" s="25">
        <v>98004</v>
      </c>
      <c r="J311" s="25" t="s">
        <v>62</v>
      </c>
      <c r="K311" s="25" t="s">
        <v>684</v>
      </c>
      <c r="L311" s="27" t="s">
        <v>39</v>
      </c>
      <c r="M311" s="28" t="str">
        <f>_xlfn.XLOOKUP(F311,Department!$A$2:$A$6,Department!$B$2:$B$6)</f>
        <v>Marketing</v>
      </c>
      <c r="N311" s="30">
        <f>_xlfn.XLOOKUP(A311,Performance!$A$2:$A$501,Performance!$C$2:$C$501)</f>
        <v>3</v>
      </c>
      <c r="O311" s="28" cm="1">
        <f t="array" ref="O311">_xlfn.IFS(N311=5,I311*15%,N311=4,I311*10%,N311=3,I311*7%,N311&lt;3,I311*5%)</f>
        <v>6860.2800000000007</v>
      </c>
    </row>
    <row r="312" spans="1:15">
      <c r="A312" s="24" t="s">
        <v>685</v>
      </c>
      <c r="B312" s="25" t="s">
        <v>58</v>
      </c>
      <c r="C312" s="25" t="s">
        <v>27</v>
      </c>
      <c r="D312" s="25" t="s">
        <v>19</v>
      </c>
      <c r="E312" s="25">
        <v>27</v>
      </c>
      <c r="F312" s="25" t="s">
        <v>54</v>
      </c>
      <c r="G312" s="25" t="s">
        <v>21</v>
      </c>
      <c r="H312" s="26">
        <v>43322</v>
      </c>
      <c r="I312" s="25">
        <v>86048</v>
      </c>
      <c r="J312" s="25" t="s">
        <v>22</v>
      </c>
      <c r="K312" s="25" t="s">
        <v>686</v>
      </c>
      <c r="L312" s="27" t="s">
        <v>24</v>
      </c>
      <c r="M312" s="28" t="str">
        <f>_xlfn.XLOOKUP(F312,Department!$A$2:$A$6,Department!$B$2:$B$6)</f>
        <v>Finance</v>
      </c>
      <c r="N312" s="30">
        <f>_xlfn.XLOOKUP(A312,Performance!$A$2:$A$501,Performance!$C$2:$C$501)</f>
        <v>2</v>
      </c>
      <c r="O312" s="28" cm="1">
        <f t="array" ref="O312">_xlfn.IFS(N312=5,I312*15%,N312=4,I312*10%,N312=3,I312*7%,N312&lt;3,I312*5%)</f>
        <v>4302.4000000000005</v>
      </c>
    </row>
    <row r="313" spans="1:15">
      <c r="A313" s="24" t="s">
        <v>687</v>
      </c>
      <c r="B313" s="25" t="s">
        <v>126</v>
      </c>
      <c r="C313" s="25" t="s">
        <v>141</v>
      </c>
      <c r="D313" s="25" t="s">
        <v>28</v>
      </c>
      <c r="E313" s="25">
        <v>47</v>
      </c>
      <c r="F313" s="25" t="s">
        <v>35</v>
      </c>
      <c r="G313" s="25" t="s">
        <v>36</v>
      </c>
      <c r="H313" s="26">
        <v>43587</v>
      </c>
      <c r="I313" s="25">
        <v>105072</v>
      </c>
      <c r="J313" s="25" t="s">
        <v>37</v>
      </c>
      <c r="K313" s="25" t="s">
        <v>688</v>
      </c>
      <c r="L313" s="27" t="s">
        <v>39</v>
      </c>
      <c r="M313" s="28" t="str">
        <f>_xlfn.XLOOKUP(F313,Department!$A$2:$A$6,Department!$B$2:$B$6)</f>
        <v>Sales</v>
      </c>
      <c r="N313" s="30">
        <f>_xlfn.XLOOKUP(A313,Performance!$A$2:$A$501,Performance!$C$2:$C$501)</f>
        <v>4</v>
      </c>
      <c r="O313" s="28" cm="1">
        <f t="array" ref="O313">_xlfn.IFS(N313=5,I313*15%,N313=4,I313*10%,N313=3,I313*7%,N313&lt;3,I313*5%)</f>
        <v>10507.2</v>
      </c>
    </row>
    <row r="314" spans="1:15">
      <c r="A314" s="24" t="s">
        <v>689</v>
      </c>
      <c r="B314" s="25" t="s">
        <v>48</v>
      </c>
      <c r="C314" s="25" t="s">
        <v>141</v>
      </c>
      <c r="D314" s="25" t="s">
        <v>28</v>
      </c>
      <c r="E314" s="25">
        <v>24</v>
      </c>
      <c r="F314" s="25" t="s">
        <v>43</v>
      </c>
      <c r="G314" s="25" t="s">
        <v>21</v>
      </c>
      <c r="H314" s="26">
        <v>45169</v>
      </c>
      <c r="I314" s="25">
        <v>54389</v>
      </c>
      <c r="J314" s="25" t="s">
        <v>37</v>
      </c>
      <c r="K314" s="25" t="s">
        <v>690</v>
      </c>
      <c r="L314" s="27" t="s">
        <v>39</v>
      </c>
      <c r="M314" s="28" t="str">
        <f>_xlfn.XLOOKUP(F314,Department!$A$2:$A$6,Department!$B$2:$B$6)</f>
        <v>Marketing</v>
      </c>
      <c r="N314" s="30">
        <f>_xlfn.XLOOKUP(A314,Performance!$A$2:$A$501,Performance!$C$2:$C$501)</f>
        <v>5</v>
      </c>
      <c r="O314" s="28" cm="1">
        <f t="array" ref="O314">_xlfn.IFS(N314=5,I314*15%,N314=4,I314*10%,N314=3,I314*7%,N314&lt;3,I314*5%)</f>
        <v>8158.3499999999995</v>
      </c>
    </row>
    <row r="315" spans="1:15">
      <c r="A315" s="24" t="s">
        <v>691</v>
      </c>
      <c r="B315" s="25" t="s">
        <v>34</v>
      </c>
      <c r="C315" s="25" t="s">
        <v>27</v>
      </c>
      <c r="D315" s="25" t="s">
        <v>19</v>
      </c>
      <c r="E315" s="25">
        <v>58</v>
      </c>
      <c r="F315" s="25" t="s">
        <v>54</v>
      </c>
      <c r="G315" s="25" t="s">
        <v>21</v>
      </c>
      <c r="H315" s="26">
        <v>43164</v>
      </c>
      <c r="I315" s="25">
        <v>48029</v>
      </c>
      <c r="J315" s="25" t="s">
        <v>37</v>
      </c>
      <c r="K315" s="25" t="s">
        <v>692</v>
      </c>
      <c r="L315" s="27" t="s">
        <v>24</v>
      </c>
      <c r="M315" s="28" t="str">
        <f>_xlfn.XLOOKUP(F315,Department!$A$2:$A$6,Department!$B$2:$B$6)</f>
        <v>Finance</v>
      </c>
      <c r="N315" s="30">
        <f>_xlfn.XLOOKUP(A315,Performance!$A$2:$A$501,Performance!$C$2:$C$501)</f>
        <v>3</v>
      </c>
      <c r="O315" s="28" cm="1">
        <f t="array" ref="O315">_xlfn.IFS(N315=5,I315*15%,N315=4,I315*10%,N315=3,I315*7%,N315&lt;3,I315*5%)</f>
        <v>3362.03</v>
      </c>
    </row>
    <row r="316" spans="1:15">
      <c r="A316" s="24" t="s">
        <v>693</v>
      </c>
      <c r="B316" s="25" t="s">
        <v>17</v>
      </c>
      <c r="C316" s="25" t="s">
        <v>141</v>
      </c>
      <c r="D316" s="25" t="s">
        <v>19</v>
      </c>
      <c r="E316" s="25">
        <v>45</v>
      </c>
      <c r="F316" s="25" t="s">
        <v>54</v>
      </c>
      <c r="G316" s="25" t="s">
        <v>21</v>
      </c>
      <c r="H316" s="26">
        <v>44014</v>
      </c>
      <c r="I316" s="25">
        <v>98879</v>
      </c>
      <c r="J316" s="25" t="s">
        <v>67</v>
      </c>
      <c r="K316" s="25" t="s">
        <v>694</v>
      </c>
      <c r="L316" s="27" t="s">
        <v>24</v>
      </c>
      <c r="M316" s="28" t="str">
        <f>_xlfn.XLOOKUP(F316,Department!$A$2:$A$6,Department!$B$2:$B$6)</f>
        <v>Finance</v>
      </c>
      <c r="N316" s="30">
        <f>_xlfn.XLOOKUP(A316,Performance!$A$2:$A$501,Performance!$C$2:$C$501)</f>
        <v>1</v>
      </c>
      <c r="O316" s="28" cm="1">
        <f t="array" ref="O316">_xlfn.IFS(N316=5,I316*15%,N316=4,I316*10%,N316=3,I316*7%,N316&lt;3,I316*5%)</f>
        <v>4943.9500000000007</v>
      </c>
    </row>
    <row r="317" spans="1:15">
      <c r="A317" s="24" t="s">
        <v>695</v>
      </c>
      <c r="B317" s="25" t="s">
        <v>58</v>
      </c>
      <c r="C317" s="25" t="s">
        <v>117</v>
      </c>
      <c r="D317" s="25" t="s">
        <v>19</v>
      </c>
      <c r="E317" s="25">
        <v>41</v>
      </c>
      <c r="F317" s="25" t="s">
        <v>43</v>
      </c>
      <c r="G317" s="25" t="s">
        <v>44</v>
      </c>
      <c r="H317" s="26">
        <v>43729</v>
      </c>
      <c r="I317" s="25">
        <v>41158</v>
      </c>
      <c r="J317" s="25" t="s">
        <v>22</v>
      </c>
      <c r="K317" s="25" t="s">
        <v>696</v>
      </c>
      <c r="L317" s="27" t="s">
        <v>39</v>
      </c>
      <c r="M317" s="28" t="str">
        <f>_xlfn.XLOOKUP(F317,Department!$A$2:$A$6,Department!$B$2:$B$6)</f>
        <v>Marketing</v>
      </c>
      <c r="N317" s="30">
        <f>_xlfn.XLOOKUP(A317,Performance!$A$2:$A$501,Performance!$C$2:$C$501)</f>
        <v>5</v>
      </c>
      <c r="O317" s="28" cm="1">
        <f t="array" ref="O317">_xlfn.IFS(N317=5,I317*15%,N317=4,I317*10%,N317=3,I317*7%,N317&lt;3,I317*5%)</f>
        <v>6173.7</v>
      </c>
    </row>
    <row r="318" spans="1:15">
      <c r="A318" s="24" t="s">
        <v>697</v>
      </c>
      <c r="B318" s="25" t="s">
        <v>58</v>
      </c>
      <c r="C318" s="25" t="s">
        <v>27</v>
      </c>
      <c r="D318" s="25" t="s">
        <v>28</v>
      </c>
      <c r="E318" s="25">
        <v>31</v>
      </c>
      <c r="F318" s="25" t="s">
        <v>35</v>
      </c>
      <c r="G318" s="25" t="s">
        <v>30</v>
      </c>
      <c r="H318" s="26">
        <v>43474</v>
      </c>
      <c r="I318" s="25">
        <v>57027</v>
      </c>
      <c r="J318" s="25" t="s">
        <v>37</v>
      </c>
      <c r="K318" s="25" t="s">
        <v>698</v>
      </c>
      <c r="L318" s="27" t="s">
        <v>39</v>
      </c>
      <c r="M318" s="28" t="str">
        <f>_xlfn.XLOOKUP(F318,Department!$A$2:$A$6,Department!$B$2:$B$6)</f>
        <v>Sales</v>
      </c>
      <c r="N318" s="30">
        <f>_xlfn.XLOOKUP(A318,Performance!$A$2:$A$501,Performance!$C$2:$C$501)</f>
        <v>2</v>
      </c>
      <c r="O318" s="28" cm="1">
        <f t="array" ref="O318">_xlfn.IFS(N318=5,I318*15%,N318=4,I318*10%,N318=3,I318*7%,N318&lt;3,I318*5%)</f>
        <v>2851.3500000000004</v>
      </c>
    </row>
    <row r="319" spans="1:15">
      <c r="A319" s="24" t="s">
        <v>699</v>
      </c>
      <c r="B319" s="25" t="s">
        <v>126</v>
      </c>
      <c r="C319" s="25" t="s">
        <v>117</v>
      </c>
      <c r="D319" s="25" t="s">
        <v>19</v>
      </c>
      <c r="E319" s="25">
        <v>24</v>
      </c>
      <c r="F319" s="25" t="s">
        <v>35</v>
      </c>
      <c r="G319" s="25" t="s">
        <v>30</v>
      </c>
      <c r="H319" s="26">
        <v>43449</v>
      </c>
      <c r="I319" s="25">
        <v>56782</v>
      </c>
      <c r="J319" s="25" t="s">
        <v>37</v>
      </c>
      <c r="K319" s="25" t="s">
        <v>700</v>
      </c>
      <c r="L319" s="27" t="s">
        <v>24</v>
      </c>
      <c r="M319" s="28" t="str">
        <f>_xlfn.XLOOKUP(F319,Department!$A$2:$A$6,Department!$B$2:$B$6)</f>
        <v>Sales</v>
      </c>
      <c r="N319" s="30">
        <f>_xlfn.XLOOKUP(A319,Performance!$A$2:$A$501,Performance!$C$2:$C$501)</f>
        <v>2</v>
      </c>
      <c r="O319" s="28" cm="1">
        <f t="array" ref="O319">_xlfn.IFS(N319=5,I319*15%,N319=4,I319*10%,N319=3,I319*7%,N319&lt;3,I319*5%)</f>
        <v>2839.1000000000004</v>
      </c>
    </row>
    <row r="320" spans="1:15">
      <c r="A320" s="24" t="s">
        <v>701</v>
      </c>
      <c r="B320" s="25" t="s">
        <v>42</v>
      </c>
      <c r="C320" s="25" t="s">
        <v>93</v>
      </c>
      <c r="D320" s="25" t="s">
        <v>19</v>
      </c>
      <c r="E320" s="25">
        <v>53</v>
      </c>
      <c r="F320" s="25" t="s">
        <v>35</v>
      </c>
      <c r="G320" s="25" t="s">
        <v>21</v>
      </c>
      <c r="H320" s="26">
        <v>44038</v>
      </c>
      <c r="I320" s="25">
        <v>50653</v>
      </c>
      <c r="J320" s="25" t="s">
        <v>22</v>
      </c>
      <c r="K320" s="25" t="s">
        <v>702</v>
      </c>
      <c r="L320" s="27" t="s">
        <v>39</v>
      </c>
      <c r="M320" s="28" t="str">
        <f>_xlfn.XLOOKUP(F320,Department!$A$2:$A$6,Department!$B$2:$B$6)</f>
        <v>Sales</v>
      </c>
      <c r="N320" s="30">
        <f>_xlfn.XLOOKUP(A320,Performance!$A$2:$A$501,Performance!$C$2:$C$501)</f>
        <v>3</v>
      </c>
      <c r="O320" s="28" cm="1">
        <f t="array" ref="O320">_xlfn.IFS(N320=5,I320*15%,N320=4,I320*10%,N320=3,I320*7%,N320&lt;3,I320*5%)</f>
        <v>3545.7100000000005</v>
      </c>
    </row>
    <row r="321" spans="1:15">
      <c r="A321" s="24" t="s">
        <v>703</v>
      </c>
      <c r="B321" s="25" t="s">
        <v>42</v>
      </c>
      <c r="C321" s="25" t="s">
        <v>84</v>
      </c>
      <c r="D321" s="25" t="s">
        <v>19</v>
      </c>
      <c r="E321" s="25">
        <v>37</v>
      </c>
      <c r="F321" s="25" t="s">
        <v>20</v>
      </c>
      <c r="G321" s="25" t="s">
        <v>44</v>
      </c>
      <c r="H321" s="26">
        <v>44316</v>
      </c>
      <c r="I321" s="25">
        <v>104915</v>
      </c>
      <c r="J321" s="25" t="s">
        <v>81</v>
      </c>
      <c r="K321" s="25" t="s">
        <v>704</v>
      </c>
      <c r="L321" s="27" t="s">
        <v>39</v>
      </c>
      <c r="M321" s="28" t="str">
        <f>_xlfn.XLOOKUP(F321,Department!$A$2:$A$6,Department!$B$2:$B$6)</f>
        <v>HR</v>
      </c>
      <c r="N321" s="30">
        <f>_xlfn.XLOOKUP(A321,Performance!$A$2:$A$501,Performance!$C$2:$C$501)</f>
        <v>2</v>
      </c>
      <c r="O321" s="28" cm="1">
        <f t="array" ref="O321">_xlfn.IFS(N321=5,I321*15%,N321=4,I321*10%,N321=3,I321*7%,N321&lt;3,I321*5%)</f>
        <v>5245.75</v>
      </c>
    </row>
    <row r="322" spans="1:15">
      <c r="A322" s="24" t="s">
        <v>705</v>
      </c>
      <c r="B322" s="25" t="s">
        <v>48</v>
      </c>
      <c r="C322" s="25" t="s">
        <v>93</v>
      </c>
      <c r="D322" s="25" t="s">
        <v>28</v>
      </c>
      <c r="E322" s="25">
        <v>43</v>
      </c>
      <c r="F322" s="25" t="s">
        <v>35</v>
      </c>
      <c r="G322" s="25" t="s">
        <v>44</v>
      </c>
      <c r="H322" s="26">
        <v>44814</v>
      </c>
      <c r="I322" s="25">
        <v>87776</v>
      </c>
      <c r="J322" s="25" t="s">
        <v>81</v>
      </c>
      <c r="K322" s="25" t="s">
        <v>706</v>
      </c>
      <c r="L322" s="27" t="s">
        <v>39</v>
      </c>
      <c r="M322" s="28" t="str">
        <f>_xlfn.XLOOKUP(F322,Department!$A$2:$A$6,Department!$B$2:$B$6)</f>
        <v>Sales</v>
      </c>
      <c r="N322" s="30">
        <f>_xlfn.XLOOKUP(A322,Performance!$A$2:$A$501,Performance!$C$2:$C$501)</f>
        <v>5</v>
      </c>
      <c r="O322" s="28" cm="1">
        <f t="array" ref="O322">_xlfn.IFS(N322=5,I322*15%,N322=4,I322*10%,N322=3,I322*7%,N322&lt;3,I322*5%)</f>
        <v>13166.4</v>
      </c>
    </row>
    <row r="323" spans="1:15">
      <c r="A323" s="24" t="s">
        <v>707</v>
      </c>
      <c r="B323" s="25" t="s">
        <v>61</v>
      </c>
      <c r="C323" s="25" t="s">
        <v>117</v>
      </c>
      <c r="D323" s="25" t="s">
        <v>19</v>
      </c>
      <c r="E323" s="25">
        <v>49</v>
      </c>
      <c r="F323" s="25" t="s">
        <v>43</v>
      </c>
      <c r="G323" s="25" t="s">
        <v>36</v>
      </c>
      <c r="H323" s="26">
        <v>43460</v>
      </c>
      <c r="I323" s="25">
        <v>52338</v>
      </c>
      <c r="J323" s="25" t="s">
        <v>62</v>
      </c>
      <c r="K323" s="25" t="s">
        <v>708</v>
      </c>
      <c r="L323" s="27" t="s">
        <v>39</v>
      </c>
      <c r="M323" s="28" t="str">
        <f>_xlfn.XLOOKUP(F323,Department!$A$2:$A$6,Department!$B$2:$B$6)</f>
        <v>Marketing</v>
      </c>
      <c r="N323" s="30">
        <f>_xlfn.XLOOKUP(A323,Performance!$A$2:$A$501,Performance!$C$2:$C$501)</f>
        <v>3</v>
      </c>
      <c r="O323" s="28" cm="1">
        <f t="array" ref="O323">_xlfn.IFS(N323=5,I323*15%,N323=4,I323*10%,N323=3,I323*7%,N323&lt;3,I323*5%)</f>
        <v>3663.6600000000003</v>
      </c>
    </row>
    <row r="324" spans="1:15">
      <c r="A324" s="24" t="s">
        <v>709</v>
      </c>
      <c r="B324" s="25" t="s">
        <v>34</v>
      </c>
      <c r="C324" s="25" t="s">
        <v>49</v>
      </c>
      <c r="D324" s="25" t="s">
        <v>19</v>
      </c>
      <c r="E324" s="25">
        <v>53</v>
      </c>
      <c r="F324" s="25" t="s">
        <v>43</v>
      </c>
      <c r="G324" s="25" t="s">
        <v>36</v>
      </c>
      <c r="H324" s="26">
        <v>44324</v>
      </c>
      <c r="I324" s="25">
        <v>45630</v>
      </c>
      <c r="J324" s="25" t="s">
        <v>67</v>
      </c>
      <c r="K324" s="25" t="s">
        <v>710</v>
      </c>
      <c r="L324" s="27" t="s">
        <v>39</v>
      </c>
      <c r="M324" s="28" t="str">
        <f>_xlfn.XLOOKUP(F324,Department!$A$2:$A$6,Department!$B$2:$B$6)</f>
        <v>Marketing</v>
      </c>
      <c r="N324" s="30">
        <f>_xlfn.XLOOKUP(A324,Performance!$A$2:$A$501,Performance!$C$2:$C$501)</f>
        <v>3</v>
      </c>
      <c r="O324" s="28" cm="1">
        <f t="array" ref="O324">_xlfn.IFS(N324=5,I324*15%,N324=4,I324*10%,N324=3,I324*7%,N324&lt;3,I324*5%)</f>
        <v>3194.1000000000004</v>
      </c>
    </row>
    <row r="325" spans="1:15">
      <c r="A325" s="24" t="s">
        <v>711</v>
      </c>
      <c r="B325" s="25" t="s">
        <v>42</v>
      </c>
      <c r="C325" s="25" t="s">
        <v>49</v>
      </c>
      <c r="D325" s="25" t="s">
        <v>28</v>
      </c>
      <c r="E325" s="25">
        <v>44</v>
      </c>
      <c r="F325" s="25" t="s">
        <v>43</v>
      </c>
      <c r="G325" s="25" t="s">
        <v>36</v>
      </c>
      <c r="H325" s="26">
        <v>44658</v>
      </c>
      <c r="I325" s="25">
        <v>80403</v>
      </c>
      <c r="J325" s="25" t="s">
        <v>62</v>
      </c>
      <c r="K325" s="25" t="s">
        <v>712</v>
      </c>
      <c r="L325" s="27" t="s">
        <v>24</v>
      </c>
      <c r="M325" s="28" t="str">
        <f>_xlfn.XLOOKUP(F325,Department!$A$2:$A$6,Department!$B$2:$B$6)</f>
        <v>Marketing</v>
      </c>
      <c r="N325" s="30">
        <f>_xlfn.XLOOKUP(A325,Performance!$A$2:$A$501,Performance!$C$2:$C$501)</f>
        <v>4</v>
      </c>
      <c r="O325" s="28" cm="1">
        <f t="array" ref="O325">_xlfn.IFS(N325=5,I325*15%,N325=4,I325*10%,N325=3,I325*7%,N325&lt;3,I325*5%)</f>
        <v>8040.3</v>
      </c>
    </row>
    <row r="326" spans="1:15">
      <c r="A326" s="24" t="s">
        <v>713</v>
      </c>
      <c r="B326" s="25" t="s">
        <v>48</v>
      </c>
      <c r="C326" s="25" t="s">
        <v>49</v>
      </c>
      <c r="D326" s="25" t="s">
        <v>28</v>
      </c>
      <c r="E326" s="25">
        <v>51</v>
      </c>
      <c r="F326" s="25" t="s">
        <v>43</v>
      </c>
      <c r="G326" s="25" t="s">
        <v>30</v>
      </c>
      <c r="H326" s="26">
        <v>43531</v>
      </c>
      <c r="I326" s="25">
        <v>82902</v>
      </c>
      <c r="J326" s="25" t="s">
        <v>81</v>
      </c>
      <c r="K326" s="25" t="s">
        <v>714</v>
      </c>
      <c r="L326" s="27" t="s">
        <v>39</v>
      </c>
      <c r="M326" s="28" t="str">
        <f>_xlfn.XLOOKUP(F326,Department!$A$2:$A$6,Department!$B$2:$B$6)</f>
        <v>Marketing</v>
      </c>
      <c r="N326" s="30">
        <f>_xlfn.XLOOKUP(A326,Performance!$A$2:$A$501,Performance!$C$2:$C$501)</f>
        <v>1</v>
      </c>
      <c r="O326" s="28" cm="1">
        <f t="array" ref="O326">_xlfn.IFS(N326=5,I326*15%,N326=4,I326*10%,N326=3,I326*7%,N326&lt;3,I326*5%)</f>
        <v>4145.1000000000004</v>
      </c>
    </row>
    <row r="327" spans="1:15">
      <c r="A327" s="24" t="s">
        <v>715</v>
      </c>
      <c r="B327" s="25" t="s">
        <v>17</v>
      </c>
      <c r="C327" s="25" t="s">
        <v>141</v>
      </c>
      <c r="D327" s="25" t="s">
        <v>28</v>
      </c>
      <c r="E327" s="25">
        <v>46</v>
      </c>
      <c r="F327" s="25" t="s">
        <v>43</v>
      </c>
      <c r="G327" s="25" t="s">
        <v>102</v>
      </c>
      <c r="H327" s="26">
        <v>43510</v>
      </c>
      <c r="I327" s="25">
        <v>89841</v>
      </c>
      <c r="J327" s="25" t="s">
        <v>81</v>
      </c>
      <c r="K327" s="25" t="s">
        <v>716</v>
      </c>
      <c r="L327" s="27" t="s">
        <v>24</v>
      </c>
      <c r="M327" s="28" t="str">
        <f>_xlfn.XLOOKUP(F327,Department!$A$2:$A$6,Department!$B$2:$B$6)</f>
        <v>Marketing</v>
      </c>
      <c r="N327" s="30">
        <f>_xlfn.XLOOKUP(A327,Performance!$A$2:$A$501,Performance!$C$2:$C$501)</f>
        <v>1</v>
      </c>
      <c r="O327" s="28" cm="1">
        <f t="array" ref="O327">_xlfn.IFS(N327=5,I327*15%,N327=4,I327*10%,N327=3,I327*7%,N327&lt;3,I327*5%)</f>
        <v>4492.05</v>
      </c>
    </row>
    <row r="328" spans="1:15">
      <c r="A328" s="24" t="s">
        <v>717</v>
      </c>
      <c r="B328" s="25" t="s">
        <v>58</v>
      </c>
      <c r="C328" s="25" t="s">
        <v>89</v>
      </c>
      <c r="D328" s="25" t="s">
        <v>28</v>
      </c>
      <c r="E328" s="25">
        <v>36</v>
      </c>
      <c r="F328" s="25" t="s">
        <v>29</v>
      </c>
      <c r="G328" s="25" t="s">
        <v>30</v>
      </c>
      <c r="H328" s="26">
        <v>45057</v>
      </c>
      <c r="I328" s="25">
        <v>112396</v>
      </c>
      <c r="J328" s="25" t="s">
        <v>62</v>
      </c>
      <c r="K328" s="25" t="s">
        <v>718</v>
      </c>
      <c r="L328" s="27" t="s">
        <v>24</v>
      </c>
      <c r="M328" s="28" t="str">
        <f>_xlfn.XLOOKUP(F328,Department!$A$2:$A$6,Department!$B$2:$B$6)</f>
        <v>IT</v>
      </c>
      <c r="N328" s="30">
        <f>_xlfn.XLOOKUP(A328,Performance!$A$2:$A$501,Performance!$C$2:$C$501)</f>
        <v>5</v>
      </c>
      <c r="O328" s="28" cm="1">
        <f t="array" ref="O328">_xlfn.IFS(N328=5,I328*15%,N328=4,I328*10%,N328=3,I328*7%,N328&lt;3,I328*5%)</f>
        <v>16859.399999999998</v>
      </c>
    </row>
    <row r="329" spans="1:15">
      <c r="A329" s="24" t="s">
        <v>719</v>
      </c>
      <c r="B329" s="25" t="s">
        <v>58</v>
      </c>
      <c r="C329" s="25" t="s">
        <v>27</v>
      </c>
      <c r="D329" s="25" t="s">
        <v>28</v>
      </c>
      <c r="E329" s="25">
        <v>39</v>
      </c>
      <c r="F329" s="25" t="s">
        <v>20</v>
      </c>
      <c r="G329" s="25" t="s">
        <v>102</v>
      </c>
      <c r="H329" s="26">
        <v>44850</v>
      </c>
      <c r="I329" s="25">
        <v>91433</v>
      </c>
      <c r="J329" s="25" t="s">
        <v>81</v>
      </c>
      <c r="K329" s="25" t="s">
        <v>720</v>
      </c>
      <c r="L329" s="27" t="s">
        <v>39</v>
      </c>
      <c r="M329" s="28" t="str">
        <f>_xlfn.XLOOKUP(F329,Department!$A$2:$A$6,Department!$B$2:$B$6)</f>
        <v>HR</v>
      </c>
      <c r="N329" s="30">
        <f>_xlfn.XLOOKUP(A329,Performance!$A$2:$A$501,Performance!$C$2:$C$501)</f>
        <v>5</v>
      </c>
      <c r="O329" s="28" cm="1">
        <f t="array" ref="O329">_xlfn.IFS(N329=5,I329*15%,N329=4,I329*10%,N329=3,I329*7%,N329&lt;3,I329*5%)</f>
        <v>13714.949999999999</v>
      </c>
    </row>
    <row r="330" spans="1:15">
      <c r="A330" s="24" t="s">
        <v>721</v>
      </c>
      <c r="B330" s="25" t="s">
        <v>53</v>
      </c>
      <c r="C330" s="25" t="s">
        <v>93</v>
      </c>
      <c r="D330" s="25" t="s">
        <v>19</v>
      </c>
      <c r="E330" s="25">
        <v>58</v>
      </c>
      <c r="F330" s="25" t="s">
        <v>43</v>
      </c>
      <c r="G330" s="25" t="s">
        <v>36</v>
      </c>
      <c r="H330" s="26">
        <v>44282</v>
      </c>
      <c r="I330" s="25">
        <v>75628</v>
      </c>
      <c r="J330" s="25" t="s">
        <v>62</v>
      </c>
      <c r="K330" s="25" t="s">
        <v>722</v>
      </c>
      <c r="L330" s="27" t="s">
        <v>24</v>
      </c>
      <c r="M330" s="28" t="str">
        <f>_xlfn.XLOOKUP(F330,Department!$A$2:$A$6,Department!$B$2:$B$6)</f>
        <v>Marketing</v>
      </c>
      <c r="N330" s="30">
        <f>_xlfn.XLOOKUP(A330,Performance!$A$2:$A$501,Performance!$C$2:$C$501)</f>
        <v>5</v>
      </c>
      <c r="O330" s="28" cm="1">
        <f t="array" ref="O330">_xlfn.IFS(N330=5,I330*15%,N330=4,I330*10%,N330=3,I330*7%,N330&lt;3,I330*5%)</f>
        <v>11344.199999999999</v>
      </c>
    </row>
    <row r="331" spans="1:15">
      <c r="A331" s="24" t="s">
        <v>723</v>
      </c>
      <c r="B331" s="25" t="s">
        <v>17</v>
      </c>
      <c r="C331" s="25" t="s">
        <v>49</v>
      </c>
      <c r="D331" s="25" t="s">
        <v>19</v>
      </c>
      <c r="E331" s="25">
        <v>56</v>
      </c>
      <c r="F331" s="25" t="s">
        <v>54</v>
      </c>
      <c r="G331" s="25" t="s">
        <v>21</v>
      </c>
      <c r="H331" s="26">
        <v>45005</v>
      </c>
      <c r="I331" s="25">
        <v>68036</v>
      </c>
      <c r="J331" s="25" t="s">
        <v>81</v>
      </c>
      <c r="K331" s="25" t="s">
        <v>724</v>
      </c>
      <c r="L331" s="27" t="s">
        <v>39</v>
      </c>
      <c r="M331" s="28" t="str">
        <f>_xlfn.XLOOKUP(F331,Department!$A$2:$A$6,Department!$B$2:$B$6)</f>
        <v>Finance</v>
      </c>
      <c r="N331" s="30">
        <f>_xlfn.XLOOKUP(A331,Performance!$A$2:$A$501,Performance!$C$2:$C$501)</f>
        <v>1</v>
      </c>
      <c r="O331" s="28" cm="1">
        <f t="array" ref="O331">_xlfn.IFS(N331=5,I331*15%,N331=4,I331*10%,N331=3,I331*7%,N331&lt;3,I331*5%)</f>
        <v>3401.8</v>
      </c>
    </row>
    <row r="332" spans="1:15">
      <c r="A332" s="24" t="s">
        <v>725</v>
      </c>
      <c r="B332" s="25" t="s">
        <v>92</v>
      </c>
      <c r="C332" s="25" t="s">
        <v>80</v>
      </c>
      <c r="D332" s="25" t="s">
        <v>28</v>
      </c>
      <c r="E332" s="25">
        <v>50</v>
      </c>
      <c r="F332" s="25" t="s">
        <v>20</v>
      </c>
      <c r="G332" s="25" t="s">
        <v>102</v>
      </c>
      <c r="H332" s="26">
        <v>44682</v>
      </c>
      <c r="I332" s="25">
        <v>61746</v>
      </c>
      <c r="J332" s="25" t="s">
        <v>67</v>
      </c>
      <c r="K332" s="25" t="s">
        <v>726</v>
      </c>
      <c r="L332" s="27" t="s">
        <v>39</v>
      </c>
      <c r="M332" s="28" t="str">
        <f>_xlfn.XLOOKUP(F332,Department!$A$2:$A$6,Department!$B$2:$B$6)</f>
        <v>HR</v>
      </c>
      <c r="N332" s="30">
        <f>_xlfn.XLOOKUP(A332,Performance!$A$2:$A$501,Performance!$C$2:$C$501)</f>
        <v>1</v>
      </c>
      <c r="O332" s="28" cm="1">
        <f t="array" ref="O332">_xlfn.IFS(N332=5,I332*15%,N332=4,I332*10%,N332=3,I332*7%,N332&lt;3,I332*5%)</f>
        <v>3087.3</v>
      </c>
    </row>
    <row r="333" spans="1:15">
      <c r="A333" s="24" t="s">
        <v>727</v>
      </c>
      <c r="B333" s="25" t="s">
        <v>126</v>
      </c>
      <c r="C333" s="25" t="s">
        <v>66</v>
      </c>
      <c r="D333" s="25" t="s">
        <v>19</v>
      </c>
      <c r="E333" s="25">
        <v>26</v>
      </c>
      <c r="F333" s="25" t="s">
        <v>20</v>
      </c>
      <c r="G333" s="25" t="s">
        <v>102</v>
      </c>
      <c r="H333" s="26">
        <v>44769</v>
      </c>
      <c r="I333" s="25">
        <v>47221</v>
      </c>
      <c r="J333" s="25" t="s">
        <v>62</v>
      </c>
      <c r="K333" s="25" t="s">
        <v>728</v>
      </c>
      <c r="L333" s="27" t="s">
        <v>39</v>
      </c>
      <c r="M333" s="28" t="str">
        <f>_xlfn.XLOOKUP(F333,Department!$A$2:$A$6,Department!$B$2:$B$6)</f>
        <v>HR</v>
      </c>
      <c r="N333" s="30">
        <f>_xlfn.XLOOKUP(A333,Performance!$A$2:$A$501,Performance!$C$2:$C$501)</f>
        <v>5</v>
      </c>
      <c r="O333" s="28" cm="1">
        <f t="array" ref="O333">_xlfn.IFS(N333=5,I333*15%,N333=4,I333*10%,N333=3,I333*7%,N333&lt;3,I333*5%)</f>
        <v>7083.15</v>
      </c>
    </row>
    <row r="334" spans="1:15">
      <c r="A334" s="24" t="s">
        <v>729</v>
      </c>
      <c r="B334" s="25" t="s">
        <v>74</v>
      </c>
      <c r="C334" s="25" t="s">
        <v>141</v>
      </c>
      <c r="D334" s="25" t="s">
        <v>19</v>
      </c>
      <c r="E334" s="25">
        <v>32</v>
      </c>
      <c r="F334" s="25" t="s">
        <v>35</v>
      </c>
      <c r="G334" s="25" t="s">
        <v>102</v>
      </c>
      <c r="H334" s="26">
        <v>44994</v>
      </c>
      <c r="I334" s="25">
        <v>75595</v>
      </c>
      <c r="J334" s="25" t="s">
        <v>22</v>
      </c>
      <c r="K334" s="25" t="s">
        <v>730</v>
      </c>
      <c r="L334" s="27" t="s">
        <v>24</v>
      </c>
      <c r="M334" s="28" t="str">
        <f>_xlfn.XLOOKUP(F334,Department!$A$2:$A$6,Department!$B$2:$B$6)</f>
        <v>Sales</v>
      </c>
      <c r="N334" s="30">
        <f>_xlfn.XLOOKUP(A334,Performance!$A$2:$A$501,Performance!$C$2:$C$501)</f>
        <v>3</v>
      </c>
      <c r="O334" s="28" cm="1">
        <f t="array" ref="O334">_xlfn.IFS(N334=5,I334*15%,N334=4,I334*10%,N334=3,I334*7%,N334&lt;3,I334*5%)</f>
        <v>5291.6500000000005</v>
      </c>
    </row>
    <row r="335" spans="1:15">
      <c r="A335" s="24" t="s">
        <v>731</v>
      </c>
      <c r="B335" s="25" t="s">
        <v>42</v>
      </c>
      <c r="C335" s="25" t="s">
        <v>84</v>
      </c>
      <c r="D335" s="25" t="s">
        <v>19</v>
      </c>
      <c r="E335" s="25">
        <v>46</v>
      </c>
      <c r="F335" s="25" t="s">
        <v>54</v>
      </c>
      <c r="G335" s="25" t="s">
        <v>21</v>
      </c>
      <c r="H335" s="26">
        <v>43512</v>
      </c>
      <c r="I335" s="25">
        <v>104179</v>
      </c>
      <c r="J335" s="25" t="s">
        <v>37</v>
      </c>
      <c r="K335" s="25" t="s">
        <v>732</v>
      </c>
      <c r="L335" s="27" t="s">
        <v>39</v>
      </c>
      <c r="M335" s="28" t="str">
        <f>_xlfn.XLOOKUP(F335,Department!$A$2:$A$6,Department!$B$2:$B$6)</f>
        <v>Finance</v>
      </c>
      <c r="N335" s="30">
        <f>_xlfn.XLOOKUP(A335,Performance!$A$2:$A$501,Performance!$C$2:$C$501)</f>
        <v>3</v>
      </c>
      <c r="O335" s="28" cm="1">
        <f t="array" ref="O335">_xlfn.IFS(N335=5,I335*15%,N335=4,I335*10%,N335=3,I335*7%,N335&lt;3,I335*5%)</f>
        <v>7292.5300000000007</v>
      </c>
    </row>
    <row r="336" spans="1:15">
      <c r="A336" s="24" t="s">
        <v>733</v>
      </c>
      <c r="B336" s="25" t="s">
        <v>48</v>
      </c>
      <c r="C336" s="25" t="s">
        <v>117</v>
      </c>
      <c r="D336" s="25" t="s">
        <v>19</v>
      </c>
      <c r="E336" s="25">
        <v>37</v>
      </c>
      <c r="F336" s="25" t="s">
        <v>20</v>
      </c>
      <c r="G336" s="25" t="s">
        <v>102</v>
      </c>
      <c r="H336" s="26">
        <v>45305</v>
      </c>
      <c r="I336" s="25">
        <v>46212</v>
      </c>
      <c r="J336" s="25" t="s">
        <v>22</v>
      </c>
      <c r="K336" s="25" t="s">
        <v>734</v>
      </c>
      <c r="L336" s="27" t="s">
        <v>24</v>
      </c>
      <c r="M336" s="28" t="str">
        <f>_xlfn.XLOOKUP(F336,Department!$A$2:$A$6,Department!$B$2:$B$6)</f>
        <v>HR</v>
      </c>
      <c r="N336" s="30">
        <f>_xlfn.XLOOKUP(A336,Performance!$A$2:$A$501,Performance!$C$2:$C$501)</f>
        <v>1</v>
      </c>
      <c r="O336" s="28" cm="1">
        <f t="array" ref="O336">_xlfn.IFS(N336=5,I336*15%,N336=4,I336*10%,N336=3,I336*7%,N336&lt;3,I336*5%)</f>
        <v>2310.6</v>
      </c>
    </row>
    <row r="337" spans="1:15">
      <c r="A337" s="24" t="s">
        <v>735</v>
      </c>
      <c r="B337" s="25" t="s">
        <v>61</v>
      </c>
      <c r="C337" s="25" t="s">
        <v>89</v>
      </c>
      <c r="D337" s="25" t="s">
        <v>28</v>
      </c>
      <c r="E337" s="25">
        <v>47</v>
      </c>
      <c r="F337" s="25" t="s">
        <v>43</v>
      </c>
      <c r="G337" s="25" t="s">
        <v>44</v>
      </c>
      <c r="H337" s="26">
        <v>44071</v>
      </c>
      <c r="I337" s="25">
        <v>39091</v>
      </c>
      <c r="J337" s="25" t="s">
        <v>81</v>
      </c>
      <c r="K337" s="25" t="s">
        <v>736</v>
      </c>
      <c r="L337" s="27" t="s">
        <v>24</v>
      </c>
      <c r="M337" s="28" t="str">
        <f>_xlfn.XLOOKUP(F337,Department!$A$2:$A$6,Department!$B$2:$B$6)</f>
        <v>Marketing</v>
      </c>
      <c r="N337" s="30">
        <f>_xlfn.XLOOKUP(A337,Performance!$A$2:$A$501,Performance!$C$2:$C$501)</f>
        <v>2</v>
      </c>
      <c r="O337" s="28" cm="1">
        <f t="array" ref="O337">_xlfn.IFS(N337=5,I337*15%,N337=4,I337*10%,N337=3,I337*7%,N337&lt;3,I337*5%)</f>
        <v>1954.5500000000002</v>
      </c>
    </row>
    <row r="338" spans="1:15">
      <c r="A338" s="24" t="s">
        <v>737</v>
      </c>
      <c r="B338" s="25" t="s">
        <v>34</v>
      </c>
      <c r="C338" s="25" t="s">
        <v>84</v>
      </c>
      <c r="D338" s="25" t="s">
        <v>28</v>
      </c>
      <c r="E338" s="25">
        <v>43</v>
      </c>
      <c r="F338" s="25" t="s">
        <v>35</v>
      </c>
      <c r="G338" s="25" t="s">
        <v>44</v>
      </c>
      <c r="H338" s="26">
        <v>45515</v>
      </c>
      <c r="I338" s="25">
        <v>73436</v>
      </c>
      <c r="J338" s="25" t="s">
        <v>62</v>
      </c>
      <c r="K338" s="25" t="s">
        <v>738</v>
      </c>
      <c r="L338" s="27" t="s">
        <v>39</v>
      </c>
      <c r="M338" s="28" t="str">
        <f>_xlfn.XLOOKUP(F338,Department!$A$2:$A$6,Department!$B$2:$B$6)</f>
        <v>Sales</v>
      </c>
      <c r="N338" s="30">
        <f>_xlfn.XLOOKUP(A338,Performance!$A$2:$A$501,Performance!$C$2:$C$501)</f>
        <v>1</v>
      </c>
      <c r="O338" s="28" cm="1">
        <f t="array" ref="O338">_xlfn.IFS(N338=5,I338*15%,N338=4,I338*10%,N338=3,I338*7%,N338&lt;3,I338*5%)</f>
        <v>3671.8</v>
      </c>
    </row>
    <row r="339" spans="1:15">
      <c r="A339" s="24" t="s">
        <v>739</v>
      </c>
      <c r="B339" s="25" t="s">
        <v>126</v>
      </c>
      <c r="C339" s="25" t="s">
        <v>80</v>
      </c>
      <c r="D339" s="25" t="s">
        <v>19</v>
      </c>
      <c r="E339" s="25">
        <v>57</v>
      </c>
      <c r="F339" s="25" t="s">
        <v>29</v>
      </c>
      <c r="G339" s="25" t="s">
        <v>44</v>
      </c>
      <c r="H339" s="26">
        <v>43945</v>
      </c>
      <c r="I339" s="25">
        <v>62199</v>
      </c>
      <c r="J339" s="25" t="s">
        <v>62</v>
      </c>
      <c r="K339" s="25" t="s">
        <v>740</v>
      </c>
      <c r="L339" s="27" t="s">
        <v>24</v>
      </c>
      <c r="M339" s="28" t="str">
        <f>_xlfn.XLOOKUP(F339,Department!$A$2:$A$6,Department!$B$2:$B$6)</f>
        <v>IT</v>
      </c>
      <c r="N339" s="30">
        <f>_xlfn.XLOOKUP(A339,Performance!$A$2:$A$501,Performance!$C$2:$C$501)</f>
        <v>1</v>
      </c>
      <c r="O339" s="28" cm="1">
        <f t="array" ref="O339">_xlfn.IFS(N339=5,I339*15%,N339=4,I339*10%,N339=3,I339*7%,N339&lt;3,I339*5%)</f>
        <v>3109.9500000000003</v>
      </c>
    </row>
    <row r="340" spans="1:15">
      <c r="A340" s="24" t="s">
        <v>741</v>
      </c>
      <c r="B340" s="25" t="s">
        <v>58</v>
      </c>
      <c r="C340" s="25" t="s">
        <v>93</v>
      </c>
      <c r="D340" s="25" t="s">
        <v>28</v>
      </c>
      <c r="E340" s="25">
        <v>41</v>
      </c>
      <c r="F340" s="25" t="s">
        <v>54</v>
      </c>
      <c r="G340" s="25" t="s">
        <v>30</v>
      </c>
      <c r="H340" s="26">
        <v>45464</v>
      </c>
      <c r="I340" s="25">
        <v>53338</v>
      </c>
      <c r="J340" s="25" t="s">
        <v>37</v>
      </c>
      <c r="K340" s="25" t="s">
        <v>742</v>
      </c>
      <c r="L340" s="27" t="s">
        <v>24</v>
      </c>
      <c r="M340" s="28" t="str">
        <f>_xlfn.XLOOKUP(F340,Department!$A$2:$A$6,Department!$B$2:$B$6)</f>
        <v>Finance</v>
      </c>
      <c r="N340" s="30">
        <f>_xlfn.XLOOKUP(A340,Performance!$A$2:$A$501,Performance!$C$2:$C$501)</f>
        <v>3</v>
      </c>
      <c r="O340" s="28" cm="1">
        <f t="array" ref="O340">_xlfn.IFS(N340=5,I340*15%,N340=4,I340*10%,N340=3,I340*7%,N340&lt;3,I340*5%)</f>
        <v>3733.6600000000003</v>
      </c>
    </row>
    <row r="341" spans="1:15">
      <c r="A341" s="24" t="s">
        <v>743</v>
      </c>
      <c r="B341" s="25" t="s">
        <v>92</v>
      </c>
      <c r="C341" s="25" t="s">
        <v>49</v>
      </c>
      <c r="D341" s="25" t="s">
        <v>19</v>
      </c>
      <c r="E341" s="25">
        <v>38</v>
      </c>
      <c r="F341" s="25" t="s">
        <v>29</v>
      </c>
      <c r="G341" s="25" t="s">
        <v>102</v>
      </c>
      <c r="H341" s="26">
        <v>43288</v>
      </c>
      <c r="I341" s="25">
        <v>64542</v>
      </c>
      <c r="J341" s="25" t="s">
        <v>67</v>
      </c>
      <c r="K341" s="25" t="s">
        <v>744</v>
      </c>
      <c r="L341" s="27" t="s">
        <v>24</v>
      </c>
      <c r="M341" s="28" t="str">
        <f>_xlfn.XLOOKUP(F341,Department!$A$2:$A$6,Department!$B$2:$B$6)</f>
        <v>IT</v>
      </c>
      <c r="N341" s="30">
        <f>_xlfn.XLOOKUP(A341,Performance!$A$2:$A$501,Performance!$C$2:$C$501)</f>
        <v>3</v>
      </c>
      <c r="O341" s="28" cm="1">
        <f t="array" ref="O341">_xlfn.IFS(N341=5,I341*15%,N341=4,I341*10%,N341=3,I341*7%,N341&lt;3,I341*5%)</f>
        <v>4517.9400000000005</v>
      </c>
    </row>
    <row r="342" spans="1:15">
      <c r="A342" s="24" t="s">
        <v>745</v>
      </c>
      <c r="B342" s="25" t="s">
        <v>61</v>
      </c>
      <c r="C342" s="25" t="s">
        <v>117</v>
      </c>
      <c r="D342" s="25" t="s">
        <v>19</v>
      </c>
      <c r="E342" s="25">
        <v>59</v>
      </c>
      <c r="F342" s="25" t="s">
        <v>35</v>
      </c>
      <c r="G342" s="25" t="s">
        <v>102</v>
      </c>
      <c r="H342" s="26">
        <v>45440</v>
      </c>
      <c r="I342" s="25">
        <v>38117</v>
      </c>
      <c r="J342" s="25" t="s">
        <v>37</v>
      </c>
      <c r="K342" s="25" t="s">
        <v>746</v>
      </c>
      <c r="L342" s="27" t="s">
        <v>24</v>
      </c>
      <c r="M342" s="28" t="str">
        <f>_xlfn.XLOOKUP(F342,Department!$A$2:$A$6,Department!$B$2:$B$6)</f>
        <v>Sales</v>
      </c>
      <c r="N342" s="30">
        <f>_xlfn.XLOOKUP(A342,Performance!$A$2:$A$501,Performance!$C$2:$C$501)</f>
        <v>2</v>
      </c>
      <c r="O342" s="28" cm="1">
        <f t="array" ref="O342">_xlfn.IFS(N342=5,I342*15%,N342=4,I342*10%,N342=3,I342*7%,N342&lt;3,I342*5%)</f>
        <v>1905.8500000000001</v>
      </c>
    </row>
    <row r="343" spans="1:15">
      <c r="A343" s="24" t="s">
        <v>747</v>
      </c>
      <c r="B343" s="25" t="s">
        <v>34</v>
      </c>
      <c r="C343" s="25" t="s">
        <v>84</v>
      </c>
      <c r="D343" s="25" t="s">
        <v>28</v>
      </c>
      <c r="E343" s="25">
        <v>25</v>
      </c>
      <c r="F343" s="25" t="s">
        <v>20</v>
      </c>
      <c r="G343" s="25" t="s">
        <v>102</v>
      </c>
      <c r="H343" s="26">
        <v>45388</v>
      </c>
      <c r="I343" s="25">
        <v>101879</v>
      </c>
      <c r="J343" s="25" t="s">
        <v>22</v>
      </c>
      <c r="K343" s="25" t="s">
        <v>748</v>
      </c>
      <c r="L343" s="27" t="s">
        <v>24</v>
      </c>
      <c r="M343" s="28" t="str">
        <f>_xlfn.XLOOKUP(F343,Department!$A$2:$A$6,Department!$B$2:$B$6)</f>
        <v>HR</v>
      </c>
      <c r="N343" s="30">
        <f>_xlfn.XLOOKUP(A343,Performance!$A$2:$A$501,Performance!$C$2:$C$501)</f>
        <v>5</v>
      </c>
      <c r="O343" s="28" cm="1">
        <f t="array" ref="O343">_xlfn.IFS(N343=5,I343*15%,N343=4,I343*10%,N343=3,I343*7%,N343&lt;3,I343*5%)</f>
        <v>15281.849999999999</v>
      </c>
    </row>
    <row r="344" spans="1:15">
      <c r="A344" s="24" t="s">
        <v>749</v>
      </c>
      <c r="B344" s="25" t="s">
        <v>74</v>
      </c>
      <c r="C344" s="25" t="s">
        <v>27</v>
      </c>
      <c r="D344" s="25" t="s">
        <v>28</v>
      </c>
      <c r="E344" s="25">
        <v>43</v>
      </c>
      <c r="F344" s="25" t="s">
        <v>29</v>
      </c>
      <c r="G344" s="25" t="s">
        <v>102</v>
      </c>
      <c r="H344" s="26">
        <v>43859</v>
      </c>
      <c r="I344" s="25">
        <v>78777</v>
      </c>
      <c r="J344" s="25" t="s">
        <v>67</v>
      </c>
      <c r="K344" s="25" t="s">
        <v>750</v>
      </c>
      <c r="L344" s="27" t="s">
        <v>24</v>
      </c>
      <c r="M344" s="28" t="str">
        <f>_xlfn.XLOOKUP(F344,Department!$A$2:$A$6,Department!$B$2:$B$6)</f>
        <v>IT</v>
      </c>
      <c r="N344" s="30">
        <f>_xlfn.XLOOKUP(A344,Performance!$A$2:$A$501,Performance!$C$2:$C$501)</f>
        <v>4</v>
      </c>
      <c r="O344" s="28" cm="1">
        <f t="array" ref="O344">_xlfn.IFS(N344=5,I344*15%,N344=4,I344*10%,N344=3,I344*7%,N344&lt;3,I344*5%)</f>
        <v>7877.7000000000007</v>
      </c>
    </row>
    <row r="345" spans="1:15">
      <c r="A345" s="24" t="s">
        <v>751</v>
      </c>
      <c r="B345" s="25" t="s">
        <v>34</v>
      </c>
      <c r="C345" s="25" t="s">
        <v>93</v>
      </c>
      <c r="D345" s="25" t="s">
        <v>19</v>
      </c>
      <c r="E345" s="25">
        <v>33</v>
      </c>
      <c r="F345" s="25" t="s">
        <v>20</v>
      </c>
      <c r="G345" s="25" t="s">
        <v>102</v>
      </c>
      <c r="H345" s="26">
        <v>44908</v>
      </c>
      <c r="I345" s="25">
        <v>43206</v>
      </c>
      <c r="J345" s="25" t="s">
        <v>67</v>
      </c>
      <c r="K345" s="25" t="s">
        <v>752</v>
      </c>
      <c r="L345" s="27" t="s">
        <v>39</v>
      </c>
      <c r="M345" s="28" t="str">
        <f>_xlfn.XLOOKUP(F345,Department!$A$2:$A$6,Department!$B$2:$B$6)</f>
        <v>HR</v>
      </c>
      <c r="N345" s="30">
        <f>_xlfn.XLOOKUP(A345,Performance!$A$2:$A$501,Performance!$C$2:$C$501)</f>
        <v>5</v>
      </c>
      <c r="O345" s="28" cm="1">
        <f t="array" ref="O345">_xlfn.IFS(N345=5,I345*15%,N345=4,I345*10%,N345=3,I345*7%,N345&lt;3,I345*5%)</f>
        <v>6480.9</v>
      </c>
    </row>
    <row r="346" spans="1:15">
      <c r="A346" s="24" t="s">
        <v>753</v>
      </c>
      <c r="B346" s="25" t="s">
        <v>74</v>
      </c>
      <c r="C346" s="25" t="s">
        <v>89</v>
      </c>
      <c r="D346" s="25" t="s">
        <v>19</v>
      </c>
      <c r="E346" s="25">
        <v>42</v>
      </c>
      <c r="F346" s="25" t="s">
        <v>54</v>
      </c>
      <c r="G346" s="25" t="s">
        <v>30</v>
      </c>
      <c r="H346" s="26">
        <v>43760</v>
      </c>
      <c r="I346" s="25">
        <v>80745</v>
      </c>
      <c r="J346" s="25" t="s">
        <v>81</v>
      </c>
      <c r="K346" s="25" t="s">
        <v>754</v>
      </c>
      <c r="L346" s="27" t="s">
        <v>39</v>
      </c>
      <c r="M346" s="28" t="str">
        <f>_xlfn.XLOOKUP(F346,Department!$A$2:$A$6,Department!$B$2:$B$6)</f>
        <v>Finance</v>
      </c>
      <c r="N346" s="30">
        <f>_xlfn.XLOOKUP(A346,Performance!$A$2:$A$501,Performance!$C$2:$C$501)</f>
        <v>2</v>
      </c>
      <c r="O346" s="28" cm="1">
        <f t="array" ref="O346">_xlfn.IFS(N346=5,I346*15%,N346=4,I346*10%,N346=3,I346*7%,N346&lt;3,I346*5%)</f>
        <v>4037.25</v>
      </c>
    </row>
    <row r="347" spans="1:15">
      <c r="A347" s="24" t="s">
        <v>755</v>
      </c>
      <c r="B347" s="25" t="s">
        <v>48</v>
      </c>
      <c r="C347" s="25" t="s">
        <v>84</v>
      </c>
      <c r="D347" s="25" t="s">
        <v>28</v>
      </c>
      <c r="E347" s="25">
        <v>24</v>
      </c>
      <c r="F347" s="25" t="s">
        <v>54</v>
      </c>
      <c r="G347" s="25" t="s">
        <v>102</v>
      </c>
      <c r="H347" s="26">
        <v>44755</v>
      </c>
      <c r="I347" s="25">
        <v>67559</v>
      </c>
      <c r="J347" s="25" t="s">
        <v>37</v>
      </c>
      <c r="K347" s="25" t="s">
        <v>756</v>
      </c>
      <c r="L347" s="27" t="s">
        <v>24</v>
      </c>
      <c r="M347" s="28" t="str">
        <f>_xlfn.XLOOKUP(F347,Department!$A$2:$A$6,Department!$B$2:$B$6)</f>
        <v>Finance</v>
      </c>
      <c r="N347" s="30">
        <f>_xlfn.XLOOKUP(A347,Performance!$A$2:$A$501,Performance!$C$2:$C$501)</f>
        <v>3</v>
      </c>
      <c r="O347" s="28" cm="1">
        <f t="array" ref="O347">_xlfn.IFS(N347=5,I347*15%,N347=4,I347*10%,N347=3,I347*7%,N347&lt;3,I347*5%)</f>
        <v>4729.13</v>
      </c>
    </row>
    <row r="348" spans="1:15">
      <c r="A348" s="24" t="s">
        <v>757</v>
      </c>
      <c r="B348" s="25" t="s">
        <v>61</v>
      </c>
      <c r="C348" s="25" t="s">
        <v>80</v>
      </c>
      <c r="D348" s="25" t="s">
        <v>28</v>
      </c>
      <c r="E348" s="25">
        <v>47</v>
      </c>
      <c r="F348" s="25" t="s">
        <v>43</v>
      </c>
      <c r="G348" s="25" t="s">
        <v>30</v>
      </c>
      <c r="H348" s="26">
        <v>43853</v>
      </c>
      <c r="I348" s="25">
        <v>106379</v>
      </c>
      <c r="J348" s="25" t="s">
        <v>37</v>
      </c>
      <c r="K348" s="25" t="s">
        <v>758</v>
      </c>
      <c r="L348" s="27" t="s">
        <v>24</v>
      </c>
      <c r="M348" s="28" t="str">
        <f>_xlfn.XLOOKUP(F348,Department!$A$2:$A$6,Department!$B$2:$B$6)</f>
        <v>Marketing</v>
      </c>
      <c r="N348" s="30">
        <f>_xlfn.XLOOKUP(A348,Performance!$A$2:$A$501,Performance!$C$2:$C$501)</f>
        <v>1</v>
      </c>
      <c r="O348" s="28" cm="1">
        <f t="array" ref="O348">_xlfn.IFS(N348=5,I348*15%,N348=4,I348*10%,N348=3,I348*7%,N348&lt;3,I348*5%)</f>
        <v>5318.9500000000007</v>
      </c>
    </row>
    <row r="349" spans="1:15">
      <c r="A349" s="24" t="s">
        <v>759</v>
      </c>
      <c r="B349" s="25" t="s">
        <v>17</v>
      </c>
      <c r="C349" s="25" t="s">
        <v>66</v>
      </c>
      <c r="D349" s="25" t="s">
        <v>28</v>
      </c>
      <c r="E349" s="25">
        <v>30</v>
      </c>
      <c r="F349" s="25" t="s">
        <v>35</v>
      </c>
      <c r="G349" s="25" t="s">
        <v>30</v>
      </c>
      <c r="H349" s="26">
        <v>45385</v>
      </c>
      <c r="I349" s="25">
        <v>103395</v>
      </c>
      <c r="J349" s="25" t="s">
        <v>22</v>
      </c>
      <c r="K349" s="25" t="s">
        <v>760</v>
      </c>
      <c r="L349" s="27" t="s">
        <v>39</v>
      </c>
      <c r="M349" s="28" t="str">
        <f>_xlfn.XLOOKUP(F349,Department!$A$2:$A$6,Department!$B$2:$B$6)</f>
        <v>Sales</v>
      </c>
      <c r="N349" s="30">
        <f>_xlfn.XLOOKUP(A349,Performance!$A$2:$A$501,Performance!$C$2:$C$501)</f>
        <v>2</v>
      </c>
      <c r="O349" s="28" cm="1">
        <f t="array" ref="O349">_xlfn.IFS(N349=5,I349*15%,N349=4,I349*10%,N349=3,I349*7%,N349&lt;3,I349*5%)</f>
        <v>5169.75</v>
      </c>
    </row>
    <row r="350" spans="1:15">
      <c r="A350" s="24" t="s">
        <v>761</v>
      </c>
      <c r="B350" s="25" t="s">
        <v>92</v>
      </c>
      <c r="C350" s="25" t="s">
        <v>117</v>
      </c>
      <c r="D350" s="25" t="s">
        <v>19</v>
      </c>
      <c r="E350" s="25">
        <v>33</v>
      </c>
      <c r="F350" s="25" t="s">
        <v>43</v>
      </c>
      <c r="G350" s="25" t="s">
        <v>36</v>
      </c>
      <c r="H350" s="26">
        <v>43239</v>
      </c>
      <c r="I350" s="25">
        <v>76025</v>
      </c>
      <c r="J350" s="25" t="s">
        <v>37</v>
      </c>
      <c r="K350" s="25" t="s">
        <v>762</v>
      </c>
      <c r="L350" s="27" t="s">
        <v>39</v>
      </c>
      <c r="M350" s="28" t="str">
        <f>_xlfn.XLOOKUP(F350,Department!$A$2:$A$6,Department!$B$2:$B$6)</f>
        <v>Marketing</v>
      </c>
      <c r="N350" s="30">
        <f>_xlfn.XLOOKUP(A350,Performance!$A$2:$A$501,Performance!$C$2:$C$501)</f>
        <v>3</v>
      </c>
      <c r="O350" s="28" cm="1">
        <f t="array" ref="O350">_xlfn.IFS(N350=5,I350*15%,N350=4,I350*10%,N350=3,I350*7%,N350&lt;3,I350*5%)</f>
        <v>5321.7500000000009</v>
      </c>
    </row>
    <row r="351" spans="1:15">
      <c r="A351" s="24" t="s">
        <v>763</v>
      </c>
      <c r="B351" s="25" t="s">
        <v>53</v>
      </c>
      <c r="C351" s="25" t="s">
        <v>18</v>
      </c>
      <c r="D351" s="25" t="s">
        <v>19</v>
      </c>
      <c r="E351" s="25">
        <v>33</v>
      </c>
      <c r="F351" s="25" t="s">
        <v>35</v>
      </c>
      <c r="G351" s="25" t="s">
        <v>21</v>
      </c>
      <c r="H351" s="26">
        <v>44281</v>
      </c>
      <c r="I351" s="25">
        <v>69952</v>
      </c>
      <c r="J351" s="25" t="s">
        <v>62</v>
      </c>
      <c r="K351" s="25" t="s">
        <v>764</v>
      </c>
      <c r="L351" s="27" t="s">
        <v>39</v>
      </c>
      <c r="M351" s="28" t="str">
        <f>_xlfn.XLOOKUP(F351,Department!$A$2:$A$6,Department!$B$2:$B$6)</f>
        <v>Sales</v>
      </c>
      <c r="N351" s="30">
        <f>_xlfn.XLOOKUP(A351,Performance!$A$2:$A$501,Performance!$C$2:$C$501)</f>
        <v>4</v>
      </c>
      <c r="O351" s="28" cm="1">
        <f t="array" ref="O351">_xlfn.IFS(N351=5,I351*15%,N351=4,I351*10%,N351=3,I351*7%,N351&lt;3,I351*5%)</f>
        <v>6995.2000000000007</v>
      </c>
    </row>
    <row r="352" spans="1:15">
      <c r="A352" s="24" t="s">
        <v>765</v>
      </c>
      <c r="B352" s="25" t="s">
        <v>53</v>
      </c>
      <c r="C352" s="25" t="s">
        <v>49</v>
      </c>
      <c r="D352" s="25" t="s">
        <v>19</v>
      </c>
      <c r="E352" s="25">
        <v>42</v>
      </c>
      <c r="F352" s="25" t="s">
        <v>20</v>
      </c>
      <c r="G352" s="25" t="s">
        <v>30</v>
      </c>
      <c r="H352" s="26">
        <v>45557</v>
      </c>
      <c r="I352" s="25">
        <v>108637</v>
      </c>
      <c r="J352" s="25" t="s">
        <v>37</v>
      </c>
      <c r="K352" s="25" t="s">
        <v>766</v>
      </c>
      <c r="L352" s="27" t="s">
        <v>39</v>
      </c>
      <c r="M352" s="28" t="str">
        <f>_xlfn.XLOOKUP(F352,Department!$A$2:$A$6,Department!$B$2:$B$6)</f>
        <v>HR</v>
      </c>
      <c r="N352" s="30">
        <f>_xlfn.XLOOKUP(A352,Performance!$A$2:$A$501,Performance!$C$2:$C$501)</f>
        <v>2</v>
      </c>
      <c r="O352" s="28" cm="1">
        <f t="array" ref="O352">_xlfn.IFS(N352=5,I352*15%,N352=4,I352*10%,N352=3,I352*7%,N352&lt;3,I352*5%)</f>
        <v>5431.85</v>
      </c>
    </row>
    <row r="353" spans="1:15">
      <c r="A353" s="24" t="s">
        <v>767</v>
      </c>
      <c r="B353" s="25" t="s">
        <v>48</v>
      </c>
      <c r="C353" s="25" t="s">
        <v>89</v>
      </c>
      <c r="D353" s="25" t="s">
        <v>19</v>
      </c>
      <c r="E353" s="25">
        <v>27</v>
      </c>
      <c r="F353" s="25" t="s">
        <v>35</v>
      </c>
      <c r="G353" s="25" t="s">
        <v>36</v>
      </c>
      <c r="H353" s="26">
        <v>43621</v>
      </c>
      <c r="I353" s="25">
        <v>65699</v>
      </c>
      <c r="J353" s="25" t="s">
        <v>37</v>
      </c>
      <c r="K353" s="25" t="s">
        <v>768</v>
      </c>
      <c r="L353" s="27" t="s">
        <v>24</v>
      </c>
      <c r="M353" s="28" t="str">
        <f>_xlfn.XLOOKUP(F353,Department!$A$2:$A$6,Department!$B$2:$B$6)</f>
        <v>Sales</v>
      </c>
      <c r="N353" s="30">
        <f>_xlfn.XLOOKUP(A353,Performance!$A$2:$A$501,Performance!$C$2:$C$501)</f>
        <v>2</v>
      </c>
      <c r="O353" s="28" cm="1">
        <f t="array" ref="O353">_xlfn.IFS(N353=5,I353*15%,N353=4,I353*10%,N353=3,I353*7%,N353&lt;3,I353*5%)</f>
        <v>3284.9500000000003</v>
      </c>
    </row>
    <row r="354" spans="1:15">
      <c r="A354" s="24" t="s">
        <v>769</v>
      </c>
      <c r="B354" s="25" t="s">
        <v>126</v>
      </c>
      <c r="C354" s="25" t="s">
        <v>66</v>
      </c>
      <c r="D354" s="25" t="s">
        <v>28</v>
      </c>
      <c r="E354" s="25">
        <v>50</v>
      </c>
      <c r="F354" s="25" t="s">
        <v>20</v>
      </c>
      <c r="G354" s="25" t="s">
        <v>44</v>
      </c>
      <c r="H354" s="26">
        <v>44795</v>
      </c>
      <c r="I354" s="25">
        <v>90340</v>
      </c>
      <c r="J354" s="25" t="s">
        <v>22</v>
      </c>
      <c r="K354" s="25" t="s">
        <v>770</v>
      </c>
      <c r="L354" s="27" t="s">
        <v>24</v>
      </c>
      <c r="M354" s="28" t="str">
        <f>_xlfn.XLOOKUP(F354,Department!$A$2:$A$6,Department!$B$2:$B$6)</f>
        <v>HR</v>
      </c>
      <c r="N354" s="30">
        <f>_xlfn.XLOOKUP(A354,Performance!$A$2:$A$501,Performance!$C$2:$C$501)</f>
        <v>1</v>
      </c>
      <c r="O354" s="28" cm="1">
        <f t="array" ref="O354">_xlfn.IFS(N354=5,I354*15%,N354=4,I354*10%,N354=3,I354*7%,N354&lt;3,I354*5%)</f>
        <v>4517</v>
      </c>
    </row>
    <row r="355" spans="1:15">
      <c r="A355" s="24" t="s">
        <v>771</v>
      </c>
      <c r="B355" s="25" t="s">
        <v>74</v>
      </c>
      <c r="C355" s="25" t="s">
        <v>93</v>
      </c>
      <c r="D355" s="25" t="s">
        <v>19</v>
      </c>
      <c r="E355" s="25">
        <v>31</v>
      </c>
      <c r="F355" s="25" t="s">
        <v>29</v>
      </c>
      <c r="G355" s="25" t="s">
        <v>44</v>
      </c>
      <c r="H355" s="26">
        <v>45108</v>
      </c>
      <c r="I355" s="25">
        <v>114818</v>
      </c>
      <c r="J355" s="25" t="s">
        <v>37</v>
      </c>
      <c r="K355" s="25" t="s">
        <v>772</v>
      </c>
      <c r="L355" s="27" t="s">
        <v>39</v>
      </c>
      <c r="M355" s="28" t="str">
        <f>_xlfn.XLOOKUP(F355,Department!$A$2:$A$6,Department!$B$2:$B$6)</f>
        <v>IT</v>
      </c>
      <c r="N355" s="30">
        <f>_xlfn.XLOOKUP(A355,Performance!$A$2:$A$501,Performance!$C$2:$C$501)</f>
        <v>1</v>
      </c>
      <c r="O355" s="28" cm="1">
        <f t="array" ref="O355">_xlfn.IFS(N355=5,I355*15%,N355=4,I355*10%,N355=3,I355*7%,N355&lt;3,I355*5%)</f>
        <v>5740.9000000000005</v>
      </c>
    </row>
    <row r="356" spans="1:15">
      <c r="A356" s="24" t="s">
        <v>773</v>
      </c>
      <c r="B356" s="25" t="s">
        <v>58</v>
      </c>
      <c r="C356" s="25" t="s">
        <v>18</v>
      </c>
      <c r="D356" s="25" t="s">
        <v>19</v>
      </c>
      <c r="E356" s="25">
        <v>39</v>
      </c>
      <c r="F356" s="25" t="s">
        <v>35</v>
      </c>
      <c r="G356" s="25" t="s">
        <v>102</v>
      </c>
      <c r="H356" s="26">
        <v>43324</v>
      </c>
      <c r="I356" s="25">
        <v>82417</v>
      </c>
      <c r="J356" s="25" t="s">
        <v>37</v>
      </c>
      <c r="K356" s="25" t="s">
        <v>774</v>
      </c>
      <c r="L356" s="27" t="s">
        <v>39</v>
      </c>
      <c r="M356" s="28" t="str">
        <f>_xlfn.XLOOKUP(F356,Department!$A$2:$A$6,Department!$B$2:$B$6)</f>
        <v>Sales</v>
      </c>
      <c r="N356" s="30">
        <f>_xlfn.XLOOKUP(A356,Performance!$A$2:$A$501,Performance!$C$2:$C$501)</f>
        <v>5</v>
      </c>
      <c r="O356" s="28" cm="1">
        <f t="array" ref="O356">_xlfn.IFS(N356=5,I356*15%,N356=4,I356*10%,N356=3,I356*7%,N356&lt;3,I356*5%)</f>
        <v>12362.55</v>
      </c>
    </row>
    <row r="357" spans="1:15">
      <c r="A357" s="24" t="s">
        <v>775</v>
      </c>
      <c r="B357" s="25" t="s">
        <v>58</v>
      </c>
      <c r="C357" s="25" t="s">
        <v>89</v>
      </c>
      <c r="D357" s="25" t="s">
        <v>28</v>
      </c>
      <c r="E357" s="25">
        <v>38</v>
      </c>
      <c r="F357" s="25" t="s">
        <v>43</v>
      </c>
      <c r="G357" s="25" t="s">
        <v>21</v>
      </c>
      <c r="H357" s="26">
        <v>44709</v>
      </c>
      <c r="I357" s="25">
        <v>116569</v>
      </c>
      <c r="J357" s="25" t="s">
        <v>81</v>
      </c>
      <c r="K357" s="25" t="s">
        <v>776</v>
      </c>
      <c r="L357" s="27" t="s">
        <v>24</v>
      </c>
      <c r="M357" s="28" t="str">
        <f>_xlfn.XLOOKUP(F357,Department!$A$2:$A$6,Department!$B$2:$B$6)</f>
        <v>Marketing</v>
      </c>
      <c r="N357" s="30">
        <f>_xlfn.XLOOKUP(A357,Performance!$A$2:$A$501,Performance!$C$2:$C$501)</f>
        <v>1</v>
      </c>
      <c r="O357" s="28" cm="1">
        <f t="array" ref="O357">_xlfn.IFS(N357=5,I357*15%,N357=4,I357*10%,N357=3,I357*7%,N357&lt;3,I357*5%)</f>
        <v>5828.4500000000007</v>
      </c>
    </row>
    <row r="358" spans="1:15">
      <c r="A358" s="24" t="s">
        <v>777</v>
      </c>
      <c r="B358" s="25" t="s">
        <v>61</v>
      </c>
      <c r="C358" s="25" t="s">
        <v>84</v>
      </c>
      <c r="D358" s="25" t="s">
        <v>28</v>
      </c>
      <c r="E358" s="25">
        <v>37</v>
      </c>
      <c r="F358" s="25" t="s">
        <v>54</v>
      </c>
      <c r="G358" s="25" t="s">
        <v>30</v>
      </c>
      <c r="H358" s="26">
        <v>43626</v>
      </c>
      <c r="I358" s="25">
        <v>98489</v>
      </c>
      <c r="J358" s="25" t="s">
        <v>62</v>
      </c>
      <c r="K358" s="25" t="s">
        <v>778</v>
      </c>
      <c r="L358" s="27" t="s">
        <v>39</v>
      </c>
      <c r="M358" s="28" t="str">
        <f>_xlfn.XLOOKUP(F358,Department!$A$2:$A$6,Department!$B$2:$B$6)</f>
        <v>Finance</v>
      </c>
      <c r="N358" s="30">
        <f>_xlfn.XLOOKUP(A358,Performance!$A$2:$A$501,Performance!$C$2:$C$501)</f>
        <v>4</v>
      </c>
      <c r="O358" s="28" cm="1">
        <f t="array" ref="O358">_xlfn.IFS(N358=5,I358*15%,N358=4,I358*10%,N358=3,I358*7%,N358&lt;3,I358*5%)</f>
        <v>9848.9000000000015</v>
      </c>
    </row>
    <row r="359" spans="1:15">
      <c r="A359" s="24" t="s">
        <v>779</v>
      </c>
      <c r="B359" s="25" t="s">
        <v>61</v>
      </c>
      <c r="C359" s="25" t="s">
        <v>93</v>
      </c>
      <c r="D359" s="25" t="s">
        <v>19</v>
      </c>
      <c r="E359" s="25">
        <v>58</v>
      </c>
      <c r="F359" s="25" t="s">
        <v>35</v>
      </c>
      <c r="G359" s="25" t="s">
        <v>30</v>
      </c>
      <c r="H359" s="26">
        <v>43382</v>
      </c>
      <c r="I359" s="25">
        <v>60665</v>
      </c>
      <c r="J359" s="25" t="s">
        <v>62</v>
      </c>
      <c r="K359" s="25" t="s">
        <v>780</v>
      </c>
      <c r="L359" s="27" t="s">
        <v>39</v>
      </c>
      <c r="M359" s="28" t="str">
        <f>_xlfn.XLOOKUP(F359,Department!$A$2:$A$6,Department!$B$2:$B$6)</f>
        <v>Sales</v>
      </c>
      <c r="N359" s="30">
        <f>_xlfn.XLOOKUP(A359,Performance!$A$2:$A$501,Performance!$C$2:$C$501)</f>
        <v>5</v>
      </c>
      <c r="O359" s="28" cm="1">
        <f t="array" ref="O359">_xlfn.IFS(N359=5,I359*15%,N359=4,I359*10%,N359=3,I359*7%,N359&lt;3,I359*5%)</f>
        <v>9099.75</v>
      </c>
    </row>
    <row r="360" spans="1:15">
      <c r="A360" s="24" t="s">
        <v>781</v>
      </c>
      <c r="B360" s="25" t="s">
        <v>34</v>
      </c>
      <c r="C360" s="25" t="s">
        <v>117</v>
      </c>
      <c r="D360" s="25" t="s">
        <v>28</v>
      </c>
      <c r="E360" s="25">
        <v>59</v>
      </c>
      <c r="F360" s="25" t="s">
        <v>29</v>
      </c>
      <c r="G360" s="25" t="s">
        <v>44</v>
      </c>
      <c r="H360" s="26">
        <v>44261</v>
      </c>
      <c r="I360" s="25">
        <v>91685</v>
      </c>
      <c r="J360" s="25" t="s">
        <v>22</v>
      </c>
      <c r="K360" s="25" t="s">
        <v>782</v>
      </c>
      <c r="L360" s="27" t="s">
        <v>39</v>
      </c>
      <c r="M360" s="28" t="str">
        <f>_xlfn.XLOOKUP(F360,Department!$A$2:$A$6,Department!$B$2:$B$6)</f>
        <v>IT</v>
      </c>
      <c r="N360" s="30">
        <f>_xlfn.XLOOKUP(A360,Performance!$A$2:$A$501,Performance!$C$2:$C$501)</f>
        <v>3</v>
      </c>
      <c r="O360" s="28" cm="1">
        <f t="array" ref="O360">_xlfn.IFS(N360=5,I360*15%,N360=4,I360*10%,N360=3,I360*7%,N360&lt;3,I360*5%)</f>
        <v>6417.9500000000007</v>
      </c>
    </row>
    <row r="361" spans="1:15">
      <c r="A361" s="24" t="s">
        <v>783</v>
      </c>
      <c r="B361" s="25" t="s">
        <v>61</v>
      </c>
      <c r="C361" s="25" t="s">
        <v>117</v>
      </c>
      <c r="D361" s="25" t="s">
        <v>19</v>
      </c>
      <c r="E361" s="25">
        <v>55</v>
      </c>
      <c r="F361" s="25" t="s">
        <v>54</v>
      </c>
      <c r="G361" s="25" t="s">
        <v>102</v>
      </c>
      <c r="H361" s="26">
        <v>44344</v>
      </c>
      <c r="I361" s="25">
        <v>76843</v>
      </c>
      <c r="J361" s="25" t="s">
        <v>62</v>
      </c>
      <c r="K361" s="25" t="s">
        <v>784</v>
      </c>
      <c r="L361" s="27" t="s">
        <v>24</v>
      </c>
      <c r="M361" s="28" t="str">
        <f>_xlfn.XLOOKUP(F361,Department!$A$2:$A$6,Department!$B$2:$B$6)</f>
        <v>Finance</v>
      </c>
      <c r="N361" s="30">
        <f>_xlfn.XLOOKUP(A361,Performance!$A$2:$A$501,Performance!$C$2:$C$501)</f>
        <v>3</v>
      </c>
      <c r="O361" s="28" cm="1">
        <f t="array" ref="O361">_xlfn.IFS(N361=5,I361*15%,N361=4,I361*10%,N361=3,I361*7%,N361&lt;3,I361*5%)</f>
        <v>5379.01</v>
      </c>
    </row>
    <row r="362" spans="1:15">
      <c r="A362" s="24" t="s">
        <v>785</v>
      </c>
      <c r="B362" s="25" t="s">
        <v>61</v>
      </c>
      <c r="C362" s="25" t="s">
        <v>18</v>
      </c>
      <c r="D362" s="25" t="s">
        <v>28</v>
      </c>
      <c r="E362" s="25">
        <v>35</v>
      </c>
      <c r="F362" s="25" t="s">
        <v>43</v>
      </c>
      <c r="G362" s="25" t="s">
        <v>44</v>
      </c>
      <c r="H362" s="26">
        <v>45231</v>
      </c>
      <c r="I362" s="25">
        <v>91860</v>
      </c>
      <c r="J362" s="25" t="s">
        <v>62</v>
      </c>
      <c r="K362" s="25" t="s">
        <v>786</v>
      </c>
      <c r="L362" s="27" t="s">
        <v>24</v>
      </c>
      <c r="M362" s="28" t="str">
        <f>_xlfn.XLOOKUP(F362,Department!$A$2:$A$6,Department!$B$2:$B$6)</f>
        <v>Marketing</v>
      </c>
      <c r="N362" s="30">
        <f>_xlfn.XLOOKUP(A362,Performance!$A$2:$A$501,Performance!$C$2:$C$501)</f>
        <v>4</v>
      </c>
      <c r="O362" s="28" cm="1">
        <f t="array" ref="O362">_xlfn.IFS(N362=5,I362*15%,N362=4,I362*10%,N362=3,I362*7%,N362&lt;3,I362*5%)</f>
        <v>9186</v>
      </c>
    </row>
    <row r="363" spans="1:15">
      <c r="A363" s="24" t="s">
        <v>787</v>
      </c>
      <c r="B363" s="25" t="s">
        <v>74</v>
      </c>
      <c r="C363" s="25" t="s">
        <v>18</v>
      </c>
      <c r="D363" s="25" t="s">
        <v>28</v>
      </c>
      <c r="E363" s="25">
        <v>60</v>
      </c>
      <c r="F363" s="25" t="s">
        <v>20</v>
      </c>
      <c r="G363" s="25" t="s">
        <v>21</v>
      </c>
      <c r="H363" s="26">
        <v>45444</v>
      </c>
      <c r="I363" s="25">
        <v>117041</v>
      </c>
      <c r="J363" s="25" t="s">
        <v>22</v>
      </c>
      <c r="K363" s="25" t="s">
        <v>788</v>
      </c>
      <c r="L363" s="27" t="s">
        <v>39</v>
      </c>
      <c r="M363" s="28" t="str">
        <f>_xlfn.XLOOKUP(F363,Department!$A$2:$A$6,Department!$B$2:$B$6)</f>
        <v>HR</v>
      </c>
      <c r="N363" s="30">
        <f>_xlfn.XLOOKUP(A363,Performance!$A$2:$A$501,Performance!$C$2:$C$501)</f>
        <v>5</v>
      </c>
      <c r="O363" s="28" cm="1">
        <f t="array" ref="O363">_xlfn.IFS(N363=5,I363*15%,N363=4,I363*10%,N363=3,I363*7%,N363&lt;3,I363*5%)</f>
        <v>17556.149999999998</v>
      </c>
    </row>
    <row r="364" spans="1:15">
      <c r="A364" s="24" t="s">
        <v>789</v>
      </c>
      <c r="B364" s="25" t="s">
        <v>17</v>
      </c>
      <c r="C364" s="25" t="s">
        <v>18</v>
      </c>
      <c r="D364" s="25" t="s">
        <v>28</v>
      </c>
      <c r="E364" s="25">
        <v>45</v>
      </c>
      <c r="F364" s="25" t="s">
        <v>35</v>
      </c>
      <c r="G364" s="25" t="s">
        <v>102</v>
      </c>
      <c r="H364" s="26">
        <v>43571</v>
      </c>
      <c r="I364" s="25">
        <v>93769</v>
      </c>
      <c r="J364" s="25" t="s">
        <v>81</v>
      </c>
      <c r="K364" s="25" t="s">
        <v>790</v>
      </c>
      <c r="L364" s="27" t="s">
        <v>24</v>
      </c>
      <c r="M364" s="28" t="str">
        <f>_xlfn.XLOOKUP(F364,Department!$A$2:$A$6,Department!$B$2:$B$6)</f>
        <v>Sales</v>
      </c>
      <c r="N364" s="30">
        <f>_xlfn.XLOOKUP(A364,Performance!$A$2:$A$501,Performance!$C$2:$C$501)</f>
        <v>5</v>
      </c>
      <c r="O364" s="28" cm="1">
        <f t="array" ref="O364">_xlfn.IFS(N364=5,I364*15%,N364=4,I364*10%,N364=3,I364*7%,N364&lt;3,I364*5%)</f>
        <v>14065.35</v>
      </c>
    </row>
    <row r="365" spans="1:15">
      <c r="A365" s="24" t="s">
        <v>791</v>
      </c>
      <c r="B365" s="25" t="s">
        <v>126</v>
      </c>
      <c r="C365" s="25" t="s">
        <v>141</v>
      </c>
      <c r="D365" s="25" t="s">
        <v>28</v>
      </c>
      <c r="E365" s="25">
        <v>37</v>
      </c>
      <c r="F365" s="25" t="s">
        <v>54</v>
      </c>
      <c r="G365" s="25" t="s">
        <v>102</v>
      </c>
      <c r="H365" s="26">
        <v>43785</v>
      </c>
      <c r="I365" s="25">
        <v>43224</v>
      </c>
      <c r="J365" s="25" t="s">
        <v>37</v>
      </c>
      <c r="K365" s="25" t="s">
        <v>792</v>
      </c>
      <c r="L365" s="27" t="s">
        <v>24</v>
      </c>
      <c r="M365" s="28" t="str">
        <f>_xlfn.XLOOKUP(F365,Department!$A$2:$A$6,Department!$B$2:$B$6)</f>
        <v>Finance</v>
      </c>
      <c r="N365" s="30">
        <f>_xlfn.XLOOKUP(A365,Performance!$A$2:$A$501,Performance!$C$2:$C$501)</f>
        <v>3</v>
      </c>
      <c r="O365" s="28" cm="1">
        <f t="array" ref="O365">_xlfn.IFS(N365=5,I365*15%,N365=4,I365*10%,N365=3,I365*7%,N365&lt;3,I365*5%)</f>
        <v>3025.6800000000003</v>
      </c>
    </row>
    <row r="366" spans="1:15">
      <c r="A366" s="24" t="s">
        <v>793</v>
      </c>
      <c r="B366" s="25" t="s">
        <v>126</v>
      </c>
      <c r="C366" s="25" t="s">
        <v>18</v>
      </c>
      <c r="D366" s="25" t="s">
        <v>28</v>
      </c>
      <c r="E366" s="25">
        <v>43</v>
      </c>
      <c r="F366" s="25" t="s">
        <v>54</v>
      </c>
      <c r="G366" s="25" t="s">
        <v>30</v>
      </c>
      <c r="H366" s="26">
        <v>43699</v>
      </c>
      <c r="I366" s="25">
        <v>101866</v>
      </c>
      <c r="J366" s="25" t="s">
        <v>81</v>
      </c>
      <c r="K366" s="25" t="s">
        <v>794</v>
      </c>
      <c r="L366" s="27" t="s">
        <v>39</v>
      </c>
      <c r="M366" s="28" t="str">
        <f>_xlfn.XLOOKUP(F366,Department!$A$2:$A$6,Department!$B$2:$B$6)</f>
        <v>Finance</v>
      </c>
      <c r="N366" s="30">
        <f>_xlfn.XLOOKUP(A366,Performance!$A$2:$A$501,Performance!$C$2:$C$501)</f>
        <v>3</v>
      </c>
      <c r="O366" s="28" cm="1">
        <f t="array" ref="O366">_xlfn.IFS(N366=5,I366*15%,N366=4,I366*10%,N366=3,I366*7%,N366&lt;3,I366*5%)</f>
        <v>7130.6200000000008</v>
      </c>
    </row>
    <row r="367" spans="1:15">
      <c r="A367" s="24" t="s">
        <v>795</v>
      </c>
      <c r="B367" s="25" t="s">
        <v>53</v>
      </c>
      <c r="C367" s="25" t="s">
        <v>93</v>
      </c>
      <c r="D367" s="25" t="s">
        <v>19</v>
      </c>
      <c r="E367" s="25">
        <v>56</v>
      </c>
      <c r="F367" s="25" t="s">
        <v>43</v>
      </c>
      <c r="G367" s="25" t="s">
        <v>44</v>
      </c>
      <c r="H367" s="26">
        <v>45240</v>
      </c>
      <c r="I367" s="25">
        <v>101636</v>
      </c>
      <c r="J367" s="25" t="s">
        <v>81</v>
      </c>
      <c r="K367" s="25" t="s">
        <v>796</v>
      </c>
      <c r="L367" s="27" t="s">
        <v>39</v>
      </c>
      <c r="M367" s="28" t="str">
        <f>_xlfn.XLOOKUP(F367,Department!$A$2:$A$6,Department!$B$2:$B$6)</f>
        <v>Marketing</v>
      </c>
      <c r="N367" s="30">
        <f>_xlfn.XLOOKUP(A367,Performance!$A$2:$A$501,Performance!$C$2:$C$501)</f>
        <v>3</v>
      </c>
      <c r="O367" s="28" cm="1">
        <f t="array" ref="O367">_xlfn.IFS(N367=5,I367*15%,N367=4,I367*10%,N367=3,I367*7%,N367&lt;3,I367*5%)</f>
        <v>7114.52</v>
      </c>
    </row>
    <row r="368" spans="1:15">
      <c r="A368" s="24" t="s">
        <v>797</v>
      </c>
      <c r="B368" s="25" t="s">
        <v>58</v>
      </c>
      <c r="C368" s="25" t="s">
        <v>80</v>
      </c>
      <c r="D368" s="25" t="s">
        <v>28</v>
      </c>
      <c r="E368" s="25">
        <v>42</v>
      </c>
      <c r="F368" s="25" t="s">
        <v>29</v>
      </c>
      <c r="G368" s="25" t="s">
        <v>21</v>
      </c>
      <c r="H368" s="26">
        <v>43599</v>
      </c>
      <c r="I368" s="25">
        <v>106833</v>
      </c>
      <c r="J368" s="25" t="s">
        <v>22</v>
      </c>
      <c r="K368" s="25" t="s">
        <v>798</v>
      </c>
      <c r="L368" s="27" t="s">
        <v>39</v>
      </c>
      <c r="M368" s="28" t="str">
        <f>_xlfn.XLOOKUP(F368,Department!$A$2:$A$6,Department!$B$2:$B$6)</f>
        <v>IT</v>
      </c>
      <c r="N368" s="30">
        <f>_xlfn.XLOOKUP(A368,Performance!$A$2:$A$501,Performance!$C$2:$C$501)</f>
        <v>5</v>
      </c>
      <c r="O368" s="28" cm="1">
        <f t="array" ref="O368">_xlfn.IFS(N368=5,I368*15%,N368=4,I368*10%,N368=3,I368*7%,N368&lt;3,I368*5%)</f>
        <v>16024.949999999999</v>
      </c>
    </row>
    <row r="369" spans="1:15">
      <c r="A369" s="24" t="s">
        <v>799</v>
      </c>
      <c r="B369" s="25" t="s">
        <v>34</v>
      </c>
      <c r="C369" s="25" t="s">
        <v>49</v>
      </c>
      <c r="D369" s="25" t="s">
        <v>19</v>
      </c>
      <c r="E369" s="25">
        <v>42</v>
      </c>
      <c r="F369" s="25" t="s">
        <v>20</v>
      </c>
      <c r="G369" s="25" t="s">
        <v>36</v>
      </c>
      <c r="H369" s="26">
        <v>43280</v>
      </c>
      <c r="I369" s="25">
        <v>75163</v>
      </c>
      <c r="J369" s="25" t="s">
        <v>37</v>
      </c>
      <c r="K369" s="25" t="s">
        <v>800</v>
      </c>
      <c r="L369" s="27" t="s">
        <v>24</v>
      </c>
      <c r="M369" s="28" t="str">
        <f>_xlfn.XLOOKUP(F369,Department!$A$2:$A$6,Department!$B$2:$B$6)</f>
        <v>HR</v>
      </c>
      <c r="N369" s="30">
        <f>_xlfn.XLOOKUP(A369,Performance!$A$2:$A$501,Performance!$C$2:$C$501)</f>
        <v>2</v>
      </c>
      <c r="O369" s="28" cm="1">
        <f t="array" ref="O369">_xlfn.IFS(N369=5,I369*15%,N369=4,I369*10%,N369=3,I369*7%,N369&lt;3,I369*5%)</f>
        <v>3758.15</v>
      </c>
    </row>
    <row r="370" spans="1:15">
      <c r="A370" s="24" t="s">
        <v>801</v>
      </c>
      <c r="B370" s="25" t="s">
        <v>61</v>
      </c>
      <c r="C370" s="25" t="s">
        <v>117</v>
      </c>
      <c r="D370" s="25" t="s">
        <v>28</v>
      </c>
      <c r="E370" s="25">
        <v>41</v>
      </c>
      <c r="F370" s="25" t="s">
        <v>54</v>
      </c>
      <c r="G370" s="25" t="s">
        <v>30</v>
      </c>
      <c r="H370" s="26">
        <v>43299</v>
      </c>
      <c r="I370" s="25">
        <v>86763</v>
      </c>
      <c r="J370" s="25" t="s">
        <v>62</v>
      </c>
      <c r="K370" s="25" t="s">
        <v>802</v>
      </c>
      <c r="L370" s="27" t="s">
        <v>39</v>
      </c>
      <c r="M370" s="28" t="str">
        <f>_xlfn.XLOOKUP(F370,Department!$A$2:$A$6,Department!$B$2:$B$6)</f>
        <v>Finance</v>
      </c>
      <c r="N370" s="30">
        <f>_xlfn.XLOOKUP(A370,Performance!$A$2:$A$501,Performance!$C$2:$C$501)</f>
        <v>5</v>
      </c>
      <c r="O370" s="28" cm="1">
        <f t="array" ref="O370">_xlfn.IFS(N370=5,I370*15%,N370=4,I370*10%,N370=3,I370*7%,N370&lt;3,I370*5%)</f>
        <v>13014.449999999999</v>
      </c>
    </row>
    <row r="371" spans="1:15">
      <c r="A371" s="24" t="s">
        <v>803</v>
      </c>
      <c r="B371" s="25" t="s">
        <v>92</v>
      </c>
      <c r="C371" s="25" t="s">
        <v>117</v>
      </c>
      <c r="D371" s="25" t="s">
        <v>19</v>
      </c>
      <c r="E371" s="25">
        <v>49</v>
      </c>
      <c r="F371" s="25" t="s">
        <v>54</v>
      </c>
      <c r="G371" s="25" t="s">
        <v>44</v>
      </c>
      <c r="H371" s="26">
        <v>44073</v>
      </c>
      <c r="I371" s="25">
        <v>54974</v>
      </c>
      <c r="J371" s="25" t="s">
        <v>81</v>
      </c>
      <c r="K371" s="25" t="s">
        <v>804</v>
      </c>
      <c r="L371" s="27" t="s">
        <v>39</v>
      </c>
      <c r="M371" s="28" t="str">
        <f>_xlfn.XLOOKUP(F371,Department!$A$2:$A$6,Department!$B$2:$B$6)</f>
        <v>Finance</v>
      </c>
      <c r="N371" s="30">
        <f>_xlfn.XLOOKUP(A371,Performance!$A$2:$A$501,Performance!$C$2:$C$501)</f>
        <v>2</v>
      </c>
      <c r="O371" s="28" cm="1">
        <f t="array" ref="O371">_xlfn.IFS(N371=5,I371*15%,N371=4,I371*10%,N371=3,I371*7%,N371&lt;3,I371*5%)</f>
        <v>2748.7000000000003</v>
      </c>
    </row>
    <row r="372" spans="1:15">
      <c r="A372" s="24" t="s">
        <v>805</v>
      </c>
      <c r="B372" s="25" t="s">
        <v>126</v>
      </c>
      <c r="C372" s="25" t="s">
        <v>66</v>
      </c>
      <c r="D372" s="25" t="s">
        <v>19</v>
      </c>
      <c r="E372" s="25">
        <v>30</v>
      </c>
      <c r="F372" s="25" t="s">
        <v>35</v>
      </c>
      <c r="G372" s="25" t="s">
        <v>36</v>
      </c>
      <c r="H372" s="26">
        <v>44944</v>
      </c>
      <c r="I372" s="25">
        <v>74728</v>
      </c>
      <c r="J372" s="25" t="s">
        <v>22</v>
      </c>
      <c r="K372" s="25" t="s">
        <v>806</v>
      </c>
      <c r="L372" s="27" t="s">
        <v>39</v>
      </c>
      <c r="M372" s="28" t="str">
        <f>_xlfn.XLOOKUP(F372,Department!$A$2:$A$6,Department!$B$2:$B$6)</f>
        <v>Sales</v>
      </c>
      <c r="N372" s="30">
        <f>_xlfn.XLOOKUP(A372,Performance!$A$2:$A$501,Performance!$C$2:$C$501)</f>
        <v>4</v>
      </c>
      <c r="O372" s="28" cm="1">
        <f t="array" ref="O372">_xlfn.IFS(N372=5,I372*15%,N372=4,I372*10%,N372=3,I372*7%,N372&lt;3,I372*5%)</f>
        <v>7472.8</v>
      </c>
    </row>
    <row r="373" spans="1:15">
      <c r="A373" s="24" t="s">
        <v>807</v>
      </c>
      <c r="B373" s="25" t="s">
        <v>17</v>
      </c>
      <c r="C373" s="25" t="s">
        <v>117</v>
      </c>
      <c r="D373" s="25" t="s">
        <v>28</v>
      </c>
      <c r="E373" s="25">
        <v>58</v>
      </c>
      <c r="F373" s="25" t="s">
        <v>35</v>
      </c>
      <c r="G373" s="25" t="s">
        <v>44</v>
      </c>
      <c r="H373" s="26">
        <v>44212</v>
      </c>
      <c r="I373" s="25">
        <v>88207</v>
      </c>
      <c r="J373" s="25" t="s">
        <v>81</v>
      </c>
      <c r="K373" s="25" t="s">
        <v>808</v>
      </c>
      <c r="L373" s="27" t="s">
        <v>39</v>
      </c>
      <c r="M373" s="28" t="str">
        <f>_xlfn.XLOOKUP(F373,Department!$A$2:$A$6,Department!$B$2:$B$6)</f>
        <v>Sales</v>
      </c>
      <c r="N373" s="30">
        <f>_xlfn.XLOOKUP(A373,Performance!$A$2:$A$501,Performance!$C$2:$C$501)</f>
        <v>1</v>
      </c>
      <c r="O373" s="28" cm="1">
        <f t="array" ref="O373">_xlfn.IFS(N373=5,I373*15%,N373=4,I373*10%,N373=3,I373*7%,N373&lt;3,I373*5%)</f>
        <v>4410.3500000000004</v>
      </c>
    </row>
    <row r="374" spans="1:15">
      <c r="A374" s="24" t="s">
        <v>809</v>
      </c>
      <c r="B374" s="25" t="s">
        <v>34</v>
      </c>
      <c r="C374" s="25" t="s">
        <v>80</v>
      </c>
      <c r="D374" s="25" t="s">
        <v>28</v>
      </c>
      <c r="E374" s="25">
        <v>56</v>
      </c>
      <c r="F374" s="25" t="s">
        <v>43</v>
      </c>
      <c r="G374" s="25" t="s">
        <v>44</v>
      </c>
      <c r="H374" s="26">
        <v>44828</v>
      </c>
      <c r="I374" s="25">
        <v>96878</v>
      </c>
      <c r="J374" s="25" t="s">
        <v>62</v>
      </c>
      <c r="K374" s="25" t="s">
        <v>810</v>
      </c>
      <c r="L374" s="27" t="s">
        <v>24</v>
      </c>
      <c r="M374" s="28" t="str">
        <f>_xlfn.XLOOKUP(F374,Department!$A$2:$A$6,Department!$B$2:$B$6)</f>
        <v>Marketing</v>
      </c>
      <c r="N374" s="30">
        <f>_xlfn.XLOOKUP(A374,Performance!$A$2:$A$501,Performance!$C$2:$C$501)</f>
        <v>5</v>
      </c>
      <c r="O374" s="28" cm="1">
        <f t="array" ref="O374">_xlfn.IFS(N374=5,I374*15%,N374=4,I374*10%,N374=3,I374*7%,N374&lt;3,I374*5%)</f>
        <v>14531.699999999999</v>
      </c>
    </row>
    <row r="375" spans="1:15">
      <c r="A375" s="24" t="s">
        <v>811</v>
      </c>
      <c r="B375" s="25" t="s">
        <v>58</v>
      </c>
      <c r="C375" s="25" t="s">
        <v>89</v>
      </c>
      <c r="D375" s="25" t="s">
        <v>19</v>
      </c>
      <c r="E375" s="25">
        <v>27</v>
      </c>
      <c r="F375" s="25" t="s">
        <v>29</v>
      </c>
      <c r="G375" s="25" t="s">
        <v>44</v>
      </c>
      <c r="H375" s="26">
        <v>44111</v>
      </c>
      <c r="I375" s="25">
        <v>49341</v>
      </c>
      <c r="J375" s="25" t="s">
        <v>62</v>
      </c>
      <c r="K375" s="25" t="s">
        <v>812</v>
      </c>
      <c r="L375" s="27" t="s">
        <v>39</v>
      </c>
      <c r="M375" s="28" t="str">
        <f>_xlfn.XLOOKUP(F375,Department!$A$2:$A$6,Department!$B$2:$B$6)</f>
        <v>IT</v>
      </c>
      <c r="N375" s="30">
        <f>_xlfn.XLOOKUP(A375,Performance!$A$2:$A$501,Performance!$C$2:$C$501)</f>
        <v>5</v>
      </c>
      <c r="O375" s="28" cm="1">
        <f t="array" ref="O375">_xlfn.IFS(N375=5,I375*15%,N375=4,I375*10%,N375=3,I375*7%,N375&lt;3,I375*5%)</f>
        <v>7401.15</v>
      </c>
    </row>
    <row r="376" spans="1:15">
      <c r="A376" s="24" t="s">
        <v>813</v>
      </c>
      <c r="B376" s="25" t="s">
        <v>17</v>
      </c>
      <c r="C376" s="25" t="s">
        <v>141</v>
      </c>
      <c r="D376" s="25" t="s">
        <v>19</v>
      </c>
      <c r="E376" s="25">
        <v>57</v>
      </c>
      <c r="F376" s="25" t="s">
        <v>43</v>
      </c>
      <c r="G376" s="25" t="s">
        <v>30</v>
      </c>
      <c r="H376" s="26">
        <v>45211</v>
      </c>
      <c r="I376" s="25">
        <v>87757</v>
      </c>
      <c r="J376" s="25" t="s">
        <v>22</v>
      </c>
      <c r="K376" s="25" t="s">
        <v>814</v>
      </c>
      <c r="L376" s="27" t="s">
        <v>24</v>
      </c>
      <c r="M376" s="28" t="str">
        <f>_xlfn.XLOOKUP(F376,Department!$A$2:$A$6,Department!$B$2:$B$6)</f>
        <v>Marketing</v>
      </c>
      <c r="N376" s="30">
        <f>_xlfn.XLOOKUP(A376,Performance!$A$2:$A$501,Performance!$C$2:$C$501)</f>
        <v>3</v>
      </c>
      <c r="O376" s="28" cm="1">
        <f t="array" ref="O376">_xlfn.IFS(N376=5,I376*15%,N376=4,I376*10%,N376=3,I376*7%,N376&lt;3,I376*5%)</f>
        <v>6142.9900000000007</v>
      </c>
    </row>
    <row r="377" spans="1:15">
      <c r="A377" s="24" t="s">
        <v>815</v>
      </c>
      <c r="B377" s="25" t="s">
        <v>92</v>
      </c>
      <c r="C377" s="25" t="s">
        <v>18</v>
      </c>
      <c r="D377" s="25" t="s">
        <v>19</v>
      </c>
      <c r="E377" s="25">
        <v>28</v>
      </c>
      <c r="F377" s="25" t="s">
        <v>54</v>
      </c>
      <c r="G377" s="25" t="s">
        <v>21</v>
      </c>
      <c r="H377" s="26">
        <v>45553</v>
      </c>
      <c r="I377" s="25">
        <v>113590</v>
      </c>
      <c r="J377" s="25" t="s">
        <v>22</v>
      </c>
      <c r="K377" s="25" t="s">
        <v>816</v>
      </c>
      <c r="L377" s="27" t="s">
        <v>39</v>
      </c>
      <c r="M377" s="28" t="str">
        <f>_xlfn.XLOOKUP(F377,Department!$A$2:$A$6,Department!$B$2:$B$6)</f>
        <v>Finance</v>
      </c>
      <c r="N377" s="30">
        <f>_xlfn.XLOOKUP(A377,Performance!$A$2:$A$501,Performance!$C$2:$C$501)</f>
        <v>3</v>
      </c>
      <c r="O377" s="28" cm="1">
        <f t="array" ref="O377">_xlfn.IFS(N377=5,I377*15%,N377=4,I377*10%,N377=3,I377*7%,N377&lt;3,I377*5%)</f>
        <v>7951.3000000000011</v>
      </c>
    </row>
    <row r="378" spans="1:15">
      <c r="A378" s="24" t="s">
        <v>817</v>
      </c>
      <c r="B378" s="25" t="s">
        <v>58</v>
      </c>
      <c r="C378" s="25" t="s">
        <v>89</v>
      </c>
      <c r="D378" s="25" t="s">
        <v>19</v>
      </c>
      <c r="E378" s="25">
        <v>37</v>
      </c>
      <c r="F378" s="25" t="s">
        <v>20</v>
      </c>
      <c r="G378" s="25" t="s">
        <v>36</v>
      </c>
      <c r="H378" s="26">
        <v>45408</v>
      </c>
      <c r="I378" s="25">
        <v>82897</v>
      </c>
      <c r="J378" s="25" t="s">
        <v>37</v>
      </c>
      <c r="K378" s="25" t="s">
        <v>818</v>
      </c>
      <c r="L378" s="27" t="s">
        <v>24</v>
      </c>
      <c r="M378" s="28" t="str">
        <f>_xlfn.XLOOKUP(F378,Department!$A$2:$A$6,Department!$B$2:$B$6)</f>
        <v>HR</v>
      </c>
      <c r="N378" s="30">
        <f>_xlfn.XLOOKUP(A378,Performance!$A$2:$A$501,Performance!$C$2:$C$501)</f>
        <v>1</v>
      </c>
      <c r="O378" s="28" cm="1">
        <f t="array" ref="O378">_xlfn.IFS(N378=5,I378*15%,N378=4,I378*10%,N378=3,I378*7%,N378&lt;3,I378*5%)</f>
        <v>4144.8500000000004</v>
      </c>
    </row>
    <row r="379" spans="1:15">
      <c r="A379" s="24" t="s">
        <v>819</v>
      </c>
      <c r="B379" s="25" t="s">
        <v>92</v>
      </c>
      <c r="C379" s="25" t="s">
        <v>89</v>
      </c>
      <c r="D379" s="25" t="s">
        <v>19</v>
      </c>
      <c r="E379" s="25">
        <v>37</v>
      </c>
      <c r="F379" s="25" t="s">
        <v>29</v>
      </c>
      <c r="G379" s="25" t="s">
        <v>36</v>
      </c>
      <c r="H379" s="26">
        <v>45396</v>
      </c>
      <c r="I379" s="25">
        <v>69652</v>
      </c>
      <c r="J379" s="25" t="s">
        <v>67</v>
      </c>
      <c r="K379" s="25" t="s">
        <v>820</v>
      </c>
      <c r="L379" s="27" t="s">
        <v>39</v>
      </c>
      <c r="M379" s="28" t="str">
        <f>_xlfn.XLOOKUP(F379,Department!$A$2:$A$6,Department!$B$2:$B$6)</f>
        <v>IT</v>
      </c>
      <c r="N379" s="30">
        <f>_xlfn.XLOOKUP(A379,Performance!$A$2:$A$501,Performance!$C$2:$C$501)</f>
        <v>3</v>
      </c>
      <c r="O379" s="28" cm="1">
        <f t="array" ref="O379">_xlfn.IFS(N379=5,I379*15%,N379=4,I379*10%,N379=3,I379*7%,N379&lt;3,I379*5%)</f>
        <v>4875.6400000000003</v>
      </c>
    </row>
    <row r="380" spans="1:15">
      <c r="A380" s="24" t="s">
        <v>821</v>
      </c>
      <c r="B380" s="25" t="s">
        <v>61</v>
      </c>
      <c r="C380" s="25" t="s">
        <v>18</v>
      </c>
      <c r="D380" s="25" t="s">
        <v>19</v>
      </c>
      <c r="E380" s="25">
        <v>22</v>
      </c>
      <c r="F380" s="25" t="s">
        <v>29</v>
      </c>
      <c r="G380" s="25" t="s">
        <v>102</v>
      </c>
      <c r="H380" s="26">
        <v>43913</v>
      </c>
      <c r="I380" s="25">
        <v>92754</v>
      </c>
      <c r="J380" s="25" t="s">
        <v>22</v>
      </c>
      <c r="K380" s="25" t="s">
        <v>822</v>
      </c>
      <c r="L380" s="27" t="s">
        <v>24</v>
      </c>
      <c r="M380" s="28" t="str">
        <f>_xlfn.XLOOKUP(F380,Department!$A$2:$A$6,Department!$B$2:$B$6)</f>
        <v>IT</v>
      </c>
      <c r="N380" s="30">
        <f>_xlfn.XLOOKUP(A380,Performance!$A$2:$A$501,Performance!$C$2:$C$501)</f>
        <v>3</v>
      </c>
      <c r="O380" s="28" cm="1">
        <f t="array" ref="O380">_xlfn.IFS(N380=5,I380*15%,N380=4,I380*10%,N380=3,I380*7%,N380&lt;3,I380*5%)</f>
        <v>6492.7800000000007</v>
      </c>
    </row>
    <row r="381" spans="1:15">
      <c r="A381" s="24" t="s">
        <v>823</v>
      </c>
      <c r="B381" s="25" t="s">
        <v>53</v>
      </c>
      <c r="C381" s="25" t="s">
        <v>18</v>
      </c>
      <c r="D381" s="25" t="s">
        <v>28</v>
      </c>
      <c r="E381" s="25">
        <v>24</v>
      </c>
      <c r="F381" s="25" t="s">
        <v>29</v>
      </c>
      <c r="G381" s="25" t="s">
        <v>21</v>
      </c>
      <c r="H381" s="26">
        <v>45066</v>
      </c>
      <c r="I381" s="25">
        <v>65180</v>
      </c>
      <c r="J381" s="25" t="s">
        <v>67</v>
      </c>
      <c r="K381" s="25" t="s">
        <v>824</v>
      </c>
      <c r="L381" s="27" t="s">
        <v>24</v>
      </c>
      <c r="M381" s="28" t="str">
        <f>_xlfn.XLOOKUP(F381,Department!$A$2:$A$6,Department!$B$2:$B$6)</f>
        <v>IT</v>
      </c>
      <c r="N381" s="30">
        <f>_xlfn.XLOOKUP(A381,Performance!$A$2:$A$501,Performance!$C$2:$C$501)</f>
        <v>2</v>
      </c>
      <c r="O381" s="28" cm="1">
        <f t="array" ref="O381">_xlfn.IFS(N381=5,I381*15%,N381=4,I381*10%,N381=3,I381*7%,N381&lt;3,I381*5%)</f>
        <v>3259</v>
      </c>
    </row>
    <row r="382" spans="1:15">
      <c r="A382" s="24" t="s">
        <v>825</v>
      </c>
      <c r="B382" s="25" t="s">
        <v>42</v>
      </c>
      <c r="C382" s="25" t="s">
        <v>66</v>
      </c>
      <c r="D382" s="25" t="s">
        <v>19</v>
      </c>
      <c r="E382" s="25">
        <v>60</v>
      </c>
      <c r="F382" s="25" t="s">
        <v>35</v>
      </c>
      <c r="G382" s="25" t="s">
        <v>30</v>
      </c>
      <c r="H382" s="26">
        <v>43930</v>
      </c>
      <c r="I382" s="25">
        <v>93081</v>
      </c>
      <c r="J382" s="25" t="s">
        <v>67</v>
      </c>
      <c r="K382" s="25" t="s">
        <v>826</v>
      </c>
      <c r="L382" s="27" t="s">
        <v>24</v>
      </c>
      <c r="M382" s="28" t="str">
        <f>_xlfn.XLOOKUP(F382,Department!$A$2:$A$6,Department!$B$2:$B$6)</f>
        <v>Sales</v>
      </c>
      <c r="N382" s="30">
        <f>_xlfn.XLOOKUP(A382,Performance!$A$2:$A$501,Performance!$C$2:$C$501)</f>
        <v>4</v>
      </c>
      <c r="O382" s="28" cm="1">
        <f t="array" ref="O382">_xlfn.IFS(N382=5,I382*15%,N382=4,I382*10%,N382=3,I382*7%,N382&lt;3,I382*5%)</f>
        <v>9308.1</v>
      </c>
    </row>
    <row r="383" spans="1:15">
      <c r="A383" s="24" t="s">
        <v>827</v>
      </c>
      <c r="B383" s="25" t="s">
        <v>42</v>
      </c>
      <c r="C383" s="25" t="s">
        <v>66</v>
      </c>
      <c r="D383" s="25" t="s">
        <v>19</v>
      </c>
      <c r="E383" s="25">
        <v>57</v>
      </c>
      <c r="F383" s="25" t="s">
        <v>29</v>
      </c>
      <c r="G383" s="25" t="s">
        <v>36</v>
      </c>
      <c r="H383" s="26">
        <v>43134</v>
      </c>
      <c r="I383" s="25">
        <v>91007</v>
      </c>
      <c r="J383" s="25" t="s">
        <v>62</v>
      </c>
      <c r="K383" s="25" t="s">
        <v>828</v>
      </c>
      <c r="L383" s="27" t="s">
        <v>39</v>
      </c>
      <c r="M383" s="28" t="str">
        <f>_xlfn.XLOOKUP(F383,Department!$A$2:$A$6,Department!$B$2:$B$6)</f>
        <v>IT</v>
      </c>
      <c r="N383" s="30">
        <f>_xlfn.XLOOKUP(A383,Performance!$A$2:$A$501,Performance!$C$2:$C$501)</f>
        <v>3</v>
      </c>
      <c r="O383" s="28" cm="1">
        <f t="array" ref="O383">_xlfn.IFS(N383=5,I383*15%,N383=4,I383*10%,N383=3,I383*7%,N383&lt;3,I383*5%)</f>
        <v>6370.4900000000007</v>
      </c>
    </row>
    <row r="384" spans="1:15">
      <c r="A384" s="24" t="s">
        <v>829</v>
      </c>
      <c r="B384" s="25" t="s">
        <v>48</v>
      </c>
      <c r="C384" s="25" t="s">
        <v>117</v>
      </c>
      <c r="D384" s="25" t="s">
        <v>19</v>
      </c>
      <c r="E384" s="25">
        <v>32</v>
      </c>
      <c r="F384" s="25" t="s">
        <v>29</v>
      </c>
      <c r="G384" s="25" t="s">
        <v>44</v>
      </c>
      <c r="H384" s="26">
        <v>43294</v>
      </c>
      <c r="I384" s="25">
        <v>88127</v>
      </c>
      <c r="J384" s="25" t="s">
        <v>67</v>
      </c>
      <c r="K384" s="25" t="s">
        <v>830</v>
      </c>
      <c r="L384" s="27" t="s">
        <v>24</v>
      </c>
      <c r="M384" s="28" t="str">
        <f>_xlfn.XLOOKUP(F384,Department!$A$2:$A$6,Department!$B$2:$B$6)</f>
        <v>IT</v>
      </c>
      <c r="N384" s="30">
        <f>_xlfn.XLOOKUP(A384,Performance!$A$2:$A$501,Performance!$C$2:$C$501)</f>
        <v>4</v>
      </c>
      <c r="O384" s="28" cm="1">
        <f t="array" ref="O384">_xlfn.IFS(N384=5,I384*15%,N384=4,I384*10%,N384=3,I384*7%,N384&lt;3,I384*5%)</f>
        <v>8812.7000000000007</v>
      </c>
    </row>
    <row r="385" spans="1:15">
      <c r="A385" s="24" t="s">
        <v>831</v>
      </c>
      <c r="B385" s="25" t="s">
        <v>34</v>
      </c>
      <c r="C385" s="25" t="s">
        <v>80</v>
      </c>
      <c r="D385" s="25" t="s">
        <v>28</v>
      </c>
      <c r="E385" s="25">
        <v>34</v>
      </c>
      <c r="F385" s="25" t="s">
        <v>20</v>
      </c>
      <c r="G385" s="25" t="s">
        <v>30</v>
      </c>
      <c r="H385" s="26">
        <v>44595</v>
      </c>
      <c r="I385" s="25">
        <v>70318</v>
      </c>
      <c r="J385" s="25" t="s">
        <v>22</v>
      </c>
      <c r="K385" s="25" t="s">
        <v>832</v>
      </c>
      <c r="L385" s="27" t="s">
        <v>39</v>
      </c>
      <c r="M385" s="28" t="str">
        <f>_xlfn.XLOOKUP(F385,Department!$A$2:$A$6,Department!$B$2:$B$6)</f>
        <v>HR</v>
      </c>
      <c r="N385" s="30">
        <f>_xlfn.XLOOKUP(A385,Performance!$A$2:$A$501,Performance!$C$2:$C$501)</f>
        <v>2</v>
      </c>
      <c r="O385" s="28" cm="1">
        <f t="array" ref="O385">_xlfn.IFS(N385=5,I385*15%,N385=4,I385*10%,N385=3,I385*7%,N385&lt;3,I385*5%)</f>
        <v>3515.9</v>
      </c>
    </row>
    <row r="386" spans="1:15">
      <c r="A386" s="24" t="s">
        <v>833</v>
      </c>
      <c r="B386" s="25" t="s">
        <v>34</v>
      </c>
      <c r="C386" s="25" t="s">
        <v>93</v>
      </c>
      <c r="D386" s="25" t="s">
        <v>19</v>
      </c>
      <c r="E386" s="25">
        <v>31</v>
      </c>
      <c r="F386" s="25" t="s">
        <v>35</v>
      </c>
      <c r="G386" s="25" t="s">
        <v>102</v>
      </c>
      <c r="H386" s="26">
        <v>43302</v>
      </c>
      <c r="I386" s="25">
        <v>47884</v>
      </c>
      <c r="J386" s="25" t="s">
        <v>37</v>
      </c>
      <c r="K386" s="25" t="s">
        <v>834</v>
      </c>
      <c r="L386" s="27" t="s">
        <v>24</v>
      </c>
      <c r="M386" s="28" t="str">
        <f>_xlfn.XLOOKUP(F386,Department!$A$2:$A$6,Department!$B$2:$B$6)</f>
        <v>Sales</v>
      </c>
      <c r="N386" s="30">
        <f>_xlfn.XLOOKUP(A386,Performance!$A$2:$A$501,Performance!$C$2:$C$501)</f>
        <v>4</v>
      </c>
      <c r="O386" s="28" cm="1">
        <f t="array" ref="O386">_xlfn.IFS(N386=5,I386*15%,N386=4,I386*10%,N386=3,I386*7%,N386&lt;3,I386*5%)</f>
        <v>4788.4000000000005</v>
      </c>
    </row>
    <row r="387" spans="1:15">
      <c r="A387" s="24" t="s">
        <v>835</v>
      </c>
      <c r="B387" s="25" t="s">
        <v>126</v>
      </c>
      <c r="C387" s="25" t="s">
        <v>18</v>
      </c>
      <c r="D387" s="25" t="s">
        <v>19</v>
      </c>
      <c r="E387" s="25">
        <v>48</v>
      </c>
      <c r="F387" s="25" t="s">
        <v>54</v>
      </c>
      <c r="G387" s="25" t="s">
        <v>102</v>
      </c>
      <c r="H387" s="26">
        <v>45398</v>
      </c>
      <c r="I387" s="25">
        <v>71987</v>
      </c>
      <c r="J387" s="25" t="s">
        <v>37</v>
      </c>
      <c r="K387" s="25" t="s">
        <v>836</v>
      </c>
      <c r="L387" s="27" t="s">
        <v>39</v>
      </c>
      <c r="M387" s="28" t="str">
        <f>_xlfn.XLOOKUP(F387,Department!$A$2:$A$6,Department!$B$2:$B$6)</f>
        <v>Finance</v>
      </c>
      <c r="N387" s="30">
        <f>_xlfn.XLOOKUP(A387,Performance!$A$2:$A$501,Performance!$C$2:$C$501)</f>
        <v>4</v>
      </c>
      <c r="O387" s="28" cm="1">
        <f t="array" ref="O387">_xlfn.IFS(N387=5,I387*15%,N387=4,I387*10%,N387=3,I387*7%,N387&lt;3,I387*5%)</f>
        <v>7198.7000000000007</v>
      </c>
    </row>
    <row r="388" spans="1:15">
      <c r="A388" s="24" t="s">
        <v>837</v>
      </c>
      <c r="B388" s="25" t="s">
        <v>61</v>
      </c>
      <c r="C388" s="25" t="s">
        <v>117</v>
      </c>
      <c r="D388" s="25" t="s">
        <v>28</v>
      </c>
      <c r="E388" s="25">
        <v>52</v>
      </c>
      <c r="F388" s="25" t="s">
        <v>43</v>
      </c>
      <c r="G388" s="25" t="s">
        <v>44</v>
      </c>
      <c r="H388" s="26">
        <v>44540</v>
      </c>
      <c r="I388" s="25">
        <v>108773</v>
      </c>
      <c r="J388" s="25" t="s">
        <v>62</v>
      </c>
      <c r="K388" s="25" t="s">
        <v>838</v>
      </c>
      <c r="L388" s="27" t="s">
        <v>39</v>
      </c>
      <c r="M388" s="28" t="str">
        <f>_xlfn.XLOOKUP(F388,Department!$A$2:$A$6,Department!$B$2:$B$6)</f>
        <v>Marketing</v>
      </c>
      <c r="N388" s="30">
        <f>_xlfn.XLOOKUP(A388,Performance!$A$2:$A$501,Performance!$C$2:$C$501)</f>
        <v>1</v>
      </c>
      <c r="O388" s="28" cm="1">
        <f t="array" ref="O388">_xlfn.IFS(N388=5,I388*15%,N388=4,I388*10%,N388=3,I388*7%,N388&lt;3,I388*5%)</f>
        <v>5438.6500000000005</v>
      </c>
    </row>
    <row r="389" spans="1:15">
      <c r="A389" s="24" t="s">
        <v>839</v>
      </c>
      <c r="B389" s="25" t="s">
        <v>74</v>
      </c>
      <c r="C389" s="25" t="s">
        <v>117</v>
      </c>
      <c r="D389" s="25" t="s">
        <v>19</v>
      </c>
      <c r="E389" s="25">
        <v>58</v>
      </c>
      <c r="F389" s="25" t="s">
        <v>29</v>
      </c>
      <c r="G389" s="25" t="s">
        <v>44</v>
      </c>
      <c r="H389" s="26">
        <v>43216</v>
      </c>
      <c r="I389" s="25">
        <v>115133</v>
      </c>
      <c r="J389" s="25" t="s">
        <v>37</v>
      </c>
      <c r="K389" s="25" t="s">
        <v>840</v>
      </c>
      <c r="L389" s="27" t="s">
        <v>24</v>
      </c>
      <c r="M389" s="28" t="str">
        <f>_xlfn.XLOOKUP(F389,Department!$A$2:$A$6,Department!$B$2:$B$6)</f>
        <v>IT</v>
      </c>
      <c r="N389" s="30">
        <f>_xlfn.XLOOKUP(A389,Performance!$A$2:$A$501,Performance!$C$2:$C$501)</f>
        <v>1</v>
      </c>
      <c r="O389" s="28" cm="1">
        <f t="array" ref="O389">_xlfn.IFS(N389=5,I389*15%,N389=4,I389*10%,N389=3,I389*7%,N389&lt;3,I389*5%)</f>
        <v>5756.6500000000005</v>
      </c>
    </row>
    <row r="390" spans="1:15">
      <c r="A390" s="24" t="s">
        <v>841</v>
      </c>
      <c r="B390" s="25" t="s">
        <v>92</v>
      </c>
      <c r="C390" s="25" t="s">
        <v>141</v>
      </c>
      <c r="D390" s="25" t="s">
        <v>28</v>
      </c>
      <c r="E390" s="25">
        <v>50</v>
      </c>
      <c r="F390" s="25" t="s">
        <v>20</v>
      </c>
      <c r="G390" s="25" t="s">
        <v>30</v>
      </c>
      <c r="H390" s="26">
        <v>44931</v>
      </c>
      <c r="I390" s="25">
        <v>44417</v>
      </c>
      <c r="J390" s="25" t="s">
        <v>81</v>
      </c>
      <c r="K390" s="25" t="s">
        <v>842</v>
      </c>
      <c r="L390" s="27" t="s">
        <v>39</v>
      </c>
      <c r="M390" s="28" t="str">
        <f>_xlfn.XLOOKUP(F390,Department!$A$2:$A$6,Department!$B$2:$B$6)</f>
        <v>HR</v>
      </c>
      <c r="N390" s="30">
        <f>_xlfn.XLOOKUP(A390,Performance!$A$2:$A$501,Performance!$C$2:$C$501)</f>
        <v>3</v>
      </c>
      <c r="O390" s="28" cm="1">
        <f t="array" ref="O390">_xlfn.IFS(N390=5,I390*15%,N390=4,I390*10%,N390=3,I390*7%,N390&lt;3,I390*5%)</f>
        <v>3109.1900000000005</v>
      </c>
    </row>
    <row r="391" spans="1:15">
      <c r="A391" s="24" t="s">
        <v>843</v>
      </c>
      <c r="B391" s="25" t="s">
        <v>34</v>
      </c>
      <c r="C391" s="25" t="s">
        <v>80</v>
      </c>
      <c r="D391" s="25" t="s">
        <v>28</v>
      </c>
      <c r="E391" s="25">
        <v>46</v>
      </c>
      <c r="F391" s="25" t="s">
        <v>35</v>
      </c>
      <c r="G391" s="25" t="s">
        <v>21</v>
      </c>
      <c r="H391" s="26">
        <v>45119</v>
      </c>
      <c r="I391" s="25">
        <v>107012</v>
      </c>
      <c r="J391" s="25" t="s">
        <v>67</v>
      </c>
      <c r="K391" s="25" t="s">
        <v>844</v>
      </c>
      <c r="L391" s="27" t="s">
        <v>24</v>
      </c>
      <c r="M391" s="28" t="str">
        <f>_xlfn.XLOOKUP(F391,Department!$A$2:$A$6,Department!$B$2:$B$6)</f>
        <v>Sales</v>
      </c>
      <c r="N391" s="30">
        <f>_xlfn.XLOOKUP(A391,Performance!$A$2:$A$501,Performance!$C$2:$C$501)</f>
        <v>5</v>
      </c>
      <c r="O391" s="28" cm="1">
        <f t="array" ref="O391">_xlfn.IFS(N391=5,I391*15%,N391=4,I391*10%,N391=3,I391*7%,N391&lt;3,I391*5%)</f>
        <v>16051.8</v>
      </c>
    </row>
    <row r="392" spans="1:15">
      <c r="A392" s="24" t="s">
        <v>845</v>
      </c>
      <c r="B392" s="25" t="s">
        <v>53</v>
      </c>
      <c r="C392" s="25" t="s">
        <v>80</v>
      </c>
      <c r="D392" s="25" t="s">
        <v>19</v>
      </c>
      <c r="E392" s="25">
        <v>23</v>
      </c>
      <c r="F392" s="25" t="s">
        <v>54</v>
      </c>
      <c r="G392" s="25" t="s">
        <v>30</v>
      </c>
      <c r="H392" s="26">
        <v>44822</v>
      </c>
      <c r="I392" s="25">
        <v>78597</v>
      </c>
      <c r="J392" s="25" t="s">
        <v>37</v>
      </c>
      <c r="K392" s="25" t="s">
        <v>846</v>
      </c>
      <c r="L392" s="27" t="s">
        <v>24</v>
      </c>
      <c r="M392" s="28" t="str">
        <f>_xlfn.XLOOKUP(F392,Department!$A$2:$A$6,Department!$B$2:$B$6)</f>
        <v>Finance</v>
      </c>
      <c r="N392" s="30">
        <f>_xlfn.XLOOKUP(A392,Performance!$A$2:$A$501,Performance!$C$2:$C$501)</f>
        <v>5</v>
      </c>
      <c r="O392" s="28" cm="1">
        <f t="array" ref="O392">_xlfn.IFS(N392=5,I392*15%,N392=4,I392*10%,N392=3,I392*7%,N392&lt;3,I392*5%)</f>
        <v>11789.55</v>
      </c>
    </row>
    <row r="393" spans="1:15">
      <c r="A393" s="24" t="s">
        <v>847</v>
      </c>
      <c r="B393" s="25" t="s">
        <v>61</v>
      </c>
      <c r="C393" s="25" t="s">
        <v>89</v>
      </c>
      <c r="D393" s="25" t="s">
        <v>19</v>
      </c>
      <c r="E393" s="25">
        <v>44</v>
      </c>
      <c r="F393" s="25" t="s">
        <v>29</v>
      </c>
      <c r="G393" s="25" t="s">
        <v>102</v>
      </c>
      <c r="H393" s="26">
        <v>43122</v>
      </c>
      <c r="I393" s="25">
        <v>77085</v>
      </c>
      <c r="J393" s="25" t="s">
        <v>81</v>
      </c>
      <c r="K393" s="25" t="s">
        <v>848</v>
      </c>
      <c r="L393" s="27" t="s">
        <v>39</v>
      </c>
      <c r="M393" s="28" t="str">
        <f>_xlfn.XLOOKUP(F393,Department!$A$2:$A$6,Department!$B$2:$B$6)</f>
        <v>IT</v>
      </c>
      <c r="N393" s="30">
        <f>_xlfn.XLOOKUP(A393,Performance!$A$2:$A$501,Performance!$C$2:$C$501)</f>
        <v>4</v>
      </c>
      <c r="O393" s="28" cm="1">
        <f t="array" ref="O393">_xlfn.IFS(N393=5,I393*15%,N393=4,I393*10%,N393=3,I393*7%,N393&lt;3,I393*5%)</f>
        <v>7708.5</v>
      </c>
    </row>
    <row r="394" spans="1:15">
      <c r="A394" s="24" t="s">
        <v>849</v>
      </c>
      <c r="B394" s="25" t="s">
        <v>48</v>
      </c>
      <c r="C394" s="25" t="s">
        <v>89</v>
      </c>
      <c r="D394" s="25" t="s">
        <v>28</v>
      </c>
      <c r="E394" s="25">
        <v>52</v>
      </c>
      <c r="F394" s="25" t="s">
        <v>54</v>
      </c>
      <c r="G394" s="25" t="s">
        <v>102</v>
      </c>
      <c r="H394" s="26">
        <v>45006</v>
      </c>
      <c r="I394" s="25">
        <v>98031</v>
      </c>
      <c r="J394" s="25" t="s">
        <v>62</v>
      </c>
      <c r="K394" s="25" t="s">
        <v>850</v>
      </c>
      <c r="L394" s="27" t="s">
        <v>39</v>
      </c>
      <c r="M394" s="28" t="str">
        <f>_xlfn.XLOOKUP(F394,Department!$A$2:$A$6,Department!$B$2:$B$6)</f>
        <v>Finance</v>
      </c>
      <c r="N394" s="30">
        <f>_xlfn.XLOOKUP(A394,Performance!$A$2:$A$501,Performance!$C$2:$C$501)</f>
        <v>4</v>
      </c>
      <c r="O394" s="28" cm="1">
        <f t="array" ref="O394">_xlfn.IFS(N394=5,I394*15%,N394=4,I394*10%,N394=3,I394*7%,N394&lt;3,I394*5%)</f>
        <v>9803.1</v>
      </c>
    </row>
    <row r="395" spans="1:15">
      <c r="A395" s="24" t="s">
        <v>851</v>
      </c>
      <c r="B395" s="25" t="s">
        <v>58</v>
      </c>
      <c r="C395" s="25" t="s">
        <v>84</v>
      </c>
      <c r="D395" s="25" t="s">
        <v>28</v>
      </c>
      <c r="E395" s="25">
        <v>47</v>
      </c>
      <c r="F395" s="25" t="s">
        <v>35</v>
      </c>
      <c r="G395" s="25" t="s">
        <v>30</v>
      </c>
      <c r="H395" s="26">
        <v>44902</v>
      </c>
      <c r="I395" s="25">
        <v>59479</v>
      </c>
      <c r="J395" s="25" t="s">
        <v>37</v>
      </c>
      <c r="K395" s="25" t="s">
        <v>852</v>
      </c>
      <c r="L395" s="27" t="s">
        <v>39</v>
      </c>
      <c r="M395" s="28" t="str">
        <f>_xlfn.XLOOKUP(F395,Department!$A$2:$A$6,Department!$B$2:$B$6)</f>
        <v>Sales</v>
      </c>
      <c r="N395" s="30">
        <f>_xlfn.XLOOKUP(A395,Performance!$A$2:$A$501,Performance!$C$2:$C$501)</f>
        <v>4</v>
      </c>
      <c r="O395" s="28" cm="1">
        <f t="array" ref="O395">_xlfn.IFS(N395=5,I395*15%,N395=4,I395*10%,N395=3,I395*7%,N395&lt;3,I395*5%)</f>
        <v>5947.9000000000005</v>
      </c>
    </row>
    <row r="396" spans="1:15">
      <c r="A396" s="24" t="s">
        <v>853</v>
      </c>
      <c r="B396" s="25" t="s">
        <v>53</v>
      </c>
      <c r="C396" s="25" t="s">
        <v>18</v>
      </c>
      <c r="D396" s="25" t="s">
        <v>28</v>
      </c>
      <c r="E396" s="25">
        <v>25</v>
      </c>
      <c r="F396" s="25" t="s">
        <v>54</v>
      </c>
      <c r="G396" s="25" t="s">
        <v>44</v>
      </c>
      <c r="H396" s="26">
        <v>44580</v>
      </c>
      <c r="I396" s="25">
        <v>82566</v>
      </c>
      <c r="J396" s="25" t="s">
        <v>22</v>
      </c>
      <c r="K396" s="25" t="s">
        <v>854</v>
      </c>
      <c r="L396" s="27" t="s">
        <v>24</v>
      </c>
      <c r="M396" s="28" t="str">
        <f>_xlfn.XLOOKUP(F396,Department!$A$2:$A$6,Department!$B$2:$B$6)</f>
        <v>Finance</v>
      </c>
      <c r="N396" s="30">
        <f>_xlfn.XLOOKUP(A396,Performance!$A$2:$A$501,Performance!$C$2:$C$501)</f>
        <v>2</v>
      </c>
      <c r="O396" s="28" cm="1">
        <f t="array" ref="O396">_xlfn.IFS(N396=5,I396*15%,N396=4,I396*10%,N396=3,I396*7%,N396&lt;3,I396*5%)</f>
        <v>4128.3</v>
      </c>
    </row>
    <row r="397" spans="1:15">
      <c r="A397" s="24" t="s">
        <v>855</v>
      </c>
      <c r="B397" s="25" t="s">
        <v>34</v>
      </c>
      <c r="C397" s="25" t="s">
        <v>141</v>
      </c>
      <c r="D397" s="25" t="s">
        <v>19</v>
      </c>
      <c r="E397" s="25">
        <v>37</v>
      </c>
      <c r="F397" s="25" t="s">
        <v>54</v>
      </c>
      <c r="G397" s="25" t="s">
        <v>44</v>
      </c>
      <c r="H397" s="26">
        <v>44283</v>
      </c>
      <c r="I397" s="25">
        <v>90050</v>
      </c>
      <c r="J397" s="25" t="s">
        <v>67</v>
      </c>
      <c r="K397" s="25" t="s">
        <v>856</v>
      </c>
      <c r="L397" s="27" t="s">
        <v>24</v>
      </c>
      <c r="M397" s="28" t="str">
        <f>_xlfn.XLOOKUP(F397,Department!$A$2:$A$6,Department!$B$2:$B$6)</f>
        <v>Finance</v>
      </c>
      <c r="N397" s="30">
        <f>_xlfn.XLOOKUP(A397,Performance!$A$2:$A$501,Performance!$C$2:$C$501)</f>
        <v>5</v>
      </c>
      <c r="O397" s="28" cm="1">
        <f t="array" ref="O397">_xlfn.IFS(N397=5,I397*15%,N397=4,I397*10%,N397=3,I397*7%,N397&lt;3,I397*5%)</f>
        <v>13507.5</v>
      </c>
    </row>
    <row r="398" spans="1:15">
      <c r="A398" s="24" t="s">
        <v>857</v>
      </c>
      <c r="B398" s="25" t="s">
        <v>42</v>
      </c>
      <c r="C398" s="25" t="s">
        <v>117</v>
      </c>
      <c r="D398" s="25" t="s">
        <v>28</v>
      </c>
      <c r="E398" s="25">
        <v>54</v>
      </c>
      <c r="F398" s="25" t="s">
        <v>20</v>
      </c>
      <c r="G398" s="25" t="s">
        <v>30</v>
      </c>
      <c r="H398" s="26">
        <v>45019</v>
      </c>
      <c r="I398" s="25">
        <v>56447</v>
      </c>
      <c r="J398" s="25" t="s">
        <v>22</v>
      </c>
      <c r="K398" s="25" t="s">
        <v>858</v>
      </c>
      <c r="L398" s="27" t="s">
        <v>39</v>
      </c>
      <c r="M398" s="28" t="str">
        <f>_xlfn.XLOOKUP(F398,Department!$A$2:$A$6,Department!$B$2:$B$6)</f>
        <v>HR</v>
      </c>
      <c r="N398" s="30">
        <f>_xlfn.XLOOKUP(A398,Performance!$A$2:$A$501,Performance!$C$2:$C$501)</f>
        <v>4</v>
      </c>
      <c r="O398" s="28" cm="1">
        <f t="array" ref="O398">_xlfn.IFS(N398=5,I398*15%,N398=4,I398*10%,N398=3,I398*7%,N398&lt;3,I398*5%)</f>
        <v>5644.7000000000007</v>
      </c>
    </row>
    <row r="399" spans="1:15">
      <c r="A399" s="24" t="s">
        <v>859</v>
      </c>
      <c r="B399" s="25" t="s">
        <v>74</v>
      </c>
      <c r="C399" s="25" t="s">
        <v>141</v>
      </c>
      <c r="D399" s="25" t="s">
        <v>28</v>
      </c>
      <c r="E399" s="25">
        <v>47</v>
      </c>
      <c r="F399" s="25" t="s">
        <v>35</v>
      </c>
      <c r="G399" s="25" t="s">
        <v>21</v>
      </c>
      <c r="H399" s="26">
        <v>43641</v>
      </c>
      <c r="I399" s="25">
        <v>76082</v>
      </c>
      <c r="J399" s="25" t="s">
        <v>67</v>
      </c>
      <c r="K399" s="25" t="s">
        <v>860</v>
      </c>
      <c r="L399" s="27" t="s">
        <v>39</v>
      </c>
      <c r="M399" s="28" t="str">
        <f>_xlfn.XLOOKUP(F399,Department!$A$2:$A$6,Department!$B$2:$B$6)</f>
        <v>Sales</v>
      </c>
      <c r="N399" s="30">
        <f>_xlfn.XLOOKUP(A399,Performance!$A$2:$A$501,Performance!$C$2:$C$501)</f>
        <v>3</v>
      </c>
      <c r="O399" s="28" cm="1">
        <f t="array" ref="O399">_xlfn.IFS(N399=5,I399*15%,N399=4,I399*10%,N399=3,I399*7%,N399&lt;3,I399*5%)</f>
        <v>5325.7400000000007</v>
      </c>
    </row>
    <row r="400" spans="1:15">
      <c r="A400" s="24" t="s">
        <v>861</v>
      </c>
      <c r="B400" s="25" t="s">
        <v>48</v>
      </c>
      <c r="C400" s="25" t="s">
        <v>49</v>
      </c>
      <c r="D400" s="25" t="s">
        <v>28</v>
      </c>
      <c r="E400" s="25">
        <v>28</v>
      </c>
      <c r="F400" s="25" t="s">
        <v>54</v>
      </c>
      <c r="G400" s="25" t="s">
        <v>30</v>
      </c>
      <c r="H400" s="26">
        <v>45303</v>
      </c>
      <c r="I400" s="25">
        <v>98535</v>
      </c>
      <c r="J400" s="25" t="s">
        <v>62</v>
      </c>
      <c r="K400" s="25" t="s">
        <v>862</v>
      </c>
      <c r="L400" s="27" t="s">
        <v>24</v>
      </c>
      <c r="M400" s="28" t="str">
        <f>_xlfn.XLOOKUP(F400,Department!$A$2:$A$6,Department!$B$2:$B$6)</f>
        <v>Finance</v>
      </c>
      <c r="N400" s="30">
        <f>_xlfn.XLOOKUP(A400,Performance!$A$2:$A$501,Performance!$C$2:$C$501)</f>
        <v>1</v>
      </c>
      <c r="O400" s="28" cm="1">
        <f t="array" ref="O400">_xlfn.IFS(N400=5,I400*15%,N400=4,I400*10%,N400=3,I400*7%,N400&lt;3,I400*5%)</f>
        <v>4926.75</v>
      </c>
    </row>
    <row r="401" spans="1:15">
      <c r="A401" s="24" t="s">
        <v>863</v>
      </c>
      <c r="B401" s="25" t="s">
        <v>92</v>
      </c>
      <c r="C401" s="25" t="s">
        <v>117</v>
      </c>
      <c r="D401" s="25" t="s">
        <v>19</v>
      </c>
      <c r="E401" s="25">
        <v>39</v>
      </c>
      <c r="F401" s="25" t="s">
        <v>20</v>
      </c>
      <c r="G401" s="25" t="s">
        <v>102</v>
      </c>
      <c r="H401" s="26">
        <v>44568</v>
      </c>
      <c r="I401" s="25">
        <v>44551</v>
      </c>
      <c r="J401" s="25" t="s">
        <v>37</v>
      </c>
      <c r="K401" s="25" t="s">
        <v>864</v>
      </c>
      <c r="L401" s="27" t="s">
        <v>24</v>
      </c>
      <c r="M401" s="28" t="str">
        <f>_xlfn.XLOOKUP(F401,Department!$A$2:$A$6,Department!$B$2:$B$6)</f>
        <v>HR</v>
      </c>
      <c r="N401" s="30">
        <f>_xlfn.XLOOKUP(A401,Performance!$A$2:$A$501,Performance!$C$2:$C$501)</f>
        <v>5</v>
      </c>
      <c r="O401" s="28" cm="1">
        <f t="array" ref="O401">_xlfn.IFS(N401=5,I401*15%,N401=4,I401*10%,N401=3,I401*7%,N401&lt;3,I401*5%)</f>
        <v>6682.65</v>
      </c>
    </row>
    <row r="402" spans="1:15">
      <c r="A402" s="24" t="s">
        <v>865</v>
      </c>
      <c r="B402" s="25" t="s">
        <v>74</v>
      </c>
      <c r="C402" s="25" t="s">
        <v>27</v>
      </c>
      <c r="D402" s="25" t="s">
        <v>19</v>
      </c>
      <c r="E402" s="25">
        <v>40</v>
      </c>
      <c r="F402" s="25" t="s">
        <v>54</v>
      </c>
      <c r="G402" s="25" t="s">
        <v>36</v>
      </c>
      <c r="H402" s="26">
        <v>44483</v>
      </c>
      <c r="I402" s="25">
        <v>111797</v>
      </c>
      <c r="J402" s="25" t="s">
        <v>62</v>
      </c>
      <c r="K402" s="25" t="s">
        <v>866</v>
      </c>
      <c r="L402" s="27" t="s">
        <v>39</v>
      </c>
      <c r="M402" s="28" t="str">
        <f>_xlfn.XLOOKUP(F402,Department!$A$2:$A$6,Department!$B$2:$B$6)</f>
        <v>Finance</v>
      </c>
      <c r="N402" s="30">
        <f>_xlfn.XLOOKUP(A402,Performance!$A$2:$A$501,Performance!$C$2:$C$501)</f>
        <v>5</v>
      </c>
      <c r="O402" s="28" cm="1">
        <f t="array" ref="O402">_xlfn.IFS(N402=5,I402*15%,N402=4,I402*10%,N402=3,I402*7%,N402&lt;3,I402*5%)</f>
        <v>16769.55</v>
      </c>
    </row>
    <row r="403" spans="1:15">
      <c r="A403" s="24" t="s">
        <v>867</v>
      </c>
      <c r="B403" s="25" t="s">
        <v>74</v>
      </c>
      <c r="C403" s="25" t="s">
        <v>89</v>
      </c>
      <c r="D403" s="25" t="s">
        <v>28</v>
      </c>
      <c r="E403" s="25">
        <v>43</v>
      </c>
      <c r="F403" s="25" t="s">
        <v>20</v>
      </c>
      <c r="G403" s="25" t="s">
        <v>30</v>
      </c>
      <c r="H403" s="26">
        <v>44813</v>
      </c>
      <c r="I403" s="25">
        <v>40238</v>
      </c>
      <c r="J403" s="25" t="s">
        <v>22</v>
      </c>
      <c r="K403" s="25" t="s">
        <v>868</v>
      </c>
      <c r="L403" s="27" t="s">
        <v>24</v>
      </c>
      <c r="M403" s="28" t="str">
        <f>_xlfn.XLOOKUP(F403,Department!$A$2:$A$6,Department!$B$2:$B$6)</f>
        <v>HR</v>
      </c>
      <c r="N403" s="30">
        <f>_xlfn.XLOOKUP(A403,Performance!$A$2:$A$501,Performance!$C$2:$C$501)</f>
        <v>2</v>
      </c>
      <c r="O403" s="28" cm="1">
        <f t="array" ref="O403">_xlfn.IFS(N403=5,I403*15%,N403=4,I403*10%,N403=3,I403*7%,N403&lt;3,I403*5%)</f>
        <v>2011.9</v>
      </c>
    </row>
    <row r="404" spans="1:15">
      <c r="A404" s="24" t="s">
        <v>869</v>
      </c>
      <c r="B404" s="25" t="s">
        <v>74</v>
      </c>
      <c r="C404" s="25" t="s">
        <v>141</v>
      </c>
      <c r="D404" s="25" t="s">
        <v>19</v>
      </c>
      <c r="E404" s="25">
        <v>55</v>
      </c>
      <c r="F404" s="25" t="s">
        <v>35</v>
      </c>
      <c r="G404" s="25" t="s">
        <v>21</v>
      </c>
      <c r="H404" s="26">
        <v>43963</v>
      </c>
      <c r="I404" s="25">
        <v>70077</v>
      </c>
      <c r="J404" s="25" t="s">
        <v>37</v>
      </c>
      <c r="K404" s="25" t="s">
        <v>870</v>
      </c>
      <c r="L404" s="27" t="s">
        <v>24</v>
      </c>
      <c r="M404" s="28" t="str">
        <f>_xlfn.XLOOKUP(F404,Department!$A$2:$A$6,Department!$B$2:$B$6)</f>
        <v>Sales</v>
      </c>
      <c r="N404" s="30">
        <f>_xlfn.XLOOKUP(A404,Performance!$A$2:$A$501,Performance!$C$2:$C$501)</f>
        <v>1</v>
      </c>
      <c r="O404" s="28" cm="1">
        <f t="array" ref="O404">_xlfn.IFS(N404=5,I404*15%,N404=4,I404*10%,N404=3,I404*7%,N404&lt;3,I404*5%)</f>
        <v>3503.8500000000004</v>
      </c>
    </row>
    <row r="405" spans="1:15">
      <c r="A405" s="24" t="s">
        <v>871</v>
      </c>
      <c r="B405" s="25" t="s">
        <v>48</v>
      </c>
      <c r="C405" s="25" t="s">
        <v>18</v>
      </c>
      <c r="D405" s="25" t="s">
        <v>28</v>
      </c>
      <c r="E405" s="25">
        <v>57</v>
      </c>
      <c r="F405" s="25" t="s">
        <v>20</v>
      </c>
      <c r="G405" s="25" t="s">
        <v>21</v>
      </c>
      <c r="H405" s="26">
        <v>45201</v>
      </c>
      <c r="I405" s="25">
        <v>107382</v>
      </c>
      <c r="J405" s="25" t="s">
        <v>22</v>
      </c>
      <c r="K405" s="25" t="s">
        <v>872</v>
      </c>
      <c r="L405" s="27" t="s">
        <v>39</v>
      </c>
      <c r="M405" s="28" t="str">
        <f>_xlfn.XLOOKUP(F405,Department!$A$2:$A$6,Department!$B$2:$B$6)</f>
        <v>HR</v>
      </c>
      <c r="N405" s="30">
        <f>_xlfn.XLOOKUP(A405,Performance!$A$2:$A$501,Performance!$C$2:$C$501)</f>
        <v>2</v>
      </c>
      <c r="O405" s="28" cm="1">
        <f t="array" ref="O405">_xlfn.IFS(N405=5,I405*15%,N405=4,I405*10%,N405=3,I405*7%,N405&lt;3,I405*5%)</f>
        <v>5369.1</v>
      </c>
    </row>
    <row r="406" spans="1:15">
      <c r="A406" s="24" t="s">
        <v>873</v>
      </c>
      <c r="B406" s="25" t="s">
        <v>92</v>
      </c>
      <c r="C406" s="25" t="s">
        <v>93</v>
      </c>
      <c r="D406" s="25" t="s">
        <v>19</v>
      </c>
      <c r="E406" s="25">
        <v>24</v>
      </c>
      <c r="F406" s="25" t="s">
        <v>54</v>
      </c>
      <c r="G406" s="25" t="s">
        <v>30</v>
      </c>
      <c r="H406" s="26">
        <v>45204</v>
      </c>
      <c r="I406" s="25">
        <v>54413</v>
      </c>
      <c r="J406" s="25" t="s">
        <v>67</v>
      </c>
      <c r="K406" s="25" t="s">
        <v>874</v>
      </c>
      <c r="L406" s="27" t="s">
        <v>24</v>
      </c>
      <c r="M406" s="28" t="str">
        <f>_xlfn.XLOOKUP(F406,Department!$A$2:$A$6,Department!$B$2:$B$6)</f>
        <v>Finance</v>
      </c>
      <c r="N406" s="30">
        <f>_xlfn.XLOOKUP(A406,Performance!$A$2:$A$501,Performance!$C$2:$C$501)</f>
        <v>4</v>
      </c>
      <c r="O406" s="28" cm="1">
        <f t="array" ref="O406">_xlfn.IFS(N406=5,I406*15%,N406=4,I406*10%,N406=3,I406*7%,N406&lt;3,I406*5%)</f>
        <v>5441.3</v>
      </c>
    </row>
    <row r="407" spans="1:15">
      <c r="A407" s="24" t="s">
        <v>875</v>
      </c>
      <c r="B407" s="25" t="s">
        <v>126</v>
      </c>
      <c r="C407" s="25" t="s">
        <v>27</v>
      </c>
      <c r="D407" s="25" t="s">
        <v>28</v>
      </c>
      <c r="E407" s="25">
        <v>37</v>
      </c>
      <c r="F407" s="25" t="s">
        <v>35</v>
      </c>
      <c r="G407" s="25" t="s">
        <v>102</v>
      </c>
      <c r="H407" s="26">
        <v>44959</v>
      </c>
      <c r="I407" s="25">
        <v>40061</v>
      </c>
      <c r="J407" s="25" t="s">
        <v>67</v>
      </c>
      <c r="K407" s="25" t="s">
        <v>876</v>
      </c>
      <c r="L407" s="27" t="s">
        <v>24</v>
      </c>
      <c r="M407" s="28" t="str">
        <f>_xlfn.XLOOKUP(F407,Department!$A$2:$A$6,Department!$B$2:$B$6)</f>
        <v>Sales</v>
      </c>
      <c r="N407" s="30">
        <f>_xlfn.XLOOKUP(A407,Performance!$A$2:$A$501,Performance!$C$2:$C$501)</f>
        <v>3</v>
      </c>
      <c r="O407" s="28" cm="1">
        <f t="array" ref="O407">_xlfn.IFS(N407=5,I407*15%,N407=4,I407*10%,N407=3,I407*7%,N407&lt;3,I407*5%)</f>
        <v>2804.2700000000004</v>
      </c>
    </row>
    <row r="408" spans="1:15">
      <c r="A408" s="24" t="s">
        <v>877</v>
      </c>
      <c r="B408" s="25" t="s">
        <v>34</v>
      </c>
      <c r="C408" s="25" t="s">
        <v>93</v>
      </c>
      <c r="D408" s="25" t="s">
        <v>28</v>
      </c>
      <c r="E408" s="25">
        <v>45</v>
      </c>
      <c r="F408" s="25" t="s">
        <v>43</v>
      </c>
      <c r="G408" s="25" t="s">
        <v>102</v>
      </c>
      <c r="H408" s="26">
        <v>45040</v>
      </c>
      <c r="I408" s="25">
        <v>89039</v>
      </c>
      <c r="J408" s="25" t="s">
        <v>37</v>
      </c>
      <c r="K408" s="25" t="s">
        <v>878</v>
      </c>
      <c r="L408" s="27" t="s">
        <v>24</v>
      </c>
      <c r="M408" s="28" t="str">
        <f>_xlfn.XLOOKUP(F408,Department!$A$2:$A$6,Department!$B$2:$B$6)</f>
        <v>Marketing</v>
      </c>
      <c r="N408" s="30">
        <f>_xlfn.XLOOKUP(A408,Performance!$A$2:$A$501,Performance!$C$2:$C$501)</f>
        <v>3</v>
      </c>
      <c r="O408" s="28" cm="1">
        <f t="array" ref="O408">_xlfn.IFS(N408=5,I408*15%,N408=4,I408*10%,N408=3,I408*7%,N408&lt;3,I408*5%)</f>
        <v>6232.7300000000005</v>
      </c>
    </row>
    <row r="409" spans="1:15">
      <c r="A409" s="24" t="s">
        <v>879</v>
      </c>
      <c r="B409" s="25" t="s">
        <v>74</v>
      </c>
      <c r="C409" s="25" t="s">
        <v>66</v>
      </c>
      <c r="D409" s="25" t="s">
        <v>19</v>
      </c>
      <c r="E409" s="25">
        <v>30</v>
      </c>
      <c r="F409" s="25" t="s">
        <v>43</v>
      </c>
      <c r="G409" s="25" t="s">
        <v>44</v>
      </c>
      <c r="H409" s="26">
        <v>44858</v>
      </c>
      <c r="I409" s="25">
        <v>41334</v>
      </c>
      <c r="J409" s="25" t="s">
        <v>37</v>
      </c>
      <c r="K409" s="25" t="s">
        <v>880</v>
      </c>
      <c r="L409" s="27" t="s">
        <v>24</v>
      </c>
      <c r="M409" s="28" t="str">
        <f>_xlfn.XLOOKUP(F409,Department!$A$2:$A$6,Department!$B$2:$B$6)</f>
        <v>Marketing</v>
      </c>
      <c r="N409" s="30">
        <f>_xlfn.XLOOKUP(A409,Performance!$A$2:$A$501,Performance!$C$2:$C$501)</f>
        <v>5</v>
      </c>
      <c r="O409" s="28" cm="1">
        <f t="array" ref="O409">_xlfn.IFS(N409=5,I409*15%,N409=4,I409*10%,N409=3,I409*7%,N409&lt;3,I409*5%)</f>
        <v>6200.0999999999995</v>
      </c>
    </row>
    <row r="410" spans="1:15">
      <c r="A410" s="24" t="s">
        <v>881</v>
      </c>
      <c r="B410" s="25" t="s">
        <v>53</v>
      </c>
      <c r="C410" s="25" t="s">
        <v>141</v>
      </c>
      <c r="D410" s="25" t="s">
        <v>19</v>
      </c>
      <c r="E410" s="25">
        <v>55</v>
      </c>
      <c r="F410" s="25" t="s">
        <v>29</v>
      </c>
      <c r="G410" s="25" t="s">
        <v>21</v>
      </c>
      <c r="H410" s="26">
        <v>45355</v>
      </c>
      <c r="I410" s="25">
        <v>108930</v>
      </c>
      <c r="J410" s="25" t="s">
        <v>62</v>
      </c>
      <c r="K410" s="25" t="s">
        <v>882</v>
      </c>
      <c r="L410" s="27" t="s">
        <v>39</v>
      </c>
      <c r="M410" s="28" t="str">
        <f>_xlfn.XLOOKUP(F410,Department!$A$2:$A$6,Department!$B$2:$B$6)</f>
        <v>IT</v>
      </c>
      <c r="N410" s="30">
        <f>_xlfn.XLOOKUP(A410,Performance!$A$2:$A$501,Performance!$C$2:$C$501)</f>
        <v>1</v>
      </c>
      <c r="O410" s="28" cm="1">
        <f t="array" ref="O410">_xlfn.IFS(N410=5,I410*15%,N410=4,I410*10%,N410=3,I410*7%,N410&lt;3,I410*5%)</f>
        <v>5446.5</v>
      </c>
    </row>
    <row r="411" spans="1:15">
      <c r="A411" s="24" t="s">
        <v>883</v>
      </c>
      <c r="B411" s="25" t="s">
        <v>74</v>
      </c>
      <c r="C411" s="25" t="s">
        <v>89</v>
      </c>
      <c r="D411" s="25" t="s">
        <v>19</v>
      </c>
      <c r="E411" s="25">
        <v>31</v>
      </c>
      <c r="F411" s="25" t="s">
        <v>54</v>
      </c>
      <c r="G411" s="25" t="s">
        <v>30</v>
      </c>
      <c r="H411" s="26">
        <v>43466</v>
      </c>
      <c r="I411" s="25">
        <v>78935</v>
      </c>
      <c r="J411" s="25" t="s">
        <v>22</v>
      </c>
      <c r="K411" s="25" t="s">
        <v>884</v>
      </c>
      <c r="L411" s="27" t="s">
        <v>39</v>
      </c>
      <c r="M411" s="28" t="str">
        <f>_xlfn.XLOOKUP(F411,Department!$A$2:$A$6,Department!$B$2:$B$6)</f>
        <v>Finance</v>
      </c>
      <c r="N411" s="30">
        <f>_xlfn.XLOOKUP(A411,Performance!$A$2:$A$501,Performance!$C$2:$C$501)</f>
        <v>5</v>
      </c>
      <c r="O411" s="28" cm="1">
        <f t="array" ref="O411">_xlfn.IFS(N411=5,I411*15%,N411=4,I411*10%,N411=3,I411*7%,N411&lt;3,I411*5%)</f>
        <v>11840.25</v>
      </c>
    </row>
    <row r="412" spans="1:15">
      <c r="A412" s="24" t="s">
        <v>885</v>
      </c>
      <c r="B412" s="25" t="s">
        <v>42</v>
      </c>
      <c r="C412" s="25" t="s">
        <v>80</v>
      </c>
      <c r="D412" s="25" t="s">
        <v>28</v>
      </c>
      <c r="E412" s="25">
        <v>34</v>
      </c>
      <c r="F412" s="25" t="s">
        <v>54</v>
      </c>
      <c r="G412" s="25" t="s">
        <v>44</v>
      </c>
      <c r="H412" s="26">
        <v>45516</v>
      </c>
      <c r="I412" s="25">
        <v>68187</v>
      </c>
      <c r="J412" s="25" t="s">
        <v>22</v>
      </c>
      <c r="K412" s="25" t="s">
        <v>886</v>
      </c>
      <c r="L412" s="27" t="s">
        <v>24</v>
      </c>
      <c r="M412" s="28" t="str">
        <f>_xlfn.XLOOKUP(F412,Department!$A$2:$A$6,Department!$B$2:$B$6)</f>
        <v>Finance</v>
      </c>
      <c r="N412" s="30">
        <f>_xlfn.XLOOKUP(A412,Performance!$A$2:$A$501,Performance!$C$2:$C$501)</f>
        <v>1</v>
      </c>
      <c r="O412" s="28" cm="1">
        <f t="array" ref="O412">_xlfn.IFS(N412=5,I412*15%,N412=4,I412*10%,N412=3,I412*7%,N412&lt;3,I412*5%)</f>
        <v>3409.3500000000004</v>
      </c>
    </row>
    <row r="413" spans="1:15">
      <c r="A413" s="24" t="s">
        <v>887</v>
      </c>
      <c r="B413" s="25" t="s">
        <v>17</v>
      </c>
      <c r="C413" s="25" t="s">
        <v>49</v>
      </c>
      <c r="D413" s="25" t="s">
        <v>19</v>
      </c>
      <c r="E413" s="25">
        <v>51</v>
      </c>
      <c r="F413" s="25" t="s">
        <v>29</v>
      </c>
      <c r="G413" s="25" t="s">
        <v>30</v>
      </c>
      <c r="H413" s="26">
        <v>44905</v>
      </c>
      <c r="I413" s="25">
        <v>56816</v>
      </c>
      <c r="J413" s="25" t="s">
        <v>67</v>
      </c>
      <c r="K413" s="25" t="s">
        <v>888</v>
      </c>
      <c r="L413" s="27" t="s">
        <v>24</v>
      </c>
      <c r="M413" s="28" t="str">
        <f>_xlfn.XLOOKUP(F413,Department!$A$2:$A$6,Department!$B$2:$B$6)</f>
        <v>IT</v>
      </c>
      <c r="N413" s="30">
        <f>_xlfn.XLOOKUP(A413,Performance!$A$2:$A$501,Performance!$C$2:$C$501)</f>
        <v>3</v>
      </c>
      <c r="O413" s="28" cm="1">
        <f t="array" ref="O413">_xlfn.IFS(N413=5,I413*15%,N413=4,I413*10%,N413=3,I413*7%,N413&lt;3,I413*5%)</f>
        <v>3977.1200000000003</v>
      </c>
    </row>
    <row r="414" spans="1:15">
      <c r="A414" s="24" t="s">
        <v>889</v>
      </c>
      <c r="B414" s="25" t="s">
        <v>61</v>
      </c>
      <c r="C414" s="25" t="s">
        <v>18</v>
      </c>
      <c r="D414" s="25" t="s">
        <v>19</v>
      </c>
      <c r="E414" s="25">
        <v>29</v>
      </c>
      <c r="F414" s="25" t="s">
        <v>29</v>
      </c>
      <c r="G414" s="25" t="s">
        <v>21</v>
      </c>
      <c r="H414" s="26">
        <v>43361</v>
      </c>
      <c r="I414" s="25">
        <v>102232</v>
      </c>
      <c r="J414" s="25" t="s">
        <v>22</v>
      </c>
      <c r="K414" s="25" t="s">
        <v>890</v>
      </c>
      <c r="L414" s="27" t="s">
        <v>24</v>
      </c>
      <c r="M414" s="28" t="str">
        <f>_xlfn.XLOOKUP(F414,Department!$A$2:$A$6,Department!$B$2:$B$6)</f>
        <v>IT</v>
      </c>
      <c r="N414" s="30">
        <f>_xlfn.XLOOKUP(A414,Performance!$A$2:$A$501,Performance!$C$2:$C$501)</f>
        <v>4</v>
      </c>
      <c r="O414" s="28" cm="1">
        <f t="array" ref="O414">_xlfn.IFS(N414=5,I414*15%,N414=4,I414*10%,N414=3,I414*7%,N414&lt;3,I414*5%)</f>
        <v>10223.200000000001</v>
      </c>
    </row>
    <row r="415" spans="1:15">
      <c r="A415" s="24" t="s">
        <v>891</v>
      </c>
      <c r="B415" s="25" t="s">
        <v>61</v>
      </c>
      <c r="C415" s="25" t="s">
        <v>49</v>
      </c>
      <c r="D415" s="25" t="s">
        <v>28</v>
      </c>
      <c r="E415" s="25">
        <v>38</v>
      </c>
      <c r="F415" s="25" t="s">
        <v>54</v>
      </c>
      <c r="G415" s="25" t="s">
        <v>102</v>
      </c>
      <c r="H415" s="26">
        <v>45322</v>
      </c>
      <c r="I415" s="25">
        <v>99123</v>
      </c>
      <c r="J415" s="25" t="s">
        <v>22</v>
      </c>
      <c r="K415" s="25" t="s">
        <v>892</v>
      </c>
      <c r="L415" s="27" t="s">
        <v>39</v>
      </c>
      <c r="M415" s="28" t="str">
        <f>_xlfn.XLOOKUP(F415,Department!$A$2:$A$6,Department!$B$2:$B$6)</f>
        <v>Finance</v>
      </c>
      <c r="N415" s="30">
        <f>_xlfn.XLOOKUP(A415,Performance!$A$2:$A$501,Performance!$C$2:$C$501)</f>
        <v>3</v>
      </c>
      <c r="O415" s="28" cm="1">
        <f t="array" ref="O415">_xlfn.IFS(N415=5,I415*15%,N415=4,I415*10%,N415=3,I415*7%,N415&lt;3,I415*5%)</f>
        <v>6938.6100000000006</v>
      </c>
    </row>
    <row r="416" spans="1:15">
      <c r="A416" s="24" t="s">
        <v>893</v>
      </c>
      <c r="B416" s="25" t="s">
        <v>58</v>
      </c>
      <c r="C416" s="25" t="s">
        <v>18</v>
      </c>
      <c r="D416" s="25" t="s">
        <v>19</v>
      </c>
      <c r="E416" s="25">
        <v>23</v>
      </c>
      <c r="F416" s="25" t="s">
        <v>43</v>
      </c>
      <c r="G416" s="25" t="s">
        <v>36</v>
      </c>
      <c r="H416" s="26">
        <v>44335</v>
      </c>
      <c r="I416" s="25">
        <v>44686</v>
      </c>
      <c r="J416" s="25" t="s">
        <v>62</v>
      </c>
      <c r="K416" s="25" t="s">
        <v>894</v>
      </c>
      <c r="L416" s="27" t="s">
        <v>24</v>
      </c>
      <c r="M416" s="28" t="str">
        <f>_xlfn.XLOOKUP(F416,Department!$A$2:$A$6,Department!$B$2:$B$6)</f>
        <v>Marketing</v>
      </c>
      <c r="N416" s="30">
        <f>_xlfn.XLOOKUP(A416,Performance!$A$2:$A$501,Performance!$C$2:$C$501)</f>
        <v>1</v>
      </c>
      <c r="O416" s="28" cm="1">
        <f t="array" ref="O416">_xlfn.IFS(N416=5,I416*15%,N416=4,I416*10%,N416=3,I416*7%,N416&lt;3,I416*5%)</f>
        <v>2234.3000000000002</v>
      </c>
    </row>
    <row r="417" spans="1:15">
      <c r="A417" s="24" t="s">
        <v>895</v>
      </c>
      <c r="B417" s="25" t="s">
        <v>58</v>
      </c>
      <c r="C417" s="25" t="s">
        <v>141</v>
      </c>
      <c r="D417" s="25" t="s">
        <v>28</v>
      </c>
      <c r="E417" s="25">
        <v>57</v>
      </c>
      <c r="F417" s="25" t="s">
        <v>35</v>
      </c>
      <c r="G417" s="25" t="s">
        <v>30</v>
      </c>
      <c r="H417" s="26">
        <v>45426</v>
      </c>
      <c r="I417" s="25">
        <v>104342</v>
      </c>
      <c r="J417" s="25" t="s">
        <v>81</v>
      </c>
      <c r="K417" s="25" t="s">
        <v>896</v>
      </c>
      <c r="L417" s="27" t="s">
        <v>39</v>
      </c>
      <c r="M417" s="28" t="str">
        <f>_xlfn.XLOOKUP(F417,Department!$A$2:$A$6,Department!$B$2:$B$6)</f>
        <v>Sales</v>
      </c>
      <c r="N417" s="30">
        <f>_xlfn.XLOOKUP(A417,Performance!$A$2:$A$501,Performance!$C$2:$C$501)</f>
        <v>2</v>
      </c>
      <c r="O417" s="28" cm="1">
        <f t="array" ref="O417">_xlfn.IFS(N417=5,I417*15%,N417=4,I417*10%,N417=3,I417*7%,N417&lt;3,I417*5%)</f>
        <v>5217.1000000000004</v>
      </c>
    </row>
    <row r="418" spans="1:15">
      <c r="A418" s="24" t="s">
        <v>897</v>
      </c>
      <c r="B418" s="25" t="s">
        <v>34</v>
      </c>
      <c r="C418" s="25" t="s">
        <v>84</v>
      </c>
      <c r="D418" s="25" t="s">
        <v>28</v>
      </c>
      <c r="E418" s="25">
        <v>40</v>
      </c>
      <c r="F418" s="25" t="s">
        <v>20</v>
      </c>
      <c r="G418" s="25" t="s">
        <v>30</v>
      </c>
      <c r="H418" s="26">
        <v>44391</v>
      </c>
      <c r="I418" s="25">
        <v>116236</v>
      </c>
      <c r="J418" s="25" t="s">
        <v>67</v>
      </c>
      <c r="K418" s="25" t="s">
        <v>898</v>
      </c>
      <c r="L418" s="27" t="s">
        <v>39</v>
      </c>
      <c r="M418" s="28" t="str">
        <f>_xlfn.XLOOKUP(F418,Department!$A$2:$A$6,Department!$B$2:$B$6)</f>
        <v>HR</v>
      </c>
      <c r="N418" s="30">
        <f>_xlfn.XLOOKUP(A418,Performance!$A$2:$A$501,Performance!$C$2:$C$501)</f>
        <v>1</v>
      </c>
      <c r="O418" s="28" cm="1">
        <f t="array" ref="O418">_xlfn.IFS(N418=5,I418*15%,N418=4,I418*10%,N418=3,I418*7%,N418&lt;3,I418*5%)</f>
        <v>5811.8</v>
      </c>
    </row>
    <row r="419" spans="1:15">
      <c r="A419" s="24" t="s">
        <v>899</v>
      </c>
      <c r="B419" s="25" t="s">
        <v>48</v>
      </c>
      <c r="C419" s="25" t="s">
        <v>84</v>
      </c>
      <c r="D419" s="25" t="s">
        <v>28</v>
      </c>
      <c r="E419" s="25">
        <v>33</v>
      </c>
      <c r="F419" s="25" t="s">
        <v>43</v>
      </c>
      <c r="G419" s="25" t="s">
        <v>36</v>
      </c>
      <c r="H419" s="26">
        <v>43158</v>
      </c>
      <c r="I419" s="25">
        <v>63416</v>
      </c>
      <c r="J419" s="25" t="s">
        <v>22</v>
      </c>
      <c r="K419" s="25" t="s">
        <v>900</v>
      </c>
      <c r="L419" s="27" t="s">
        <v>39</v>
      </c>
      <c r="M419" s="28" t="str">
        <f>_xlfn.XLOOKUP(F419,Department!$A$2:$A$6,Department!$B$2:$B$6)</f>
        <v>Marketing</v>
      </c>
      <c r="N419" s="30">
        <f>_xlfn.XLOOKUP(A419,Performance!$A$2:$A$501,Performance!$C$2:$C$501)</f>
        <v>3</v>
      </c>
      <c r="O419" s="28" cm="1">
        <f t="array" ref="O419">_xlfn.IFS(N419=5,I419*15%,N419=4,I419*10%,N419=3,I419*7%,N419&lt;3,I419*5%)</f>
        <v>4439.1200000000008</v>
      </c>
    </row>
    <row r="420" spans="1:15">
      <c r="A420" s="24" t="s">
        <v>901</v>
      </c>
      <c r="B420" s="25" t="s">
        <v>92</v>
      </c>
      <c r="C420" s="25" t="s">
        <v>80</v>
      </c>
      <c r="D420" s="25" t="s">
        <v>19</v>
      </c>
      <c r="E420" s="25">
        <v>46</v>
      </c>
      <c r="F420" s="25" t="s">
        <v>29</v>
      </c>
      <c r="G420" s="25" t="s">
        <v>44</v>
      </c>
      <c r="H420" s="26">
        <v>44171</v>
      </c>
      <c r="I420" s="25">
        <v>48319</v>
      </c>
      <c r="J420" s="25" t="s">
        <v>81</v>
      </c>
      <c r="K420" s="25" t="s">
        <v>902</v>
      </c>
      <c r="L420" s="27" t="s">
        <v>24</v>
      </c>
      <c r="M420" s="28" t="str">
        <f>_xlfn.XLOOKUP(F420,Department!$A$2:$A$6,Department!$B$2:$B$6)</f>
        <v>IT</v>
      </c>
      <c r="N420" s="30">
        <f>_xlfn.XLOOKUP(A420,Performance!$A$2:$A$501,Performance!$C$2:$C$501)</f>
        <v>3</v>
      </c>
      <c r="O420" s="28" cm="1">
        <f t="array" ref="O420">_xlfn.IFS(N420=5,I420*15%,N420=4,I420*10%,N420=3,I420*7%,N420&lt;3,I420*5%)</f>
        <v>3382.3300000000004</v>
      </c>
    </row>
    <row r="421" spans="1:15">
      <c r="A421" s="24" t="s">
        <v>903</v>
      </c>
      <c r="B421" s="25" t="s">
        <v>17</v>
      </c>
      <c r="C421" s="25" t="s">
        <v>117</v>
      </c>
      <c r="D421" s="25" t="s">
        <v>19</v>
      </c>
      <c r="E421" s="25">
        <v>36</v>
      </c>
      <c r="F421" s="25" t="s">
        <v>43</v>
      </c>
      <c r="G421" s="25" t="s">
        <v>21</v>
      </c>
      <c r="H421" s="26">
        <v>45562</v>
      </c>
      <c r="I421" s="25">
        <v>82168</v>
      </c>
      <c r="J421" s="25" t="s">
        <v>22</v>
      </c>
      <c r="K421" s="25" t="s">
        <v>904</v>
      </c>
      <c r="L421" s="27" t="s">
        <v>24</v>
      </c>
      <c r="M421" s="28" t="str">
        <f>_xlfn.XLOOKUP(F421,Department!$A$2:$A$6,Department!$B$2:$B$6)</f>
        <v>Marketing</v>
      </c>
      <c r="N421" s="30">
        <f>_xlfn.XLOOKUP(A421,Performance!$A$2:$A$501,Performance!$C$2:$C$501)</f>
        <v>1</v>
      </c>
      <c r="O421" s="28" cm="1">
        <f t="array" ref="O421">_xlfn.IFS(N421=5,I421*15%,N421=4,I421*10%,N421=3,I421*7%,N421&lt;3,I421*5%)</f>
        <v>4108.4000000000005</v>
      </c>
    </row>
    <row r="422" spans="1:15">
      <c r="A422" s="24" t="s">
        <v>905</v>
      </c>
      <c r="B422" s="25" t="s">
        <v>74</v>
      </c>
      <c r="C422" s="25" t="s">
        <v>66</v>
      </c>
      <c r="D422" s="25" t="s">
        <v>28</v>
      </c>
      <c r="E422" s="25">
        <v>32</v>
      </c>
      <c r="F422" s="25" t="s">
        <v>29</v>
      </c>
      <c r="G422" s="25" t="s">
        <v>44</v>
      </c>
      <c r="H422" s="26">
        <v>43981</v>
      </c>
      <c r="I422" s="25">
        <v>83994</v>
      </c>
      <c r="J422" s="25" t="s">
        <v>22</v>
      </c>
      <c r="K422" s="25" t="s">
        <v>906</v>
      </c>
      <c r="L422" s="27" t="s">
        <v>39</v>
      </c>
      <c r="M422" s="28" t="str">
        <f>_xlfn.XLOOKUP(F422,Department!$A$2:$A$6,Department!$B$2:$B$6)</f>
        <v>IT</v>
      </c>
      <c r="N422" s="30">
        <f>_xlfn.XLOOKUP(A422,Performance!$A$2:$A$501,Performance!$C$2:$C$501)</f>
        <v>1</v>
      </c>
      <c r="O422" s="28" cm="1">
        <f t="array" ref="O422">_xlfn.IFS(N422=5,I422*15%,N422=4,I422*10%,N422=3,I422*7%,N422&lt;3,I422*5%)</f>
        <v>4199.7</v>
      </c>
    </row>
    <row r="423" spans="1:15">
      <c r="A423" s="24" t="s">
        <v>907</v>
      </c>
      <c r="B423" s="25" t="s">
        <v>34</v>
      </c>
      <c r="C423" s="25" t="s">
        <v>89</v>
      </c>
      <c r="D423" s="25" t="s">
        <v>19</v>
      </c>
      <c r="E423" s="25">
        <v>43</v>
      </c>
      <c r="F423" s="25" t="s">
        <v>29</v>
      </c>
      <c r="G423" s="25" t="s">
        <v>36</v>
      </c>
      <c r="H423" s="26">
        <v>43446</v>
      </c>
      <c r="I423" s="25">
        <v>45200</v>
      </c>
      <c r="J423" s="25" t="s">
        <v>22</v>
      </c>
      <c r="K423" s="25" t="s">
        <v>908</v>
      </c>
      <c r="L423" s="27" t="s">
        <v>39</v>
      </c>
      <c r="M423" s="28" t="str">
        <f>_xlfn.XLOOKUP(F423,Department!$A$2:$A$6,Department!$B$2:$B$6)</f>
        <v>IT</v>
      </c>
      <c r="N423" s="30">
        <f>_xlfn.XLOOKUP(A423,Performance!$A$2:$A$501,Performance!$C$2:$C$501)</f>
        <v>4</v>
      </c>
      <c r="O423" s="28" cm="1">
        <f t="array" ref="O423">_xlfn.IFS(N423=5,I423*15%,N423=4,I423*10%,N423=3,I423*7%,N423&lt;3,I423*5%)</f>
        <v>4520</v>
      </c>
    </row>
    <row r="424" spans="1:15">
      <c r="A424" s="24" t="s">
        <v>909</v>
      </c>
      <c r="B424" s="25" t="s">
        <v>42</v>
      </c>
      <c r="C424" s="25" t="s">
        <v>66</v>
      </c>
      <c r="D424" s="25" t="s">
        <v>28</v>
      </c>
      <c r="E424" s="25">
        <v>25</v>
      </c>
      <c r="F424" s="25" t="s">
        <v>35</v>
      </c>
      <c r="G424" s="25" t="s">
        <v>21</v>
      </c>
      <c r="H424" s="26">
        <v>45480</v>
      </c>
      <c r="I424" s="25">
        <v>84722</v>
      </c>
      <c r="J424" s="25" t="s">
        <v>67</v>
      </c>
      <c r="K424" s="25" t="s">
        <v>910</v>
      </c>
      <c r="L424" s="27" t="s">
        <v>39</v>
      </c>
      <c r="M424" s="28" t="str">
        <f>_xlfn.XLOOKUP(F424,Department!$A$2:$A$6,Department!$B$2:$B$6)</f>
        <v>Sales</v>
      </c>
      <c r="N424" s="30">
        <f>_xlfn.XLOOKUP(A424,Performance!$A$2:$A$501,Performance!$C$2:$C$501)</f>
        <v>4</v>
      </c>
      <c r="O424" s="28" cm="1">
        <f t="array" ref="O424">_xlfn.IFS(N424=5,I424*15%,N424=4,I424*10%,N424=3,I424*7%,N424&lt;3,I424*5%)</f>
        <v>8472.2000000000007</v>
      </c>
    </row>
    <row r="425" spans="1:15">
      <c r="A425" s="24" t="s">
        <v>911</v>
      </c>
      <c r="B425" s="25" t="s">
        <v>17</v>
      </c>
      <c r="C425" s="25" t="s">
        <v>66</v>
      </c>
      <c r="D425" s="25" t="s">
        <v>19</v>
      </c>
      <c r="E425" s="25">
        <v>24</v>
      </c>
      <c r="F425" s="25" t="s">
        <v>35</v>
      </c>
      <c r="G425" s="25" t="s">
        <v>21</v>
      </c>
      <c r="H425" s="26">
        <v>43645</v>
      </c>
      <c r="I425" s="25">
        <v>57088</v>
      </c>
      <c r="J425" s="25" t="s">
        <v>22</v>
      </c>
      <c r="K425" s="25" t="s">
        <v>912</v>
      </c>
      <c r="L425" s="27" t="s">
        <v>24</v>
      </c>
      <c r="M425" s="28" t="str">
        <f>_xlfn.XLOOKUP(F425,Department!$A$2:$A$6,Department!$B$2:$B$6)</f>
        <v>Sales</v>
      </c>
      <c r="N425" s="30">
        <f>_xlfn.XLOOKUP(A425,Performance!$A$2:$A$501,Performance!$C$2:$C$501)</f>
        <v>3</v>
      </c>
      <c r="O425" s="28" cm="1">
        <f t="array" ref="O425">_xlfn.IFS(N425=5,I425*15%,N425=4,I425*10%,N425=3,I425*7%,N425&lt;3,I425*5%)</f>
        <v>3996.1600000000003</v>
      </c>
    </row>
    <row r="426" spans="1:15">
      <c r="A426" s="24" t="s">
        <v>913</v>
      </c>
      <c r="B426" s="25" t="s">
        <v>61</v>
      </c>
      <c r="C426" s="25" t="s">
        <v>66</v>
      </c>
      <c r="D426" s="25" t="s">
        <v>28</v>
      </c>
      <c r="E426" s="25">
        <v>52</v>
      </c>
      <c r="F426" s="25" t="s">
        <v>54</v>
      </c>
      <c r="G426" s="25" t="s">
        <v>102</v>
      </c>
      <c r="H426" s="26">
        <v>43672</v>
      </c>
      <c r="I426" s="25">
        <v>106181</v>
      </c>
      <c r="J426" s="25" t="s">
        <v>37</v>
      </c>
      <c r="K426" s="25" t="s">
        <v>914</v>
      </c>
      <c r="L426" s="27" t="s">
        <v>24</v>
      </c>
      <c r="M426" s="28" t="str">
        <f>_xlfn.XLOOKUP(F426,Department!$A$2:$A$6,Department!$B$2:$B$6)</f>
        <v>Finance</v>
      </c>
      <c r="N426" s="30">
        <f>_xlfn.XLOOKUP(A426,Performance!$A$2:$A$501,Performance!$C$2:$C$501)</f>
        <v>2</v>
      </c>
      <c r="O426" s="28" cm="1">
        <f t="array" ref="O426">_xlfn.IFS(N426=5,I426*15%,N426=4,I426*10%,N426=3,I426*7%,N426&lt;3,I426*5%)</f>
        <v>5309.05</v>
      </c>
    </row>
    <row r="427" spans="1:15">
      <c r="A427" s="24" t="s">
        <v>915</v>
      </c>
      <c r="B427" s="25" t="s">
        <v>74</v>
      </c>
      <c r="C427" s="25" t="s">
        <v>89</v>
      </c>
      <c r="D427" s="25" t="s">
        <v>19</v>
      </c>
      <c r="E427" s="25">
        <v>48</v>
      </c>
      <c r="F427" s="25" t="s">
        <v>29</v>
      </c>
      <c r="G427" s="25" t="s">
        <v>21</v>
      </c>
      <c r="H427" s="26">
        <v>44668</v>
      </c>
      <c r="I427" s="25">
        <v>117192</v>
      </c>
      <c r="J427" s="25" t="s">
        <v>62</v>
      </c>
      <c r="K427" s="25" t="s">
        <v>916</v>
      </c>
      <c r="L427" s="27" t="s">
        <v>24</v>
      </c>
      <c r="M427" s="28" t="str">
        <f>_xlfn.XLOOKUP(F427,Department!$A$2:$A$6,Department!$B$2:$B$6)</f>
        <v>IT</v>
      </c>
      <c r="N427" s="30">
        <f>_xlfn.XLOOKUP(A427,Performance!$A$2:$A$501,Performance!$C$2:$C$501)</f>
        <v>5</v>
      </c>
      <c r="O427" s="28" cm="1">
        <f t="array" ref="O427">_xlfn.IFS(N427=5,I427*15%,N427=4,I427*10%,N427=3,I427*7%,N427&lt;3,I427*5%)</f>
        <v>17578.8</v>
      </c>
    </row>
    <row r="428" spans="1:15">
      <c r="A428" s="24" t="s">
        <v>917</v>
      </c>
      <c r="B428" s="25" t="s">
        <v>92</v>
      </c>
      <c r="C428" s="25" t="s">
        <v>18</v>
      </c>
      <c r="D428" s="25" t="s">
        <v>19</v>
      </c>
      <c r="E428" s="25">
        <v>43</v>
      </c>
      <c r="F428" s="25" t="s">
        <v>29</v>
      </c>
      <c r="G428" s="25" t="s">
        <v>102</v>
      </c>
      <c r="H428" s="26">
        <v>44273</v>
      </c>
      <c r="I428" s="25">
        <v>114670</v>
      </c>
      <c r="J428" s="25" t="s">
        <v>62</v>
      </c>
      <c r="K428" s="25" t="s">
        <v>918</v>
      </c>
      <c r="L428" s="27" t="s">
        <v>39</v>
      </c>
      <c r="M428" s="28" t="str">
        <f>_xlfn.XLOOKUP(F428,Department!$A$2:$A$6,Department!$B$2:$B$6)</f>
        <v>IT</v>
      </c>
      <c r="N428" s="30">
        <f>_xlfn.XLOOKUP(A428,Performance!$A$2:$A$501,Performance!$C$2:$C$501)</f>
        <v>3</v>
      </c>
      <c r="O428" s="28" cm="1">
        <f t="array" ref="O428">_xlfn.IFS(N428=5,I428*15%,N428=4,I428*10%,N428=3,I428*7%,N428&lt;3,I428*5%)</f>
        <v>8026.9000000000005</v>
      </c>
    </row>
    <row r="429" spans="1:15">
      <c r="A429" s="24" t="s">
        <v>919</v>
      </c>
      <c r="B429" s="25" t="s">
        <v>34</v>
      </c>
      <c r="C429" s="25" t="s">
        <v>66</v>
      </c>
      <c r="D429" s="25" t="s">
        <v>19</v>
      </c>
      <c r="E429" s="25">
        <v>36</v>
      </c>
      <c r="F429" s="25" t="s">
        <v>20</v>
      </c>
      <c r="G429" s="25" t="s">
        <v>44</v>
      </c>
      <c r="H429" s="26">
        <v>44878</v>
      </c>
      <c r="I429" s="25">
        <v>116951</v>
      </c>
      <c r="J429" s="25" t="s">
        <v>81</v>
      </c>
      <c r="K429" s="25" t="s">
        <v>920</v>
      </c>
      <c r="L429" s="27" t="s">
        <v>24</v>
      </c>
      <c r="M429" s="28" t="str">
        <f>_xlfn.XLOOKUP(F429,Department!$A$2:$A$6,Department!$B$2:$B$6)</f>
        <v>HR</v>
      </c>
      <c r="N429" s="30">
        <f>_xlfn.XLOOKUP(A429,Performance!$A$2:$A$501,Performance!$C$2:$C$501)</f>
        <v>2</v>
      </c>
      <c r="O429" s="28" cm="1">
        <f t="array" ref="O429">_xlfn.IFS(N429=5,I429*15%,N429=4,I429*10%,N429=3,I429*7%,N429&lt;3,I429*5%)</f>
        <v>5847.55</v>
      </c>
    </row>
    <row r="430" spans="1:15">
      <c r="A430" s="24" t="s">
        <v>921</v>
      </c>
      <c r="B430" s="25" t="s">
        <v>74</v>
      </c>
      <c r="C430" s="25" t="s">
        <v>84</v>
      </c>
      <c r="D430" s="25" t="s">
        <v>19</v>
      </c>
      <c r="E430" s="25">
        <v>43</v>
      </c>
      <c r="F430" s="25" t="s">
        <v>20</v>
      </c>
      <c r="G430" s="25" t="s">
        <v>30</v>
      </c>
      <c r="H430" s="26">
        <v>45032</v>
      </c>
      <c r="I430" s="25">
        <v>86123</v>
      </c>
      <c r="J430" s="25" t="s">
        <v>37</v>
      </c>
      <c r="K430" s="25" t="s">
        <v>922</v>
      </c>
      <c r="L430" s="27" t="s">
        <v>39</v>
      </c>
      <c r="M430" s="28" t="str">
        <f>_xlfn.XLOOKUP(F430,Department!$A$2:$A$6,Department!$B$2:$B$6)</f>
        <v>HR</v>
      </c>
      <c r="N430" s="30">
        <f>_xlfn.XLOOKUP(A430,Performance!$A$2:$A$501,Performance!$C$2:$C$501)</f>
        <v>1</v>
      </c>
      <c r="O430" s="28" cm="1">
        <f t="array" ref="O430">_xlfn.IFS(N430=5,I430*15%,N430=4,I430*10%,N430=3,I430*7%,N430&lt;3,I430*5%)</f>
        <v>4306.1500000000005</v>
      </c>
    </row>
    <row r="431" spans="1:15">
      <c r="A431" s="24" t="s">
        <v>923</v>
      </c>
      <c r="B431" s="25" t="s">
        <v>17</v>
      </c>
      <c r="C431" s="25" t="s">
        <v>89</v>
      </c>
      <c r="D431" s="25" t="s">
        <v>19</v>
      </c>
      <c r="E431" s="25">
        <v>45</v>
      </c>
      <c r="F431" s="25" t="s">
        <v>54</v>
      </c>
      <c r="G431" s="25" t="s">
        <v>21</v>
      </c>
      <c r="H431" s="26">
        <v>44452</v>
      </c>
      <c r="I431" s="25">
        <v>68220</v>
      </c>
      <c r="J431" s="25" t="s">
        <v>81</v>
      </c>
      <c r="K431" s="25" t="s">
        <v>924</v>
      </c>
      <c r="L431" s="27" t="s">
        <v>24</v>
      </c>
      <c r="M431" s="28" t="str">
        <f>_xlfn.XLOOKUP(F431,Department!$A$2:$A$6,Department!$B$2:$B$6)</f>
        <v>Finance</v>
      </c>
      <c r="N431" s="30">
        <f>_xlfn.XLOOKUP(A431,Performance!$A$2:$A$501,Performance!$C$2:$C$501)</f>
        <v>5</v>
      </c>
      <c r="O431" s="28" cm="1">
        <f t="array" ref="O431">_xlfn.IFS(N431=5,I431*15%,N431=4,I431*10%,N431=3,I431*7%,N431&lt;3,I431*5%)</f>
        <v>10233</v>
      </c>
    </row>
    <row r="432" spans="1:15">
      <c r="A432" s="24" t="s">
        <v>925</v>
      </c>
      <c r="B432" s="25" t="s">
        <v>53</v>
      </c>
      <c r="C432" s="25" t="s">
        <v>117</v>
      </c>
      <c r="D432" s="25" t="s">
        <v>19</v>
      </c>
      <c r="E432" s="25">
        <v>60</v>
      </c>
      <c r="F432" s="25" t="s">
        <v>43</v>
      </c>
      <c r="G432" s="25" t="s">
        <v>36</v>
      </c>
      <c r="H432" s="26">
        <v>45348</v>
      </c>
      <c r="I432" s="25">
        <v>115147</v>
      </c>
      <c r="J432" s="25" t="s">
        <v>37</v>
      </c>
      <c r="K432" s="25" t="s">
        <v>926</v>
      </c>
      <c r="L432" s="27" t="s">
        <v>39</v>
      </c>
      <c r="M432" s="28" t="str">
        <f>_xlfn.XLOOKUP(F432,Department!$A$2:$A$6,Department!$B$2:$B$6)</f>
        <v>Marketing</v>
      </c>
      <c r="N432" s="30">
        <f>_xlfn.XLOOKUP(A432,Performance!$A$2:$A$501,Performance!$C$2:$C$501)</f>
        <v>2</v>
      </c>
      <c r="O432" s="28" cm="1">
        <f t="array" ref="O432">_xlfn.IFS(N432=5,I432*15%,N432=4,I432*10%,N432=3,I432*7%,N432&lt;3,I432*5%)</f>
        <v>5757.35</v>
      </c>
    </row>
    <row r="433" spans="1:15">
      <c r="A433" s="24" t="s">
        <v>927</v>
      </c>
      <c r="B433" s="25" t="s">
        <v>92</v>
      </c>
      <c r="C433" s="25" t="s">
        <v>49</v>
      </c>
      <c r="D433" s="25" t="s">
        <v>19</v>
      </c>
      <c r="E433" s="25">
        <v>54</v>
      </c>
      <c r="F433" s="25" t="s">
        <v>54</v>
      </c>
      <c r="G433" s="25" t="s">
        <v>30</v>
      </c>
      <c r="H433" s="26">
        <v>45327</v>
      </c>
      <c r="I433" s="25">
        <v>68028</v>
      </c>
      <c r="J433" s="25" t="s">
        <v>22</v>
      </c>
      <c r="K433" s="25" t="s">
        <v>928</v>
      </c>
      <c r="L433" s="27" t="s">
        <v>39</v>
      </c>
      <c r="M433" s="28" t="str">
        <f>_xlfn.XLOOKUP(F433,Department!$A$2:$A$6,Department!$B$2:$B$6)</f>
        <v>Finance</v>
      </c>
      <c r="N433" s="30">
        <f>_xlfn.XLOOKUP(A433,Performance!$A$2:$A$501,Performance!$C$2:$C$501)</f>
        <v>4</v>
      </c>
      <c r="O433" s="28" cm="1">
        <f t="array" ref="O433">_xlfn.IFS(N433=5,I433*15%,N433=4,I433*10%,N433=3,I433*7%,N433&lt;3,I433*5%)</f>
        <v>6802.8</v>
      </c>
    </row>
    <row r="434" spans="1:15">
      <c r="A434" s="24" t="s">
        <v>929</v>
      </c>
      <c r="B434" s="25" t="s">
        <v>42</v>
      </c>
      <c r="C434" s="25" t="s">
        <v>49</v>
      </c>
      <c r="D434" s="25" t="s">
        <v>28</v>
      </c>
      <c r="E434" s="25">
        <v>52</v>
      </c>
      <c r="F434" s="25" t="s">
        <v>43</v>
      </c>
      <c r="G434" s="25" t="s">
        <v>102</v>
      </c>
      <c r="H434" s="26">
        <v>44976</v>
      </c>
      <c r="I434" s="25">
        <v>46732</v>
      </c>
      <c r="J434" s="25" t="s">
        <v>67</v>
      </c>
      <c r="K434" s="25" t="s">
        <v>930</v>
      </c>
      <c r="L434" s="27" t="s">
        <v>39</v>
      </c>
      <c r="M434" s="28" t="str">
        <f>_xlfn.XLOOKUP(F434,Department!$A$2:$A$6,Department!$B$2:$B$6)</f>
        <v>Marketing</v>
      </c>
      <c r="N434" s="30">
        <f>_xlfn.XLOOKUP(A434,Performance!$A$2:$A$501,Performance!$C$2:$C$501)</f>
        <v>1</v>
      </c>
      <c r="O434" s="28" cm="1">
        <f t="array" ref="O434">_xlfn.IFS(N434=5,I434*15%,N434=4,I434*10%,N434=3,I434*7%,N434&lt;3,I434*5%)</f>
        <v>2336.6</v>
      </c>
    </row>
    <row r="435" spans="1:15">
      <c r="A435" s="24" t="s">
        <v>931</v>
      </c>
      <c r="B435" s="25" t="s">
        <v>48</v>
      </c>
      <c r="C435" s="25" t="s">
        <v>117</v>
      </c>
      <c r="D435" s="25" t="s">
        <v>28</v>
      </c>
      <c r="E435" s="25">
        <v>53</v>
      </c>
      <c r="F435" s="25" t="s">
        <v>20</v>
      </c>
      <c r="G435" s="25" t="s">
        <v>102</v>
      </c>
      <c r="H435" s="26">
        <v>45383</v>
      </c>
      <c r="I435" s="25">
        <v>37701</v>
      </c>
      <c r="J435" s="25" t="s">
        <v>37</v>
      </c>
      <c r="K435" s="25" t="s">
        <v>932</v>
      </c>
      <c r="L435" s="27" t="s">
        <v>39</v>
      </c>
      <c r="M435" s="28" t="str">
        <f>_xlfn.XLOOKUP(F435,Department!$A$2:$A$6,Department!$B$2:$B$6)</f>
        <v>HR</v>
      </c>
      <c r="N435" s="30">
        <f>_xlfn.XLOOKUP(A435,Performance!$A$2:$A$501,Performance!$C$2:$C$501)</f>
        <v>4</v>
      </c>
      <c r="O435" s="28" cm="1">
        <f t="array" ref="O435">_xlfn.IFS(N435=5,I435*15%,N435=4,I435*10%,N435=3,I435*7%,N435&lt;3,I435*5%)</f>
        <v>3770.1000000000004</v>
      </c>
    </row>
    <row r="436" spans="1:15">
      <c r="A436" s="24" t="s">
        <v>933</v>
      </c>
      <c r="B436" s="25" t="s">
        <v>53</v>
      </c>
      <c r="C436" s="25" t="s">
        <v>49</v>
      </c>
      <c r="D436" s="25" t="s">
        <v>19</v>
      </c>
      <c r="E436" s="25">
        <v>51</v>
      </c>
      <c r="F436" s="25" t="s">
        <v>20</v>
      </c>
      <c r="G436" s="25" t="s">
        <v>30</v>
      </c>
      <c r="H436" s="26">
        <v>43183</v>
      </c>
      <c r="I436" s="25">
        <v>103930</v>
      </c>
      <c r="J436" s="25" t="s">
        <v>62</v>
      </c>
      <c r="K436" s="25" t="s">
        <v>934</v>
      </c>
      <c r="L436" s="27" t="s">
        <v>39</v>
      </c>
      <c r="M436" s="28" t="str">
        <f>_xlfn.XLOOKUP(F436,Department!$A$2:$A$6,Department!$B$2:$B$6)</f>
        <v>HR</v>
      </c>
      <c r="N436" s="30">
        <f>_xlfn.XLOOKUP(A436,Performance!$A$2:$A$501,Performance!$C$2:$C$501)</f>
        <v>1</v>
      </c>
      <c r="O436" s="28" cm="1">
        <f t="array" ref="O436">_xlfn.IFS(N436=5,I436*15%,N436=4,I436*10%,N436=3,I436*7%,N436&lt;3,I436*5%)</f>
        <v>5196.5</v>
      </c>
    </row>
    <row r="437" spans="1:15">
      <c r="A437" s="24" t="s">
        <v>935</v>
      </c>
      <c r="B437" s="25" t="s">
        <v>126</v>
      </c>
      <c r="C437" s="25" t="s">
        <v>89</v>
      </c>
      <c r="D437" s="25" t="s">
        <v>19</v>
      </c>
      <c r="E437" s="25">
        <v>41</v>
      </c>
      <c r="F437" s="25" t="s">
        <v>29</v>
      </c>
      <c r="G437" s="25" t="s">
        <v>21</v>
      </c>
      <c r="H437" s="26">
        <v>45464</v>
      </c>
      <c r="I437" s="25">
        <v>83188</v>
      </c>
      <c r="J437" s="25" t="s">
        <v>81</v>
      </c>
      <c r="K437" s="25" t="s">
        <v>936</v>
      </c>
      <c r="L437" s="27" t="s">
        <v>24</v>
      </c>
      <c r="M437" s="28" t="str">
        <f>_xlfn.XLOOKUP(F437,Department!$A$2:$A$6,Department!$B$2:$B$6)</f>
        <v>IT</v>
      </c>
      <c r="N437" s="30">
        <f>_xlfn.XLOOKUP(A437,Performance!$A$2:$A$501,Performance!$C$2:$C$501)</f>
        <v>1</v>
      </c>
      <c r="O437" s="28" cm="1">
        <f t="array" ref="O437">_xlfn.IFS(N437=5,I437*15%,N437=4,I437*10%,N437=3,I437*7%,N437&lt;3,I437*5%)</f>
        <v>4159.4000000000005</v>
      </c>
    </row>
    <row r="438" spans="1:15">
      <c r="A438" s="24" t="s">
        <v>937</v>
      </c>
      <c r="B438" s="25" t="s">
        <v>17</v>
      </c>
      <c r="C438" s="25" t="s">
        <v>93</v>
      </c>
      <c r="D438" s="25" t="s">
        <v>28</v>
      </c>
      <c r="E438" s="25">
        <v>23</v>
      </c>
      <c r="F438" s="25" t="s">
        <v>43</v>
      </c>
      <c r="G438" s="25" t="s">
        <v>30</v>
      </c>
      <c r="H438" s="26">
        <v>43486</v>
      </c>
      <c r="I438" s="25">
        <v>50616</v>
      </c>
      <c r="J438" s="25" t="s">
        <v>62</v>
      </c>
      <c r="K438" s="25" t="s">
        <v>938</v>
      </c>
      <c r="L438" s="27" t="s">
        <v>39</v>
      </c>
      <c r="M438" s="28" t="str">
        <f>_xlfn.XLOOKUP(F438,Department!$A$2:$A$6,Department!$B$2:$B$6)</f>
        <v>Marketing</v>
      </c>
      <c r="N438" s="30">
        <f>_xlfn.XLOOKUP(A438,Performance!$A$2:$A$501,Performance!$C$2:$C$501)</f>
        <v>2</v>
      </c>
      <c r="O438" s="28" cm="1">
        <f t="array" ref="O438">_xlfn.IFS(N438=5,I438*15%,N438=4,I438*10%,N438=3,I438*7%,N438&lt;3,I438*5%)</f>
        <v>2530.8000000000002</v>
      </c>
    </row>
    <row r="439" spans="1:15">
      <c r="A439" s="24" t="s">
        <v>939</v>
      </c>
      <c r="B439" s="25" t="s">
        <v>92</v>
      </c>
      <c r="C439" s="25" t="s">
        <v>117</v>
      </c>
      <c r="D439" s="25" t="s">
        <v>28</v>
      </c>
      <c r="E439" s="25">
        <v>52</v>
      </c>
      <c r="F439" s="25" t="s">
        <v>43</v>
      </c>
      <c r="G439" s="25" t="s">
        <v>21</v>
      </c>
      <c r="H439" s="26">
        <v>44555</v>
      </c>
      <c r="I439" s="25">
        <v>80964</v>
      </c>
      <c r="J439" s="25" t="s">
        <v>62</v>
      </c>
      <c r="K439" s="25" t="s">
        <v>940</v>
      </c>
      <c r="L439" s="27" t="s">
        <v>24</v>
      </c>
      <c r="M439" s="28" t="str">
        <f>_xlfn.XLOOKUP(F439,Department!$A$2:$A$6,Department!$B$2:$B$6)</f>
        <v>Marketing</v>
      </c>
      <c r="N439" s="30">
        <f>_xlfn.XLOOKUP(A439,Performance!$A$2:$A$501,Performance!$C$2:$C$501)</f>
        <v>2</v>
      </c>
      <c r="O439" s="28" cm="1">
        <f t="array" ref="O439">_xlfn.IFS(N439=5,I439*15%,N439=4,I439*10%,N439=3,I439*7%,N439&lt;3,I439*5%)</f>
        <v>4048.2000000000003</v>
      </c>
    </row>
    <row r="440" spans="1:15">
      <c r="A440" s="24" t="s">
        <v>941</v>
      </c>
      <c r="B440" s="25" t="s">
        <v>42</v>
      </c>
      <c r="C440" s="25" t="s">
        <v>84</v>
      </c>
      <c r="D440" s="25" t="s">
        <v>28</v>
      </c>
      <c r="E440" s="25">
        <v>28</v>
      </c>
      <c r="F440" s="25" t="s">
        <v>43</v>
      </c>
      <c r="G440" s="25" t="s">
        <v>30</v>
      </c>
      <c r="H440" s="26">
        <v>43481</v>
      </c>
      <c r="I440" s="25">
        <v>38806</v>
      </c>
      <c r="J440" s="25" t="s">
        <v>62</v>
      </c>
      <c r="K440" s="25" t="s">
        <v>942</v>
      </c>
      <c r="L440" s="27" t="s">
        <v>39</v>
      </c>
      <c r="M440" s="28" t="str">
        <f>_xlfn.XLOOKUP(F440,Department!$A$2:$A$6,Department!$B$2:$B$6)</f>
        <v>Marketing</v>
      </c>
      <c r="N440" s="30">
        <f>_xlfn.XLOOKUP(A440,Performance!$A$2:$A$501,Performance!$C$2:$C$501)</f>
        <v>2</v>
      </c>
      <c r="O440" s="28" cm="1">
        <f t="array" ref="O440">_xlfn.IFS(N440=5,I440*15%,N440=4,I440*10%,N440=3,I440*7%,N440&lt;3,I440*5%)</f>
        <v>1940.3000000000002</v>
      </c>
    </row>
    <row r="441" spans="1:15">
      <c r="A441" s="24" t="s">
        <v>943</v>
      </c>
      <c r="B441" s="25" t="s">
        <v>92</v>
      </c>
      <c r="C441" s="25" t="s">
        <v>84</v>
      </c>
      <c r="D441" s="25" t="s">
        <v>19</v>
      </c>
      <c r="E441" s="25">
        <v>29</v>
      </c>
      <c r="F441" s="25" t="s">
        <v>20</v>
      </c>
      <c r="G441" s="25" t="s">
        <v>36</v>
      </c>
      <c r="H441" s="26">
        <v>44131</v>
      </c>
      <c r="I441" s="25">
        <v>71247</v>
      </c>
      <c r="J441" s="25" t="s">
        <v>62</v>
      </c>
      <c r="K441" s="25" t="s">
        <v>944</v>
      </c>
      <c r="L441" s="27" t="s">
        <v>39</v>
      </c>
      <c r="M441" s="28" t="str">
        <f>_xlfn.XLOOKUP(F441,Department!$A$2:$A$6,Department!$B$2:$B$6)</f>
        <v>HR</v>
      </c>
      <c r="N441" s="30">
        <f>_xlfn.XLOOKUP(A441,Performance!$A$2:$A$501,Performance!$C$2:$C$501)</f>
        <v>4</v>
      </c>
      <c r="O441" s="28" cm="1">
        <f t="array" ref="O441">_xlfn.IFS(N441=5,I441*15%,N441=4,I441*10%,N441=3,I441*7%,N441&lt;3,I441*5%)</f>
        <v>7124.7000000000007</v>
      </c>
    </row>
    <row r="442" spans="1:15">
      <c r="A442" s="24" t="s">
        <v>945</v>
      </c>
      <c r="B442" s="25" t="s">
        <v>61</v>
      </c>
      <c r="C442" s="25" t="s">
        <v>141</v>
      </c>
      <c r="D442" s="25" t="s">
        <v>19</v>
      </c>
      <c r="E442" s="25">
        <v>29</v>
      </c>
      <c r="F442" s="25" t="s">
        <v>43</v>
      </c>
      <c r="G442" s="25" t="s">
        <v>44</v>
      </c>
      <c r="H442" s="26">
        <v>44023</v>
      </c>
      <c r="I442" s="25">
        <v>109197</v>
      </c>
      <c r="J442" s="25" t="s">
        <v>81</v>
      </c>
      <c r="K442" s="25" t="s">
        <v>946</v>
      </c>
      <c r="L442" s="27" t="s">
        <v>39</v>
      </c>
      <c r="M442" s="28" t="str">
        <f>_xlfn.XLOOKUP(F442,Department!$A$2:$A$6,Department!$B$2:$B$6)</f>
        <v>Marketing</v>
      </c>
      <c r="N442" s="30">
        <f>_xlfn.XLOOKUP(A442,Performance!$A$2:$A$501,Performance!$C$2:$C$501)</f>
        <v>2</v>
      </c>
      <c r="O442" s="28" cm="1">
        <f t="array" ref="O442">_xlfn.IFS(N442=5,I442*15%,N442=4,I442*10%,N442=3,I442*7%,N442&lt;3,I442*5%)</f>
        <v>5459.85</v>
      </c>
    </row>
    <row r="443" spans="1:15">
      <c r="A443" s="24" t="s">
        <v>947</v>
      </c>
      <c r="B443" s="25" t="s">
        <v>48</v>
      </c>
      <c r="C443" s="25" t="s">
        <v>66</v>
      </c>
      <c r="D443" s="25" t="s">
        <v>28</v>
      </c>
      <c r="E443" s="25">
        <v>47</v>
      </c>
      <c r="F443" s="25" t="s">
        <v>35</v>
      </c>
      <c r="G443" s="25" t="s">
        <v>44</v>
      </c>
      <c r="H443" s="26">
        <v>44707</v>
      </c>
      <c r="I443" s="25">
        <v>77368</v>
      </c>
      <c r="J443" s="25" t="s">
        <v>22</v>
      </c>
      <c r="K443" s="25" t="s">
        <v>948</v>
      </c>
      <c r="L443" s="27" t="s">
        <v>24</v>
      </c>
      <c r="M443" s="28" t="str">
        <f>_xlfn.XLOOKUP(F443,Department!$A$2:$A$6,Department!$B$2:$B$6)</f>
        <v>Sales</v>
      </c>
      <c r="N443" s="30">
        <f>_xlfn.XLOOKUP(A443,Performance!$A$2:$A$501,Performance!$C$2:$C$501)</f>
        <v>2</v>
      </c>
      <c r="O443" s="28" cm="1">
        <f t="array" ref="O443">_xlfn.IFS(N443=5,I443*15%,N443=4,I443*10%,N443=3,I443*7%,N443&lt;3,I443*5%)</f>
        <v>3868.4</v>
      </c>
    </row>
    <row r="444" spans="1:15">
      <c r="A444" s="24" t="s">
        <v>949</v>
      </c>
      <c r="B444" s="25" t="s">
        <v>74</v>
      </c>
      <c r="C444" s="25" t="s">
        <v>141</v>
      </c>
      <c r="D444" s="25" t="s">
        <v>28</v>
      </c>
      <c r="E444" s="25">
        <v>41</v>
      </c>
      <c r="F444" s="25" t="s">
        <v>20</v>
      </c>
      <c r="G444" s="25" t="s">
        <v>36</v>
      </c>
      <c r="H444" s="26">
        <v>45295</v>
      </c>
      <c r="I444" s="25">
        <v>62102</v>
      </c>
      <c r="J444" s="25" t="s">
        <v>81</v>
      </c>
      <c r="K444" s="25" t="s">
        <v>950</v>
      </c>
      <c r="L444" s="27" t="s">
        <v>39</v>
      </c>
      <c r="M444" s="28" t="str">
        <f>_xlfn.XLOOKUP(F444,Department!$A$2:$A$6,Department!$B$2:$B$6)</f>
        <v>HR</v>
      </c>
      <c r="N444" s="30">
        <f>_xlfn.XLOOKUP(A444,Performance!$A$2:$A$501,Performance!$C$2:$C$501)</f>
        <v>2</v>
      </c>
      <c r="O444" s="28" cm="1">
        <f t="array" ref="O444">_xlfn.IFS(N444=5,I444*15%,N444=4,I444*10%,N444=3,I444*7%,N444&lt;3,I444*5%)</f>
        <v>3105.1000000000004</v>
      </c>
    </row>
    <row r="445" spans="1:15">
      <c r="A445" s="24" t="s">
        <v>951</v>
      </c>
      <c r="B445" s="25" t="s">
        <v>48</v>
      </c>
      <c r="C445" s="25" t="s">
        <v>18</v>
      </c>
      <c r="D445" s="25" t="s">
        <v>28</v>
      </c>
      <c r="E445" s="25">
        <v>40</v>
      </c>
      <c r="F445" s="25" t="s">
        <v>20</v>
      </c>
      <c r="G445" s="25" t="s">
        <v>44</v>
      </c>
      <c r="H445" s="26">
        <v>44794</v>
      </c>
      <c r="I445" s="25">
        <v>66499</v>
      </c>
      <c r="J445" s="25" t="s">
        <v>81</v>
      </c>
      <c r="K445" s="25" t="s">
        <v>952</v>
      </c>
      <c r="L445" s="27" t="s">
        <v>24</v>
      </c>
      <c r="M445" s="28" t="str">
        <f>_xlfn.XLOOKUP(F445,Department!$A$2:$A$6,Department!$B$2:$B$6)</f>
        <v>HR</v>
      </c>
      <c r="N445" s="30">
        <f>_xlfn.XLOOKUP(A445,Performance!$A$2:$A$501,Performance!$C$2:$C$501)</f>
        <v>2</v>
      </c>
      <c r="O445" s="28" cm="1">
        <f t="array" ref="O445">_xlfn.IFS(N445=5,I445*15%,N445=4,I445*10%,N445=3,I445*7%,N445&lt;3,I445*5%)</f>
        <v>3324.9500000000003</v>
      </c>
    </row>
    <row r="446" spans="1:15">
      <c r="A446" s="24" t="s">
        <v>953</v>
      </c>
      <c r="B446" s="25" t="s">
        <v>17</v>
      </c>
      <c r="C446" s="25" t="s">
        <v>27</v>
      </c>
      <c r="D446" s="25" t="s">
        <v>28</v>
      </c>
      <c r="E446" s="25">
        <v>47</v>
      </c>
      <c r="F446" s="25" t="s">
        <v>35</v>
      </c>
      <c r="G446" s="25" t="s">
        <v>102</v>
      </c>
      <c r="H446" s="26">
        <v>43109</v>
      </c>
      <c r="I446" s="25">
        <v>114326</v>
      </c>
      <c r="J446" s="25" t="s">
        <v>37</v>
      </c>
      <c r="K446" s="25" t="s">
        <v>954</v>
      </c>
      <c r="L446" s="27" t="s">
        <v>39</v>
      </c>
      <c r="M446" s="28" t="str">
        <f>_xlfn.XLOOKUP(F446,Department!$A$2:$A$6,Department!$B$2:$B$6)</f>
        <v>Sales</v>
      </c>
      <c r="N446" s="30">
        <f>_xlfn.XLOOKUP(A446,Performance!$A$2:$A$501,Performance!$C$2:$C$501)</f>
        <v>2</v>
      </c>
      <c r="O446" s="28" cm="1">
        <f t="array" ref="O446">_xlfn.IFS(N446=5,I446*15%,N446=4,I446*10%,N446=3,I446*7%,N446&lt;3,I446*5%)</f>
        <v>5716.3</v>
      </c>
    </row>
    <row r="447" spans="1:15">
      <c r="A447" s="24" t="s">
        <v>955</v>
      </c>
      <c r="B447" s="25" t="s">
        <v>58</v>
      </c>
      <c r="C447" s="25" t="s">
        <v>80</v>
      </c>
      <c r="D447" s="25" t="s">
        <v>19</v>
      </c>
      <c r="E447" s="25">
        <v>49</v>
      </c>
      <c r="F447" s="25" t="s">
        <v>29</v>
      </c>
      <c r="G447" s="25" t="s">
        <v>36</v>
      </c>
      <c r="H447" s="26">
        <v>44384</v>
      </c>
      <c r="I447" s="25">
        <v>98144</v>
      </c>
      <c r="J447" s="25" t="s">
        <v>67</v>
      </c>
      <c r="K447" s="25" t="s">
        <v>956</v>
      </c>
      <c r="L447" s="27" t="s">
        <v>39</v>
      </c>
      <c r="M447" s="28" t="str">
        <f>_xlfn.XLOOKUP(F447,Department!$A$2:$A$6,Department!$B$2:$B$6)</f>
        <v>IT</v>
      </c>
      <c r="N447" s="30">
        <f>_xlfn.XLOOKUP(A447,Performance!$A$2:$A$501,Performance!$C$2:$C$501)</f>
        <v>1</v>
      </c>
      <c r="O447" s="28" cm="1">
        <f t="array" ref="O447">_xlfn.IFS(N447=5,I447*15%,N447=4,I447*10%,N447=3,I447*7%,N447&lt;3,I447*5%)</f>
        <v>4907.2</v>
      </c>
    </row>
    <row r="448" spans="1:15">
      <c r="A448" s="24" t="s">
        <v>957</v>
      </c>
      <c r="B448" s="25" t="s">
        <v>126</v>
      </c>
      <c r="C448" s="25" t="s">
        <v>93</v>
      </c>
      <c r="D448" s="25" t="s">
        <v>19</v>
      </c>
      <c r="E448" s="25">
        <v>50</v>
      </c>
      <c r="F448" s="25" t="s">
        <v>54</v>
      </c>
      <c r="G448" s="25" t="s">
        <v>44</v>
      </c>
      <c r="H448" s="26">
        <v>44420</v>
      </c>
      <c r="I448" s="25">
        <v>61804</v>
      </c>
      <c r="J448" s="25" t="s">
        <v>62</v>
      </c>
      <c r="K448" s="25" t="s">
        <v>958</v>
      </c>
      <c r="L448" s="27" t="s">
        <v>24</v>
      </c>
      <c r="M448" s="28" t="str">
        <f>_xlfn.XLOOKUP(F448,Department!$A$2:$A$6,Department!$B$2:$B$6)</f>
        <v>Finance</v>
      </c>
      <c r="N448" s="30">
        <f>_xlfn.XLOOKUP(A448,Performance!$A$2:$A$501,Performance!$C$2:$C$501)</f>
        <v>1</v>
      </c>
      <c r="O448" s="28" cm="1">
        <f t="array" ref="O448">_xlfn.IFS(N448=5,I448*15%,N448=4,I448*10%,N448=3,I448*7%,N448&lt;3,I448*5%)</f>
        <v>3090.2000000000003</v>
      </c>
    </row>
    <row r="449" spans="1:15">
      <c r="A449" s="24" t="s">
        <v>959</v>
      </c>
      <c r="B449" s="25" t="s">
        <v>92</v>
      </c>
      <c r="C449" s="25" t="s">
        <v>117</v>
      </c>
      <c r="D449" s="25" t="s">
        <v>19</v>
      </c>
      <c r="E449" s="25">
        <v>24</v>
      </c>
      <c r="F449" s="25" t="s">
        <v>20</v>
      </c>
      <c r="G449" s="25" t="s">
        <v>36</v>
      </c>
      <c r="H449" s="26">
        <v>45437</v>
      </c>
      <c r="I449" s="25">
        <v>42829</v>
      </c>
      <c r="J449" s="25" t="s">
        <v>81</v>
      </c>
      <c r="K449" s="25" t="s">
        <v>960</v>
      </c>
      <c r="L449" s="27" t="s">
        <v>24</v>
      </c>
      <c r="M449" s="28" t="str">
        <f>_xlfn.XLOOKUP(F449,Department!$A$2:$A$6,Department!$B$2:$B$6)</f>
        <v>HR</v>
      </c>
      <c r="N449" s="30">
        <f>_xlfn.XLOOKUP(A449,Performance!$A$2:$A$501,Performance!$C$2:$C$501)</f>
        <v>4</v>
      </c>
      <c r="O449" s="28" cm="1">
        <f t="array" ref="O449">_xlfn.IFS(N449=5,I449*15%,N449=4,I449*10%,N449=3,I449*7%,N449&lt;3,I449*5%)</f>
        <v>4282.9000000000005</v>
      </c>
    </row>
    <row r="450" spans="1:15">
      <c r="A450" s="24" t="s">
        <v>961</v>
      </c>
      <c r="B450" s="25" t="s">
        <v>17</v>
      </c>
      <c r="C450" s="25" t="s">
        <v>49</v>
      </c>
      <c r="D450" s="25" t="s">
        <v>28</v>
      </c>
      <c r="E450" s="25">
        <v>39</v>
      </c>
      <c r="F450" s="25" t="s">
        <v>54</v>
      </c>
      <c r="G450" s="25" t="s">
        <v>102</v>
      </c>
      <c r="H450" s="26">
        <v>43694</v>
      </c>
      <c r="I450" s="25">
        <v>55874</v>
      </c>
      <c r="J450" s="25" t="s">
        <v>62</v>
      </c>
      <c r="K450" s="25" t="s">
        <v>962</v>
      </c>
      <c r="L450" s="27" t="s">
        <v>39</v>
      </c>
      <c r="M450" s="28" t="str">
        <f>_xlfn.XLOOKUP(F450,Department!$A$2:$A$6,Department!$B$2:$B$6)</f>
        <v>Finance</v>
      </c>
      <c r="N450" s="30">
        <f>_xlfn.XLOOKUP(A450,Performance!$A$2:$A$501,Performance!$C$2:$C$501)</f>
        <v>1</v>
      </c>
      <c r="O450" s="28" cm="1">
        <f t="array" ref="O450">_xlfn.IFS(N450=5,I450*15%,N450=4,I450*10%,N450=3,I450*7%,N450&lt;3,I450*5%)</f>
        <v>2793.7000000000003</v>
      </c>
    </row>
    <row r="451" spans="1:15">
      <c r="A451" s="24" t="s">
        <v>963</v>
      </c>
      <c r="B451" s="25" t="s">
        <v>53</v>
      </c>
      <c r="C451" s="25" t="s">
        <v>80</v>
      </c>
      <c r="D451" s="25" t="s">
        <v>19</v>
      </c>
      <c r="E451" s="25">
        <v>48</v>
      </c>
      <c r="F451" s="25" t="s">
        <v>35</v>
      </c>
      <c r="G451" s="25" t="s">
        <v>102</v>
      </c>
      <c r="H451" s="26">
        <v>44064</v>
      </c>
      <c r="I451" s="25">
        <v>110269</v>
      </c>
      <c r="J451" s="25" t="s">
        <v>67</v>
      </c>
      <c r="K451" s="25" t="s">
        <v>964</v>
      </c>
      <c r="L451" s="27" t="s">
        <v>39</v>
      </c>
      <c r="M451" s="28" t="str">
        <f>_xlfn.XLOOKUP(F451,Department!$A$2:$A$6,Department!$B$2:$B$6)</f>
        <v>Sales</v>
      </c>
      <c r="N451" s="30">
        <f>_xlfn.XLOOKUP(A451,Performance!$A$2:$A$501,Performance!$C$2:$C$501)</f>
        <v>2</v>
      </c>
      <c r="O451" s="28" cm="1">
        <f t="array" ref="O451">_xlfn.IFS(N451=5,I451*15%,N451=4,I451*10%,N451=3,I451*7%,N451&lt;3,I451*5%)</f>
        <v>5513.4500000000007</v>
      </c>
    </row>
    <row r="452" spans="1:15">
      <c r="A452" s="24" t="s">
        <v>965</v>
      </c>
      <c r="B452" s="25" t="s">
        <v>74</v>
      </c>
      <c r="C452" s="25" t="s">
        <v>141</v>
      </c>
      <c r="D452" s="25" t="s">
        <v>19</v>
      </c>
      <c r="E452" s="25">
        <v>49</v>
      </c>
      <c r="F452" s="25" t="s">
        <v>54</v>
      </c>
      <c r="G452" s="25" t="s">
        <v>21</v>
      </c>
      <c r="H452" s="26">
        <v>43856</v>
      </c>
      <c r="I452" s="25">
        <v>97118</v>
      </c>
      <c r="J452" s="25" t="s">
        <v>67</v>
      </c>
      <c r="K452" s="25" t="s">
        <v>966</v>
      </c>
      <c r="L452" s="27" t="s">
        <v>39</v>
      </c>
      <c r="M452" s="28" t="str">
        <f>_xlfn.XLOOKUP(F452,Department!$A$2:$A$6,Department!$B$2:$B$6)</f>
        <v>Finance</v>
      </c>
      <c r="N452" s="30">
        <f>_xlfn.XLOOKUP(A452,Performance!$A$2:$A$501,Performance!$C$2:$C$501)</f>
        <v>5</v>
      </c>
      <c r="O452" s="28" cm="1">
        <f t="array" ref="O452">_xlfn.IFS(N452=5,I452*15%,N452=4,I452*10%,N452=3,I452*7%,N452&lt;3,I452*5%)</f>
        <v>14567.699999999999</v>
      </c>
    </row>
    <row r="453" spans="1:15">
      <c r="A453" s="24" t="s">
        <v>967</v>
      </c>
      <c r="B453" s="25" t="s">
        <v>53</v>
      </c>
      <c r="C453" s="25" t="s">
        <v>27</v>
      </c>
      <c r="D453" s="25" t="s">
        <v>19</v>
      </c>
      <c r="E453" s="25">
        <v>25</v>
      </c>
      <c r="F453" s="25" t="s">
        <v>54</v>
      </c>
      <c r="G453" s="25" t="s">
        <v>102</v>
      </c>
      <c r="H453" s="26">
        <v>45402</v>
      </c>
      <c r="I453" s="25">
        <v>73245</v>
      </c>
      <c r="J453" s="25" t="s">
        <v>37</v>
      </c>
      <c r="K453" s="25" t="s">
        <v>968</v>
      </c>
      <c r="L453" s="27" t="s">
        <v>39</v>
      </c>
      <c r="M453" s="28" t="str">
        <f>_xlfn.XLOOKUP(F453,Department!$A$2:$A$6,Department!$B$2:$B$6)</f>
        <v>Finance</v>
      </c>
      <c r="N453" s="30">
        <f>_xlfn.XLOOKUP(A453,Performance!$A$2:$A$501,Performance!$C$2:$C$501)</f>
        <v>3</v>
      </c>
      <c r="O453" s="28" cm="1">
        <f t="array" ref="O453">_xlfn.IFS(N453=5,I453*15%,N453=4,I453*10%,N453=3,I453*7%,N453&lt;3,I453*5%)</f>
        <v>5127.1500000000005</v>
      </c>
    </row>
    <row r="454" spans="1:15">
      <c r="A454" s="24" t="s">
        <v>969</v>
      </c>
      <c r="B454" s="25" t="s">
        <v>42</v>
      </c>
      <c r="C454" s="25" t="s">
        <v>117</v>
      </c>
      <c r="D454" s="25" t="s">
        <v>19</v>
      </c>
      <c r="E454" s="25">
        <v>53</v>
      </c>
      <c r="F454" s="25" t="s">
        <v>54</v>
      </c>
      <c r="G454" s="25" t="s">
        <v>102</v>
      </c>
      <c r="H454" s="26">
        <v>44880</v>
      </c>
      <c r="I454" s="25">
        <v>35589</v>
      </c>
      <c r="J454" s="25" t="s">
        <v>62</v>
      </c>
      <c r="K454" s="25" t="s">
        <v>970</v>
      </c>
      <c r="L454" s="27" t="s">
        <v>39</v>
      </c>
      <c r="M454" s="28" t="str">
        <f>_xlfn.XLOOKUP(F454,Department!$A$2:$A$6,Department!$B$2:$B$6)</f>
        <v>Finance</v>
      </c>
      <c r="N454" s="30">
        <f>_xlfn.XLOOKUP(A454,Performance!$A$2:$A$501,Performance!$C$2:$C$501)</f>
        <v>4</v>
      </c>
      <c r="O454" s="28" cm="1">
        <f t="array" ref="O454">_xlfn.IFS(N454=5,I454*15%,N454=4,I454*10%,N454=3,I454*7%,N454&lt;3,I454*5%)</f>
        <v>3558.9</v>
      </c>
    </row>
    <row r="455" spans="1:15">
      <c r="A455" s="24" t="s">
        <v>971</v>
      </c>
      <c r="B455" s="25" t="s">
        <v>34</v>
      </c>
      <c r="C455" s="25" t="s">
        <v>89</v>
      </c>
      <c r="D455" s="25" t="s">
        <v>28</v>
      </c>
      <c r="E455" s="25">
        <v>35</v>
      </c>
      <c r="F455" s="25" t="s">
        <v>43</v>
      </c>
      <c r="G455" s="25" t="s">
        <v>44</v>
      </c>
      <c r="H455" s="26">
        <v>44877</v>
      </c>
      <c r="I455" s="25">
        <v>79751</v>
      </c>
      <c r="J455" s="25" t="s">
        <v>22</v>
      </c>
      <c r="K455" s="25" t="s">
        <v>972</v>
      </c>
      <c r="L455" s="27" t="s">
        <v>24</v>
      </c>
      <c r="M455" s="28" t="str">
        <f>_xlfn.XLOOKUP(F455,Department!$A$2:$A$6,Department!$B$2:$B$6)</f>
        <v>Marketing</v>
      </c>
      <c r="N455" s="30">
        <f>_xlfn.XLOOKUP(A455,Performance!$A$2:$A$501,Performance!$C$2:$C$501)</f>
        <v>2</v>
      </c>
      <c r="O455" s="28" cm="1">
        <f t="array" ref="O455">_xlfn.IFS(N455=5,I455*15%,N455=4,I455*10%,N455=3,I455*7%,N455&lt;3,I455*5%)</f>
        <v>3987.55</v>
      </c>
    </row>
    <row r="456" spans="1:15">
      <c r="A456" s="24" t="s">
        <v>973</v>
      </c>
      <c r="B456" s="25" t="s">
        <v>126</v>
      </c>
      <c r="C456" s="25" t="s">
        <v>18</v>
      </c>
      <c r="D456" s="25" t="s">
        <v>28</v>
      </c>
      <c r="E456" s="25">
        <v>53</v>
      </c>
      <c r="F456" s="25" t="s">
        <v>29</v>
      </c>
      <c r="G456" s="25" t="s">
        <v>102</v>
      </c>
      <c r="H456" s="26">
        <v>45149</v>
      </c>
      <c r="I456" s="25">
        <v>67994</v>
      </c>
      <c r="J456" s="25" t="s">
        <v>37</v>
      </c>
      <c r="K456" s="25" t="s">
        <v>974</v>
      </c>
      <c r="L456" s="27" t="s">
        <v>24</v>
      </c>
      <c r="M456" s="28" t="str">
        <f>_xlfn.XLOOKUP(F456,Department!$A$2:$A$6,Department!$B$2:$B$6)</f>
        <v>IT</v>
      </c>
      <c r="N456" s="30">
        <f>_xlfn.XLOOKUP(A456,Performance!$A$2:$A$501,Performance!$C$2:$C$501)</f>
        <v>3</v>
      </c>
      <c r="O456" s="28" cm="1">
        <f t="array" ref="O456">_xlfn.IFS(N456=5,I456*15%,N456=4,I456*10%,N456=3,I456*7%,N456&lt;3,I456*5%)</f>
        <v>4759.5800000000008</v>
      </c>
    </row>
    <row r="457" spans="1:15">
      <c r="A457" s="24" t="s">
        <v>975</v>
      </c>
      <c r="B457" s="25" t="s">
        <v>126</v>
      </c>
      <c r="C457" s="25" t="s">
        <v>80</v>
      </c>
      <c r="D457" s="25" t="s">
        <v>28</v>
      </c>
      <c r="E457" s="25">
        <v>28</v>
      </c>
      <c r="F457" s="25" t="s">
        <v>43</v>
      </c>
      <c r="G457" s="25" t="s">
        <v>30</v>
      </c>
      <c r="H457" s="26">
        <v>45364</v>
      </c>
      <c r="I457" s="25">
        <v>51178</v>
      </c>
      <c r="J457" s="25" t="s">
        <v>22</v>
      </c>
      <c r="K457" s="25" t="s">
        <v>976</v>
      </c>
      <c r="L457" s="27" t="s">
        <v>24</v>
      </c>
      <c r="M457" s="28" t="str">
        <f>_xlfn.XLOOKUP(F457,Department!$A$2:$A$6,Department!$B$2:$B$6)</f>
        <v>Marketing</v>
      </c>
      <c r="N457" s="30">
        <f>_xlfn.XLOOKUP(A457,Performance!$A$2:$A$501,Performance!$C$2:$C$501)</f>
        <v>4</v>
      </c>
      <c r="O457" s="28" cm="1">
        <f t="array" ref="O457">_xlfn.IFS(N457=5,I457*15%,N457=4,I457*10%,N457=3,I457*7%,N457&lt;3,I457*5%)</f>
        <v>5117.8</v>
      </c>
    </row>
    <row r="458" spans="1:15">
      <c r="A458" s="24" t="s">
        <v>977</v>
      </c>
      <c r="B458" s="25" t="s">
        <v>48</v>
      </c>
      <c r="C458" s="25" t="s">
        <v>141</v>
      </c>
      <c r="D458" s="25" t="s">
        <v>19</v>
      </c>
      <c r="E458" s="25">
        <v>29</v>
      </c>
      <c r="F458" s="25" t="s">
        <v>20</v>
      </c>
      <c r="G458" s="25" t="s">
        <v>102</v>
      </c>
      <c r="H458" s="26">
        <v>44603</v>
      </c>
      <c r="I458" s="25">
        <v>40759</v>
      </c>
      <c r="J458" s="25" t="s">
        <v>67</v>
      </c>
      <c r="K458" s="25" t="s">
        <v>978</v>
      </c>
      <c r="L458" s="27" t="s">
        <v>24</v>
      </c>
      <c r="M458" s="28" t="str">
        <f>_xlfn.XLOOKUP(F458,Department!$A$2:$A$6,Department!$B$2:$B$6)</f>
        <v>HR</v>
      </c>
      <c r="N458" s="30">
        <f>_xlfn.XLOOKUP(A458,Performance!$A$2:$A$501,Performance!$C$2:$C$501)</f>
        <v>1</v>
      </c>
      <c r="O458" s="28" cm="1">
        <f t="array" ref="O458">_xlfn.IFS(N458=5,I458*15%,N458=4,I458*10%,N458=3,I458*7%,N458&lt;3,I458*5%)</f>
        <v>2037.95</v>
      </c>
    </row>
    <row r="459" spans="1:15">
      <c r="A459" s="24" t="s">
        <v>979</v>
      </c>
      <c r="B459" s="25" t="s">
        <v>42</v>
      </c>
      <c r="C459" s="25" t="s">
        <v>80</v>
      </c>
      <c r="D459" s="25" t="s">
        <v>19</v>
      </c>
      <c r="E459" s="25">
        <v>32</v>
      </c>
      <c r="F459" s="25" t="s">
        <v>20</v>
      </c>
      <c r="G459" s="25" t="s">
        <v>30</v>
      </c>
      <c r="H459" s="26">
        <v>43559</v>
      </c>
      <c r="I459" s="25">
        <v>98394</v>
      </c>
      <c r="J459" s="25" t="s">
        <v>22</v>
      </c>
      <c r="K459" s="25" t="s">
        <v>980</v>
      </c>
      <c r="L459" s="27" t="s">
        <v>39</v>
      </c>
      <c r="M459" s="28" t="str">
        <f>_xlfn.XLOOKUP(F459,Department!$A$2:$A$6,Department!$B$2:$B$6)</f>
        <v>HR</v>
      </c>
      <c r="N459" s="30">
        <f>_xlfn.XLOOKUP(A459,Performance!$A$2:$A$501,Performance!$C$2:$C$501)</f>
        <v>4</v>
      </c>
      <c r="O459" s="28" cm="1">
        <f t="array" ref="O459">_xlfn.IFS(N459=5,I459*15%,N459=4,I459*10%,N459=3,I459*7%,N459&lt;3,I459*5%)</f>
        <v>9839.4000000000015</v>
      </c>
    </row>
    <row r="460" spans="1:15">
      <c r="A460" s="24" t="s">
        <v>981</v>
      </c>
      <c r="B460" s="25" t="s">
        <v>58</v>
      </c>
      <c r="C460" s="25" t="s">
        <v>18</v>
      </c>
      <c r="D460" s="25" t="s">
        <v>19</v>
      </c>
      <c r="E460" s="25">
        <v>37</v>
      </c>
      <c r="F460" s="25" t="s">
        <v>54</v>
      </c>
      <c r="G460" s="25" t="s">
        <v>36</v>
      </c>
      <c r="H460" s="26">
        <v>43552</v>
      </c>
      <c r="I460" s="25">
        <v>90148</v>
      </c>
      <c r="J460" s="25" t="s">
        <v>67</v>
      </c>
      <c r="K460" s="25" t="s">
        <v>982</v>
      </c>
      <c r="L460" s="27" t="s">
        <v>24</v>
      </c>
      <c r="M460" s="28" t="str">
        <f>_xlfn.XLOOKUP(F460,Department!$A$2:$A$6,Department!$B$2:$B$6)</f>
        <v>Finance</v>
      </c>
      <c r="N460" s="30">
        <f>_xlfn.XLOOKUP(A460,Performance!$A$2:$A$501,Performance!$C$2:$C$501)</f>
        <v>3</v>
      </c>
      <c r="O460" s="28" cm="1">
        <f t="array" ref="O460">_xlfn.IFS(N460=5,I460*15%,N460=4,I460*10%,N460=3,I460*7%,N460&lt;3,I460*5%)</f>
        <v>6310.3600000000006</v>
      </c>
    </row>
    <row r="461" spans="1:15">
      <c r="A461" s="24" t="s">
        <v>983</v>
      </c>
      <c r="B461" s="25" t="s">
        <v>34</v>
      </c>
      <c r="C461" s="25" t="s">
        <v>49</v>
      </c>
      <c r="D461" s="25" t="s">
        <v>28</v>
      </c>
      <c r="E461" s="25">
        <v>32</v>
      </c>
      <c r="F461" s="25" t="s">
        <v>35</v>
      </c>
      <c r="G461" s="25" t="s">
        <v>21</v>
      </c>
      <c r="H461" s="26">
        <v>44230</v>
      </c>
      <c r="I461" s="25">
        <v>63176</v>
      </c>
      <c r="J461" s="25" t="s">
        <v>37</v>
      </c>
      <c r="K461" s="25" t="s">
        <v>984</v>
      </c>
      <c r="L461" s="27" t="s">
        <v>24</v>
      </c>
      <c r="M461" s="28" t="str">
        <f>_xlfn.XLOOKUP(F461,Department!$A$2:$A$6,Department!$B$2:$B$6)</f>
        <v>Sales</v>
      </c>
      <c r="N461" s="30">
        <f>_xlfn.XLOOKUP(A461,Performance!$A$2:$A$501,Performance!$C$2:$C$501)</f>
        <v>1</v>
      </c>
      <c r="O461" s="28" cm="1">
        <f t="array" ref="O461">_xlfn.IFS(N461=5,I461*15%,N461=4,I461*10%,N461=3,I461*7%,N461&lt;3,I461*5%)</f>
        <v>3158.8</v>
      </c>
    </row>
    <row r="462" spans="1:15">
      <c r="A462" s="24" t="s">
        <v>985</v>
      </c>
      <c r="B462" s="25" t="s">
        <v>92</v>
      </c>
      <c r="C462" s="25" t="s">
        <v>89</v>
      </c>
      <c r="D462" s="25" t="s">
        <v>28</v>
      </c>
      <c r="E462" s="25">
        <v>55</v>
      </c>
      <c r="F462" s="25" t="s">
        <v>29</v>
      </c>
      <c r="G462" s="25" t="s">
        <v>30</v>
      </c>
      <c r="H462" s="26">
        <v>45350</v>
      </c>
      <c r="I462" s="25">
        <v>86434</v>
      </c>
      <c r="J462" s="25" t="s">
        <v>67</v>
      </c>
      <c r="K462" s="25" t="s">
        <v>986</v>
      </c>
      <c r="L462" s="27" t="s">
        <v>39</v>
      </c>
      <c r="M462" s="28" t="str">
        <f>_xlfn.XLOOKUP(F462,Department!$A$2:$A$6,Department!$B$2:$B$6)</f>
        <v>IT</v>
      </c>
      <c r="N462" s="30">
        <f>_xlfn.XLOOKUP(A462,Performance!$A$2:$A$501,Performance!$C$2:$C$501)</f>
        <v>2</v>
      </c>
      <c r="O462" s="28" cm="1">
        <f t="array" ref="O462">_xlfn.IFS(N462=5,I462*15%,N462=4,I462*10%,N462=3,I462*7%,N462&lt;3,I462*5%)</f>
        <v>4321.7</v>
      </c>
    </row>
    <row r="463" spans="1:15">
      <c r="A463" s="24" t="s">
        <v>987</v>
      </c>
      <c r="B463" s="25" t="s">
        <v>126</v>
      </c>
      <c r="C463" s="25" t="s">
        <v>89</v>
      </c>
      <c r="D463" s="25" t="s">
        <v>19</v>
      </c>
      <c r="E463" s="25">
        <v>42</v>
      </c>
      <c r="F463" s="25" t="s">
        <v>43</v>
      </c>
      <c r="G463" s="25" t="s">
        <v>21</v>
      </c>
      <c r="H463" s="26">
        <v>45073</v>
      </c>
      <c r="I463" s="25">
        <v>70836</v>
      </c>
      <c r="J463" s="25" t="s">
        <v>67</v>
      </c>
      <c r="K463" s="25" t="s">
        <v>988</v>
      </c>
      <c r="L463" s="27" t="s">
        <v>39</v>
      </c>
      <c r="M463" s="28" t="str">
        <f>_xlfn.XLOOKUP(F463,Department!$A$2:$A$6,Department!$B$2:$B$6)</f>
        <v>Marketing</v>
      </c>
      <c r="N463" s="30">
        <f>_xlfn.XLOOKUP(A463,Performance!$A$2:$A$501,Performance!$C$2:$C$501)</f>
        <v>2</v>
      </c>
      <c r="O463" s="28" cm="1">
        <f t="array" ref="O463">_xlfn.IFS(N463=5,I463*15%,N463=4,I463*10%,N463=3,I463*7%,N463&lt;3,I463*5%)</f>
        <v>3541.8</v>
      </c>
    </row>
    <row r="464" spans="1:15">
      <c r="A464" s="24" t="s">
        <v>989</v>
      </c>
      <c r="B464" s="25" t="s">
        <v>42</v>
      </c>
      <c r="C464" s="25" t="s">
        <v>93</v>
      </c>
      <c r="D464" s="25" t="s">
        <v>28</v>
      </c>
      <c r="E464" s="25">
        <v>49</v>
      </c>
      <c r="F464" s="25" t="s">
        <v>35</v>
      </c>
      <c r="G464" s="25" t="s">
        <v>36</v>
      </c>
      <c r="H464" s="26">
        <v>45474</v>
      </c>
      <c r="I464" s="25">
        <v>40805</v>
      </c>
      <c r="J464" s="25" t="s">
        <v>22</v>
      </c>
      <c r="K464" s="25" t="s">
        <v>990</v>
      </c>
      <c r="L464" s="27" t="s">
        <v>24</v>
      </c>
      <c r="M464" s="28" t="str">
        <f>_xlfn.XLOOKUP(F464,Department!$A$2:$A$6,Department!$B$2:$B$6)</f>
        <v>Sales</v>
      </c>
      <c r="N464" s="30">
        <f>_xlfn.XLOOKUP(A464,Performance!$A$2:$A$501,Performance!$C$2:$C$501)</f>
        <v>1</v>
      </c>
      <c r="O464" s="28" cm="1">
        <f t="array" ref="O464">_xlfn.IFS(N464=5,I464*15%,N464=4,I464*10%,N464=3,I464*7%,N464&lt;3,I464*5%)</f>
        <v>2040.25</v>
      </c>
    </row>
    <row r="465" spans="1:15">
      <c r="A465" s="24" t="s">
        <v>991</v>
      </c>
      <c r="B465" s="25" t="s">
        <v>48</v>
      </c>
      <c r="C465" s="25" t="s">
        <v>141</v>
      </c>
      <c r="D465" s="25" t="s">
        <v>28</v>
      </c>
      <c r="E465" s="25">
        <v>23</v>
      </c>
      <c r="F465" s="25" t="s">
        <v>20</v>
      </c>
      <c r="G465" s="25" t="s">
        <v>44</v>
      </c>
      <c r="H465" s="26">
        <v>44653</v>
      </c>
      <c r="I465" s="25">
        <v>117635</v>
      </c>
      <c r="J465" s="25" t="s">
        <v>37</v>
      </c>
      <c r="K465" s="25" t="s">
        <v>992</v>
      </c>
      <c r="L465" s="27" t="s">
        <v>24</v>
      </c>
      <c r="M465" s="28" t="str">
        <f>_xlfn.XLOOKUP(F465,Department!$A$2:$A$6,Department!$B$2:$B$6)</f>
        <v>HR</v>
      </c>
      <c r="N465" s="30">
        <f>_xlfn.XLOOKUP(A465,Performance!$A$2:$A$501,Performance!$C$2:$C$501)</f>
        <v>4</v>
      </c>
      <c r="O465" s="28" cm="1">
        <f t="array" ref="O465">_xlfn.IFS(N465=5,I465*15%,N465=4,I465*10%,N465=3,I465*7%,N465&lt;3,I465*5%)</f>
        <v>11763.5</v>
      </c>
    </row>
    <row r="466" spans="1:15">
      <c r="A466" s="24" t="s">
        <v>993</v>
      </c>
      <c r="B466" s="25" t="s">
        <v>17</v>
      </c>
      <c r="C466" s="25" t="s">
        <v>84</v>
      </c>
      <c r="D466" s="25" t="s">
        <v>28</v>
      </c>
      <c r="E466" s="25">
        <v>45</v>
      </c>
      <c r="F466" s="25" t="s">
        <v>54</v>
      </c>
      <c r="G466" s="25" t="s">
        <v>44</v>
      </c>
      <c r="H466" s="26">
        <v>43961</v>
      </c>
      <c r="I466" s="25">
        <v>100678</v>
      </c>
      <c r="J466" s="25" t="s">
        <v>22</v>
      </c>
      <c r="K466" s="25" t="s">
        <v>994</v>
      </c>
      <c r="L466" s="27" t="s">
        <v>39</v>
      </c>
      <c r="M466" s="28" t="str">
        <f>_xlfn.XLOOKUP(F466,Department!$A$2:$A$6,Department!$B$2:$B$6)</f>
        <v>Finance</v>
      </c>
      <c r="N466" s="30">
        <f>_xlfn.XLOOKUP(A466,Performance!$A$2:$A$501,Performance!$C$2:$C$501)</f>
        <v>3</v>
      </c>
      <c r="O466" s="28" cm="1">
        <f t="array" ref="O466">_xlfn.IFS(N466=5,I466*15%,N466=4,I466*10%,N466=3,I466*7%,N466&lt;3,I466*5%)</f>
        <v>7047.4600000000009</v>
      </c>
    </row>
    <row r="467" spans="1:15">
      <c r="A467" s="24" t="s">
        <v>995</v>
      </c>
      <c r="B467" s="25" t="s">
        <v>34</v>
      </c>
      <c r="C467" s="25" t="s">
        <v>93</v>
      </c>
      <c r="D467" s="25" t="s">
        <v>28</v>
      </c>
      <c r="E467" s="25">
        <v>39</v>
      </c>
      <c r="F467" s="25" t="s">
        <v>20</v>
      </c>
      <c r="G467" s="25" t="s">
        <v>102</v>
      </c>
      <c r="H467" s="26">
        <v>45014</v>
      </c>
      <c r="I467" s="25">
        <v>76443</v>
      </c>
      <c r="J467" s="25" t="s">
        <v>67</v>
      </c>
      <c r="K467" s="25" t="s">
        <v>996</v>
      </c>
      <c r="L467" s="27" t="s">
        <v>39</v>
      </c>
      <c r="M467" s="28" t="str">
        <f>_xlfn.XLOOKUP(F467,Department!$A$2:$A$6,Department!$B$2:$B$6)</f>
        <v>HR</v>
      </c>
      <c r="N467" s="30">
        <f>_xlfn.XLOOKUP(A467,Performance!$A$2:$A$501,Performance!$C$2:$C$501)</f>
        <v>1</v>
      </c>
      <c r="O467" s="28" cm="1">
        <f t="array" ref="O467">_xlfn.IFS(N467=5,I467*15%,N467=4,I467*10%,N467=3,I467*7%,N467&lt;3,I467*5%)</f>
        <v>3822.15</v>
      </c>
    </row>
    <row r="468" spans="1:15">
      <c r="A468" s="24" t="s">
        <v>997</v>
      </c>
      <c r="B468" s="25" t="s">
        <v>34</v>
      </c>
      <c r="C468" s="25" t="s">
        <v>89</v>
      </c>
      <c r="D468" s="25" t="s">
        <v>28</v>
      </c>
      <c r="E468" s="25">
        <v>44</v>
      </c>
      <c r="F468" s="25" t="s">
        <v>54</v>
      </c>
      <c r="G468" s="25" t="s">
        <v>30</v>
      </c>
      <c r="H468" s="26">
        <v>45135</v>
      </c>
      <c r="I468" s="25">
        <v>98210</v>
      </c>
      <c r="J468" s="25" t="s">
        <v>37</v>
      </c>
      <c r="K468" s="25" t="s">
        <v>998</v>
      </c>
      <c r="L468" s="27" t="s">
        <v>24</v>
      </c>
      <c r="M468" s="28" t="str">
        <f>_xlfn.XLOOKUP(F468,Department!$A$2:$A$6,Department!$B$2:$B$6)</f>
        <v>Finance</v>
      </c>
      <c r="N468" s="30">
        <f>_xlfn.XLOOKUP(A468,Performance!$A$2:$A$501,Performance!$C$2:$C$501)</f>
        <v>2</v>
      </c>
      <c r="O468" s="28" cm="1">
        <f t="array" ref="O468">_xlfn.IFS(N468=5,I468*15%,N468=4,I468*10%,N468=3,I468*7%,N468&lt;3,I468*5%)</f>
        <v>4910.5</v>
      </c>
    </row>
    <row r="469" spans="1:15">
      <c r="A469" s="24" t="s">
        <v>999</v>
      </c>
      <c r="B469" s="25" t="s">
        <v>34</v>
      </c>
      <c r="C469" s="25" t="s">
        <v>84</v>
      </c>
      <c r="D469" s="25" t="s">
        <v>28</v>
      </c>
      <c r="E469" s="25">
        <v>60</v>
      </c>
      <c r="F469" s="25" t="s">
        <v>20</v>
      </c>
      <c r="G469" s="25" t="s">
        <v>44</v>
      </c>
      <c r="H469" s="26">
        <v>44953</v>
      </c>
      <c r="I469" s="25">
        <v>83719</v>
      </c>
      <c r="J469" s="25" t="s">
        <v>37</v>
      </c>
      <c r="K469" s="25" t="s">
        <v>1000</v>
      </c>
      <c r="L469" s="27" t="s">
        <v>39</v>
      </c>
      <c r="M469" s="28" t="str">
        <f>_xlfn.XLOOKUP(F469,Department!$A$2:$A$6,Department!$B$2:$B$6)</f>
        <v>HR</v>
      </c>
      <c r="N469" s="30">
        <f>_xlfn.XLOOKUP(A469,Performance!$A$2:$A$501,Performance!$C$2:$C$501)</f>
        <v>2</v>
      </c>
      <c r="O469" s="28" cm="1">
        <f t="array" ref="O469">_xlfn.IFS(N469=5,I469*15%,N469=4,I469*10%,N469=3,I469*7%,N469&lt;3,I469*5%)</f>
        <v>4185.95</v>
      </c>
    </row>
    <row r="470" spans="1:15">
      <c r="A470" s="24" t="s">
        <v>1001</v>
      </c>
      <c r="B470" s="25" t="s">
        <v>53</v>
      </c>
      <c r="C470" s="25" t="s">
        <v>18</v>
      </c>
      <c r="D470" s="25" t="s">
        <v>28</v>
      </c>
      <c r="E470" s="25">
        <v>53</v>
      </c>
      <c r="F470" s="25" t="s">
        <v>29</v>
      </c>
      <c r="G470" s="25" t="s">
        <v>30</v>
      </c>
      <c r="H470" s="26">
        <v>45590</v>
      </c>
      <c r="I470" s="25">
        <v>50965</v>
      </c>
      <c r="J470" s="25" t="s">
        <v>62</v>
      </c>
      <c r="K470" s="25" t="s">
        <v>1002</v>
      </c>
      <c r="L470" s="27" t="s">
        <v>24</v>
      </c>
      <c r="M470" s="28" t="str">
        <f>_xlfn.XLOOKUP(F470,Department!$A$2:$A$6,Department!$B$2:$B$6)</f>
        <v>IT</v>
      </c>
      <c r="N470" s="30">
        <f>_xlfn.XLOOKUP(A470,Performance!$A$2:$A$501,Performance!$C$2:$C$501)</f>
        <v>4</v>
      </c>
      <c r="O470" s="28" cm="1">
        <f t="array" ref="O470">_xlfn.IFS(N470=5,I470*15%,N470=4,I470*10%,N470=3,I470*7%,N470&lt;3,I470*5%)</f>
        <v>5096.5</v>
      </c>
    </row>
    <row r="471" spans="1:15">
      <c r="A471" s="24" t="s">
        <v>1003</v>
      </c>
      <c r="B471" s="25" t="s">
        <v>92</v>
      </c>
      <c r="C471" s="25" t="s">
        <v>66</v>
      </c>
      <c r="D471" s="25" t="s">
        <v>28</v>
      </c>
      <c r="E471" s="25">
        <v>60</v>
      </c>
      <c r="F471" s="25" t="s">
        <v>54</v>
      </c>
      <c r="G471" s="25" t="s">
        <v>30</v>
      </c>
      <c r="H471" s="26">
        <v>43419</v>
      </c>
      <c r="I471" s="25">
        <v>113605</v>
      </c>
      <c r="J471" s="25" t="s">
        <v>62</v>
      </c>
      <c r="K471" s="25" t="s">
        <v>1004</v>
      </c>
      <c r="L471" s="27" t="s">
        <v>24</v>
      </c>
      <c r="M471" s="28" t="str">
        <f>_xlfn.XLOOKUP(F471,Department!$A$2:$A$6,Department!$B$2:$B$6)</f>
        <v>Finance</v>
      </c>
      <c r="N471" s="30">
        <f>_xlfn.XLOOKUP(A471,Performance!$A$2:$A$501,Performance!$C$2:$C$501)</f>
        <v>1</v>
      </c>
      <c r="O471" s="28" cm="1">
        <f t="array" ref="O471">_xlfn.IFS(N471=5,I471*15%,N471=4,I471*10%,N471=3,I471*7%,N471&lt;3,I471*5%)</f>
        <v>5680.25</v>
      </c>
    </row>
    <row r="472" spans="1:15">
      <c r="A472" s="24" t="s">
        <v>1005</v>
      </c>
      <c r="B472" s="25" t="s">
        <v>61</v>
      </c>
      <c r="C472" s="25" t="s">
        <v>80</v>
      </c>
      <c r="D472" s="25" t="s">
        <v>19</v>
      </c>
      <c r="E472" s="25">
        <v>57</v>
      </c>
      <c r="F472" s="25" t="s">
        <v>43</v>
      </c>
      <c r="G472" s="25" t="s">
        <v>44</v>
      </c>
      <c r="H472" s="26">
        <v>44968</v>
      </c>
      <c r="I472" s="25">
        <v>80135</v>
      </c>
      <c r="J472" s="25" t="s">
        <v>37</v>
      </c>
      <c r="K472" s="25" t="s">
        <v>1006</v>
      </c>
      <c r="L472" s="27" t="s">
        <v>24</v>
      </c>
      <c r="M472" s="28" t="str">
        <f>_xlfn.XLOOKUP(F472,Department!$A$2:$A$6,Department!$B$2:$B$6)</f>
        <v>Marketing</v>
      </c>
      <c r="N472" s="30">
        <f>_xlfn.XLOOKUP(A472,Performance!$A$2:$A$501,Performance!$C$2:$C$501)</f>
        <v>4</v>
      </c>
      <c r="O472" s="28" cm="1">
        <f t="array" ref="O472">_xlfn.IFS(N472=5,I472*15%,N472=4,I472*10%,N472=3,I472*7%,N472&lt;3,I472*5%)</f>
        <v>8013.5</v>
      </c>
    </row>
    <row r="473" spans="1:15">
      <c r="A473" s="24" t="s">
        <v>1007</v>
      </c>
      <c r="B473" s="25" t="s">
        <v>74</v>
      </c>
      <c r="C473" s="25" t="s">
        <v>27</v>
      </c>
      <c r="D473" s="25" t="s">
        <v>28</v>
      </c>
      <c r="E473" s="25">
        <v>53</v>
      </c>
      <c r="F473" s="25" t="s">
        <v>54</v>
      </c>
      <c r="G473" s="25" t="s">
        <v>102</v>
      </c>
      <c r="H473" s="26">
        <v>43252</v>
      </c>
      <c r="I473" s="25">
        <v>56690</v>
      </c>
      <c r="J473" s="25" t="s">
        <v>62</v>
      </c>
      <c r="K473" s="25" t="s">
        <v>1008</v>
      </c>
      <c r="L473" s="27" t="s">
        <v>24</v>
      </c>
      <c r="M473" s="28" t="str">
        <f>_xlfn.XLOOKUP(F473,Department!$A$2:$A$6,Department!$B$2:$B$6)</f>
        <v>Finance</v>
      </c>
      <c r="N473" s="30">
        <f>_xlfn.XLOOKUP(A473,Performance!$A$2:$A$501,Performance!$C$2:$C$501)</f>
        <v>4</v>
      </c>
      <c r="O473" s="28" cm="1">
        <f t="array" ref="O473">_xlfn.IFS(N473=5,I473*15%,N473=4,I473*10%,N473=3,I473*7%,N473&lt;3,I473*5%)</f>
        <v>5669</v>
      </c>
    </row>
    <row r="474" spans="1:15">
      <c r="A474" s="24" t="s">
        <v>1009</v>
      </c>
      <c r="B474" s="25" t="s">
        <v>53</v>
      </c>
      <c r="C474" s="25" t="s">
        <v>49</v>
      </c>
      <c r="D474" s="25" t="s">
        <v>28</v>
      </c>
      <c r="E474" s="25">
        <v>30</v>
      </c>
      <c r="F474" s="25" t="s">
        <v>54</v>
      </c>
      <c r="G474" s="25" t="s">
        <v>36</v>
      </c>
      <c r="H474" s="26">
        <v>43697</v>
      </c>
      <c r="I474" s="25">
        <v>40070</v>
      </c>
      <c r="J474" s="25" t="s">
        <v>81</v>
      </c>
      <c r="K474" s="25" t="s">
        <v>1010</v>
      </c>
      <c r="L474" s="27" t="s">
        <v>24</v>
      </c>
      <c r="M474" s="28" t="str">
        <f>_xlfn.XLOOKUP(F474,Department!$A$2:$A$6,Department!$B$2:$B$6)</f>
        <v>Finance</v>
      </c>
      <c r="N474" s="30">
        <f>_xlfn.XLOOKUP(A474,Performance!$A$2:$A$501,Performance!$C$2:$C$501)</f>
        <v>5</v>
      </c>
      <c r="O474" s="28" cm="1">
        <f t="array" ref="O474">_xlfn.IFS(N474=5,I474*15%,N474=4,I474*10%,N474=3,I474*7%,N474&lt;3,I474*5%)</f>
        <v>6010.5</v>
      </c>
    </row>
    <row r="475" spans="1:15">
      <c r="A475" s="24" t="s">
        <v>1011</v>
      </c>
      <c r="B475" s="25" t="s">
        <v>34</v>
      </c>
      <c r="C475" s="25" t="s">
        <v>141</v>
      </c>
      <c r="D475" s="25" t="s">
        <v>28</v>
      </c>
      <c r="E475" s="25">
        <v>57</v>
      </c>
      <c r="F475" s="25" t="s">
        <v>20</v>
      </c>
      <c r="G475" s="25" t="s">
        <v>44</v>
      </c>
      <c r="H475" s="26">
        <v>43864</v>
      </c>
      <c r="I475" s="25">
        <v>83252</v>
      </c>
      <c r="J475" s="25" t="s">
        <v>62</v>
      </c>
      <c r="K475" s="25" t="s">
        <v>1012</v>
      </c>
      <c r="L475" s="27" t="s">
        <v>24</v>
      </c>
      <c r="M475" s="28" t="str">
        <f>_xlfn.XLOOKUP(F475,Department!$A$2:$A$6,Department!$B$2:$B$6)</f>
        <v>HR</v>
      </c>
      <c r="N475" s="30">
        <f>_xlfn.XLOOKUP(A475,Performance!$A$2:$A$501,Performance!$C$2:$C$501)</f>
        <v>4</v>
      </c>
      <c r="O475" s="28" cm="1">
        <f t="array" ref="O475">_xlfn.IFS(N475=5,I475*15%,N475=4,I475*10%,N475=3,I475*7%,N475&lt;3,I475*5%)</f>
        <v>8325.2000000000007</v>
      </c>
    </row>
    <row r="476" spans="1:15">
      <c r="A476" s="24" t="s">
        <v>1013</v>
      </c>
      <c r="B476" s="25" t="s">
        <v>74</v>
      </c>
      <c r="C476" s="25" t="s">
        <v>89</v>
      </c>
      <c r="D476" s="25" t="s">
        <v>28</v>
      </c>
      <c r="E476" s="25">
        <v>48</v>
      </c>
      <c r="F476" s="25" t="s">
        <v>35</v>
      </c>
      <c r="G476" s="25" t="s">
        <v>44</v>
      </c>
      <c r="H476" s="26">
        <v>43122</v>
      </c>
      <c r="I476" s="25">
        <v>66939</v>
      </c>
      <c r="J476" s="25" t="s">
        <v>22</v>
      </c>
      <c r="K476" s="25" t="s">
        <v>1014</v>
      </c>
      <c r="L476" s="27" t="s">
        <v>39</v>
      </c>
      <c r="M476" s="28" t="str">
        <f>_xlfn.XLOOKUP(F476,Department!$A$2:$A$6,Department!$B$2:$B$6)</f>
        <v>Sales</v>
      </c>
      <c r="N476" s="30">
        <f>_xlfn.XLOOKUP(A476,Performance!$A$2:$A$501,Performance!$C$2:$C$501)</f>
        <v>4</v>
      </c>
      <c r="O476" s="28" cm="1">
        <f t="array" ref="O476">_xlfn.IFS(N476=5,I476*15%,N476=4,I476*10%,N476=3,I476*7%,N476&lt;3,I476*5%)</f>
        <v>6693.9000000000005</v>
      </c>
    </row>
    <row r="477" spans="1:15">
      <c r="A477" s="24" t="s">
        <v>1015</v>
      </c>
      <c r="B477" s="25" t="s">
        <v>17</v>
      </c>
      <c r="C477" s="25" t="s">
        <v>89</v>
      </c>
      <c r="D477" s="25" t="s">
        <v>28</v>
      </c>
      <c r="E477" s="25">
        <v>58</v>
      </c>
      <c r="F477" s="25" t="s">
        <v>35</v>
      </c>
      <c r="G477" s="25" t="s">
        <v>21</v>
      </c>
      <c r="H477" s="26">
        <v>43218</v>
      </c>
      <c r="I477" s="25">
        <v>51367</v>
      </c>
      <c r="J477" s="25" t="s">
        <v>67</v>
      </c>
      <c r="K477" s="25" t="s">
        <v>1016</v>
      </c>
      <c r="L477" s="27" t="s">
        <v>24</v>
      </c>
      <c r="M477" s="28" t="str">
        <f>_xlfn.XLOOKUP(F477,Department!$A$2:$A$6,Department!$B$2:$B$6)</f>
        <v>Sales</v>
      </c>
      <c r="N477" s="30">
        <f>_xlfn.XLOOKUP(A477,Performance!$A$2:$A$501,Performance!$C$2:$C$501)</f>
        <v>5</v>
      </c>
      <c r="O477" s="28" cm="1">
        <f t="array" ref="O477">_xlfn.IFS(N477=5,I477*15%,N477=4,I477*10%,N477=3,I477*7%,N477&lt;3,I477*5%)</f>
        <v>7705.0499999999993</v>
      </c>
    </row>
    <row r="478" spans="1:15">
      <c r="A478" s="24" t="s">
        <v>1017</v>
      </c>
      <c r="B478" s="25" t="s">
        <v>126</v>
      </c>
      <c r="C478" s="25" t="s">
        <v>93</v>
      </c>
      <c r="D478" s="25" t="s">
        <v>19</v>
      </c>
      <c r="E478" s="25">
        <v>60</v>
      </c>
      <c r="F478" s="25" t="s">
        <v>35</v>
      </c>
      <c r="G478" s="25" t="s">
        <v>21</v>
      </c>
      <c r="H478" s="26">
        <v>43757</v>
      </c>
      <c r="I478" s="25">
        <v>94212</v>
      </c>
      <c r="J478" s="25" t="s">
        <v>37</v>
      </c>
      <c r="K478" s="25" t="s">
        <v>1018</v>
      </c>
      <c r="L478" s="27" t="s">
        <v>24</v>
      </c>
      <c r="M478" s="28" t="str">
        <f>_xlfn.XLOOKUP(F478,Department!$A$2:$A$6,Department!$B$2:$B$6)</f>
        <v>Sales</v>
      </c>
      <c r="N478" s="30">
        <f>_xlfn.XLOOKUP(A478,Performance!$A$2:$A$501,Performance!$C$2:$C$501)</f>
        <v>3</v>
      </c>
      <c r="O478" s="28" cm="1">
        <f t="array" ref="O478">_xlfn.IFS(N478=5,I478*15%,N478=4,I478*10%,N478=3,I478*7%,N478&lt;3,I478*5%)</f>
        <v>6594.8400000000011</v>
      </c>
    </row>
    <row r="479" spans="1:15">
      <c r="A479" s="24" t="s">
        <v>1019</v>
      </c>
      <c r="B479" s="25" t="s">
        <v>48</v>
      </c>
      <c r="C479" s="25" t="s">
        <v>117</v>
      </c>
      <c r="D479" s="25" t="s">
        <v>28</v>
      </c>
      <c r="E479" s="25">
        <v>44</v>
      </c>
      <c r="F479" s="25" t="s">
        <v>54</v>
      </c>
      <c r="G479" s="25" t="s">
        <v>44</v>
      </c>
      <c r="H479" s="26">
        <v>43531</v>
      </c>
      <c r="I479" s="25">
        <v>47411</v>
      </c>
      <c r="J479" s="25" t="s">
        <v>62</v>
      </c>
      <c r="K479" s="25" t="s">
        <v>1020</v>
      </c>
      <c r="L479" s="27" t="s">
        <v>39</v>
      </c>
      <c r="M479" s="28" t="str">
        <f>_xlfn.XLOOKUP(F479,Department!$A$2:$A$6,Department!$B$2:$B$6)</f>
        <v>Finance</v>
      </c>
      <c r="N479" s="30">
        <f>_xlfn.XLOOKUP(A479,Performance!$A$2:$A$501,Performance!$C$2:$C$501)</f>
        <v>3</v>
      </c>
      <c r="O479" s="28" cm="1">
        <f t="array" ref="O479">_xlfn.IFS(N479=5,I479*15%,N479=4,I479*10%,N479=3,I479*7%,N479&lt;3,I479*5%)</f>
        <v>3318.7700000000004</v>
      </c>
    </row>
    <row r="480" spans="1:15">
      <c r="A480" s="24" t="s">
        <v>1021</v>
      </c>
      <c r="B480" s="25" t="s">
        <v>58</v>
      </c>
      <c r="C480" s="25" t="s">
        <v>27</v>
      </c>
      <c r="D480" s="25" t="s">
        <v>19</v>
      </c>
      <c r="E480" s="25">
        <v>49</v>
      </c>
      <c r="F480" s="25" t="s">
        <v>35</v>
      </c>
      <c r="G480" s="25" t="s">
        <v>30</v>
      </c>
      <c r="H480" s="26">
        <v>45296</v>
      </c>
      <c r="I480" s="25">
        <v>67896</v>
      </c>
      <c r="J480" s="25" t="s">
        <v>37</v>
      </c>
      <c r="K480" s="25" t="s">
        <v>1022</v>
      </c>
      <c r="L480" s="27" t="s">
        <v>39</v>
      </c>
      <c r="M480" s="28" t="str">
        <f>_xlfn.XLOOKUP(F480,Department!$A$2:$A$6,Department!$B$2:$B$6)</f>
        <v>Sales</v>
      </c>
      <c r="N480" s="30">
        <f>_xlfn.XLOOKUP(A480,Performance!$A$2:$A$501,Performance!$C$2:$C$501)</f>
        <v>3</v>
      </c>
      <c r="O480" s="28" cm="1">
        <f t="array" ref="O480">_xlfn.IFS(N480=5,I480*15%,N480=4,I480*10%,N480=3,I480*7%,N480&lt;3,I480*5%)</f>
        <v>4752.72</v>
      </c>
    </row>
    <row r="481" spans="1:15">
      <c r="A481" s="24" t="s">
        <v>1023</v>
      </c>
      <c r="B481" s="25" t="s">
        <v>53</v>
      </c>
      <c r="C481" s="25" t="s">
        <v>141</v>
      </c>
      <c r="D481" s="25" t="s">
        <v>28</v>
      </c>
      <c r="E481" s="25">
        <v>58</v>
      </c>
      <c r="F481" s="25" t="s">
        <v>43</v>
      </c>
      <c r="G481" s="25" t="s">
        <v>44</v>
      </c>
      <c r="H481" s="26">
        <v>44963</v>
      </c>
      <c r="I481" s="25">
        <v>81285</v>
      </c>
      <c r="J481" s="25" t="s">
        <v>37</v>
      </c>
      <c r="K481" s="25" t="s">
        <v>1024</v>
      </c>
      <c r="L481" s="27" t="s">
        <v>24</v>
      </c>
      <c r="M481" s="28" t="str">
        <f>_xlfn.XLOOKUP(F481,Department!$A$2:$A$6,Department!$B$2:$B$6)</f>
        <v>Marketing</v>
      </c>
      <c r="N481" s="30">
        <f>_xlfn.XLOOKUP(A481,Performance!$A$2:$A$501,Performance!$C$2:$C$501)</f>
        <v>2</v>
      </c>
      <c r="O481" s="28" cm="1">
        <f t="array" ref="O481">_xlfn.IFS(N481=5,I481*15%,N481=4,I481*10%,N481=3,I481*7%,N481&lt;3,I481*5%)</f>
        <v>4064.25</v>
      </c>
    </row>
    <row r="482" spans="1:15">
      <c r="A482" s="24" t="s">
        <v>1025</v>
      </c>
      <c r="B482" s="25" t="s">
        <v>53</v>
      </c>
      <c r="C482" s="25" t="s">
        <v>66</v>
      </c>
      <c r="D482" s="25" t="s">
        <v>19</v>
      </c>
      <c r="E482" s="25">
        <v>53</v>
      </c>
      <c r="F482" s="25" t="s">
        <v>43</v>
      </c>
      <c r="G482" s="25" t="s">
        <v>102</v>
      </c>
      <c r="H482" s="26">
        <v>44817</v>
      </c>
      <c r="I482" s="25">
        <v>100041</v>
      </c>
      <c r="J482" s="25" t="s">
        <v>22</v>
      </c>
      <c r="K482" s="25" t="s">
        <v>1026</v>
      </c>
      <c r="L482" s="27" t="s">
        <v>24</v>
      </c>
      <c r="M482" s="28" t="str">
        <f>_xlfn.XLOOKUP(F482,Department!$A$2:$A$6,Department!$B$2:$B$6)</f>
        <v>Marketing</v>
      </c>
      <c r="N482" s="30">
        <f>_xlfn.XLOOKUP(A482,Performance!$A$2:$A$501,Performance!$C$2:$C$501)</f>
        <v>5</v>
      </c>
      <c r="O482" s="28" cm="1">
        <f t="array" ref="O482">_xlfn.IFS(N482=5,I482*15%,N482=4,I482*10%,N482=3,I482*7%,N482&lt;3,I482*5%)</f>
        <v>15006.15</v>
      </c>
    </row>
    <row r="483" spans="1:15">
      <c r="A483" s="24" t="s">
        <v>1027</v>
      </c>
      <c r="B483" s="25" t="s">
        <v>17</v>
      </c>
      <c r="C483" s="25" t="s">
        <v>84</v>
      </c>
      <c r="D483" s="25" t="s">
        <v>28</v>
      </c>
      <c r="E483" s="25">
        <v>48</v>
      </c>
      <c r="F483" s="25" t="s">
        <v>43</v>
      </c>
      <c r="G483" s="25" t="s">
        <v>102</v>
      </c>
      <c r="H483" s="26">
        <v>44503</v>
      </c>
      <c r="I483" s="25">
        <v>88033</v>
      </c>
      <c r="J483" s="25" t="s">
        <v>81</v>
      </c>
      <c r="K483" s="25" t="s">
        <v>1028</v>
      </c>
      <c r="L483" s="27" t="s">
        <v>24</v>
      </c>
      <c r="M483" s="28" t="str">
        <f>_xlfn.XLOOKUP(F483,Department!$A$2:$A$6,Department!$B$2:$B$6)</f>
        <v>Marketing</v>
      </c>
      <c r="N483" s="30">
        <f>_xlfn.XLOOKUP(A483,Performance!$A$2:$A$501,Performance!$C$2:$C$501)</f>
        <v>3</v>
      </c>
      <c r="O483" s="28" cm="1">
        <f t="array" ref="O483">_xlfn.IFS(N483=5,I483*15%,N483=4,I483*10%,N483=3,I483*7%,N483&lt;3,I483*5%)</f>
        <v>6162.31</v>
      </c>
    </row>
    <row r="484" spans="1:15">
      <c r="A484" s="24" t="s">
        <v>1029</v>
      </c>
      <c r="B484" s="25" t="s">
        <v>42</v>
      </c>
      <c r="C484" s="25" t="s">
        <v>49</v>
      </c>
      <c r="D484" s="25" t="s">
        <v>19</v>
      </c>
      <c r="E484" s="25">
        <v>40</v>
      </c>
      <c r="F484" s="25" t="s">
        <v>35</v>
      </c>
      <c r="G484" s="25" t="s">
        <v>102</v>
      </c>
      <c r="H484" s="26">
        <v>44196</v>
      </c>
      <c r="I484" s="25">
        <v>71291</v>
      </c>
      <c r="J484" s="25" t="s">
        <v>37</v>
      </c>
      <c r="K484" s="25" t="s">
        <v>1030</v>
      </c>
      <c r="L484" s="27" t="s">
        <v>39</v>
      </c>
      <c r="M484" s="31" t="str">
        <f>_xlfn.XLOOKUP(F484,Department!$A$2:$A$6,Department!$B$2:$B$6)</f>
        <v>Sales</v>
      </c>
      <c r="N484" s="30">
        <f>_xlfn.XLOOKUP(A484,Performance!$A$2:$A$501,Performance!$C$2:$C$501)</f>
        <v>3</v>
      </c>
      <c r="O484" s="28" cm="1">
        <f t="array" ref="O484">_xlfn.IFS(N484=5,I484*15%,N484=4,I484*10%,N484=3,I484*7%,N484&lt;3,I484*5%)</f>
        <v>4990.3700000000008</v>
      </c>
    </row>
    <row r="485" spans="1:15">
      <c r="A485" s="24" t="s">
        <v>1031</v>
      </c>
      <c r="B485" s="25" t="s">
        <v>126</v>
      </c>
      <c r="C485" s="25" t="s">
        <v>49</v>
      </c>
      <c r="D485" s="25" t="s">
        <v>19</v>
      </c>
      <c r="E485" s="25">
        <v>27</v>
      </c>
      <c r="F485" s="25" t="s">
        <v>29</v>
      </c>
      <c r="G485" s="25" t="s">
        <v>44</v>
      </c>
      <c r="H485" s="26">
        <v>45594</v>
      </c>
      <c r="I485" s="25">
        <v>48563</v>
      </c>
      <c r="J485" s="25" t="s">
        <v>37</v>
      </c>
      <c r="K485" s="25" t="s">
        <v>1032</v>
      </c>
      <c r="L485" s="27" t="s">
        <v>39</v>
      </c>
      <c r="M485" s="28" t="str">
        <f>_xlfn.XLOOKUP(F485,Department!$A$2:$A$6,Department!$B$2:$B$6)</f>
        <v>IT</v>
      </c>
      <c r="N485" s="30">
        <f>_xlfn.XLOOKUP(A485,Performance!$A$2:$A$501,Performance!$C$2:$C$501)</f>
        <v>2</v>
      </c>
      <c r="O485" s="28" cm="1">
        <f t="array" ref="O485">_xlfn.IFS(N485=5,I485*15%,N485=4,I485*10%,N485=3,I485*7%,N485&lt;3,I485*5%)</f>
        <v>2428.15</v>
      </c>
    </row>
    <row r="486" spans="1:15">
      <c r="A486" s="24" t="s">
        <v>1033</v>
      </c>
      <c r="B486" s="25" t="s">
        <v>61</v>
      </c>
      <c r="C486" s="25" t="s">
        <v>49</v>
      </c>
      <c r="D486" s="25" t="s">
        <v>28</v>
      </c>
      <c r="E486" s="25">
        <v>37</v>
      </c>
      <c r="F486" s="25" t="s">
        <v>29</v>
      </c>
      <c r="G486" s="25" t="s">
        <v>36</v>
      </c>
      <c r="H486" s="26">
        <v>44406</v>
      </c>
      <c r="I486" s="25">
        <v>71454</v>
      </c>
      <c r="J486" s="25" t="s">
        <v>22</v>
      </c>
      <c r="K486" s="25" t="s">
        <v>1034</v>
      </c>
      <c r="L486" s="27" t="s">
        <v>24</v>
      </c>
      <c r="M486" s="28" t="str">
        <f>_xlfn.XLOOKUP(F486,Department!$A$2:$A$6,Department!$B$2:$B$6)</f>
        <v>IT</v>
      </c>
      <c r="N486" s="30">
        <f>_xlfn.XLOOKUP(A486,Performance!$A$2:$A$501,Performance!$C$2:$C$501)</f>
        <v>4</v>
      </c>
      <c r="O486" s="28" cm="1">
        <f t="array" ref="O486">_xlfn.IFS(N486=5,I486*15%,N486=4,I486*10%,N486=3,I486*7%,N486&lt;3,I486*5%)</f>
        <v>7145.4000000000005</v>
      </c>
    </row>
    <row r="487" spans="1:15">
      <c r="A487" s="24" t="s">
        <v>1035</v>
      </c>
      <c r="B487" s="25" t="s">
        <v>92</v>
      </c>
      <c r="C487" s="25" t="s">
        <v>66</v>
      </c>
      <c r="D487" s="25" t="s">
        <v>28</v>
      </c>
      <c r="E487" s="25">
        <v>39</v>
      </c>
      <c r="F487" s="25" t="s">
        <v>29</v>
      </c>
      <c r="G487" s="25" t="s">
        <v>36</v>
      </c>
      <c r="H487" s="26">
        <v>44740</v>
      </c>
      <c r="I487" s="25">
        <v>44271</v>
      </c>
      <c r="J487" s="25" t="s">
        <v>37</v>
      </c>
      <c r="K487" s="25" t="s">
        <v>1036</v>
      </c>
      <c r="L487" s="27" t="s">
        <v>39</v>
      </c>
      <c r="M487" s="28" t="str">
        <f>_xlfn.XLOOKUP(F487,Department!$A$2:$A$6,Department!$B$2:$B$6)</f>
        <v>IT</v>
      </c>
      <c r="N487" s="30">
        <f>_xlfn.XLOOKUP(A487,Performance!$A$2:$A$501,Performance!$C$2:$C$501)</f>
        <v>4</v>
      </c>
      <c r="O487" s="28" cm="1">
        <f t="array" ref="O487">_xlfn.IFS(N487=5,I487*15%,N487=4,I487*10%,N487=3,I487*7%,N487&lt;3,I487*5%)</f>
        <v>4427.1000000000004</v>
      </c>
    </row>
    <row r="488" spans="1:15">
      <c r="A488" s="24" t="s">
        <v>1037</v>
      </c>
      <c r="B488" s="25" t="s">
        <v>42</v>
      </c>
      <c r="C488" s="25" t="s">
        <v>18</v>
      </c>
      <c r="D488" s="25" t="s">
        <v>19</v>
      </c>
      <c r="E488" s="25">
        <v>56</v>
      </c>
      <c r="F488" s="25" t="s">
        <v>20</v>
      </c>
      <c r="G488" s="25" t="s">
        <v>21</v>
      </c>
      <c r="H488" s="26">
        <v>43378</v>
      </c>
      <c r="I488" s="25">
        <v>93401</v>
      </c>
      <c r="J488" s="25" t="s">
        <v>67</v>
      </c>
      <c r="K488" s="25" t="s">
        <v>1038</v>
      </c>
      <c r="L488" s="27" t="s">
        <v>24</v>
      </c>
      <c r="M488" s="28" t="str">
        <f>_xlfn.XLOOKUP(F488,Department!$A$2:$A$6,Department!$B$2:$B$6)</f>
        <v>HR</v>
      </c>
      <c r="N488" s="30">
        <f>_xlfn.XLOOKUP(A488,Performance!$A$2:$A$501,Performance!$C$2:$C$501)</f>
        <v>2</v>
      </c>
      <c r="O488" s="28" cm="1">
        <f t="array" ref="O488">_xlfn.IFS(N488=5,I488*15%,N488=4,I488*10%,N488=3,I488*7%,N488&lt;3,I488*5%)</f>
        <v>4670.05</v>
      </c>
    </row>
    <row r="489" spans="1:15">
      <c r="A489" s="24" t="s">
        <v>1039</v>
      </c>
      <c r="B489" s="25" t="s">
        <v>74</v>
      </c>
      <c r="C489" s="25" t="s">
        <v>66</v>
      </c>
      <c r="D489" s="25" t="s">
        <v>28</v>
      </c>
      <c r="E489" s="25">
        <v>22</v>
      </c>
      <c r="F489" s="25" t="s">
        <v>29</v>
      </c>
      <c r="G489" s="25" t="s">
        <v>36</v>
      </c>
      <c r="H489" s="26">
        <v>44031</v>
      </c>
      <c r="I489" s="25">
        <v>56106</v>
      </c>
      <c r="J489" s="25" t="s">
        <v>22</v>
      </c>
      <c r="K489" s="25" t="s">
        <v>1040</v>
      </c>
      <c r="L489" s="27" t="s">
        <v>39</v>
      </c>
      <c r="M489" s="28" t="str">
        <f>_xlfn.XLOOKUP(F489,Department!$A$2:$A$6,Department!$B$2:$B$6)</f>
        <v>IT</v>
      </c>
      <c r="N489" s="30">
        <f>_xlfn.XLOOKUP(A489,Performance!$A$2:$A$501,Performance!$C$2:$C$501)</f>
        <v>1</v>
      </c>
      <c r="O489" s="28" cm="1">
        <f t="array" ref="O489">_xlfn.IFS(N489=5,I489*15%,N489=4,I489*10%,N489=3,I489*7%,N489&lt;3,I489*5%)</f>
        <v>2805.3</v>
      </c>
    </row>
    <row r="490" spans="1:15">
      <c r="A490" s="24" t="s">
        <v>1041</v>
      </c>
      <c r="B490" s="25" t="s">
        <v>92</v>
      </c>
      <c r="C490" s="25" t="s">
        <v>93</v>
      </c>
      <c r="D490" s="25" t="s">
        <v>19</v>
      </c>
      <c r="E490" s="25">
        <v>38</v>
      </c>
      <c r="F490" s="25" t="s">
        <v>43</v>
      </c>
      <c r="G490" s="25" t="s">
        <v>36</v>
      </c>
      <c r="H490" s="26">
        <v>44598</v>
      </c>
      <c r="I490" s="25">
        <v>106273</v>
      </c>
      <c r="J490" s="25" t="s">
        <v>22</v>
      </c>
      <c r="K490" s="25" t="s">
        <v>1042</v>
      </c>
      <c r="L490" s="27" t="s">
        <v>39</v>
      </c>
      <c r="M490" s="28" t="str">
        <f>_xlfn.XLOOKUP(F490,Department!$A$2:$A$6,Department!$B$2:$B$6)</f>
        <v>Marketing</v>
      </c>
      <c r="N490" s="30">
        <f>_xlfn.XLOOKUP(A490,Performance!$A$2:$A$501,Performance!$C$2:$C$501)</f>
        <v>5</v>
      </c>
      <c r="O490" s="28" cm="1">
        <f t="array" ref="O490">_xlfn.IFS(N490=5,I490*15%,N490=4,I490*10%,N490=3,I490*7%,N490&lt;3,I490*5%)</f>
        <v>15940.949999999999</v>
      </c>
    </row>
    <row r="491" spans="1:15">
      <c r="A491" s="24" t="s">
        <v>1043</v>
      </c>
      <c r="B491" s="25" t="s">
        <v>74</v>
      </c>
      <c r="C491" s="25" t="s">
        <v>117</v>
      </c>
      <c r="D491" s="25" t="s">
        <v>28</v>
      </c>
      <c r="E491" s="25">
        <v>45</v>
      </c>
      <c r="F491" s="25" t="s">
        <v>54</v>
      </c>
      <c r="G491" s="25" t="s">
        <v>44</v>
      </c>
      <c r="H491" s="26">
        <v>43545</v>
      </c>
      <c r="I491" s="25">
        <v>105710</v>
      </c>
      <c r="J491" s="25" t="s">
        <v>81</v>
      </c>
      <c r="K491" s="25" t="s">
        <v>1044</v>
      </c>
      <c r="L491" s="27" t="s">
        <v>24</v>
      </c>
      <c r="M491" s="28" t="str">
        <f>_xlfn.XLOOKUP(F491,Department!$A$2:$A$6,Department!$B$2:$B$6)</f>
        <v>Finance</v>
      </c>
      <c r="N491" s="30">
        <f>_xlfn.XLOOKUP(A491,Performance!$A$2:$A$501,Performance!$C$2:$C$501)</f>
        <v>2</v>
      </c>
      <c r="O491" s="28" cm="1">
        <f t="array" ref="O491">_xlfn.IFS(N491=5,I491*15%,N491=4,I491*10%,N491=3,I491*7%,N491&lt;3,I491*5%)</f>
        <v>5285.5</v>
      </c>
    </row>
    <row r="492" spans="1:15">
      <c r="A492" s="24" t="s">
        <v>1045</v>
      </c>
      <c r="B492" s="25" t="s">
        <v>126</v>
      </c>
      <c r="C492" s="25" t="s">
        <v>18</v>
      </c>
      <c r="D492" s="25" t="s">
        <v>19</v>
      </c>
      <c r="E492" s="25">
        <v>46</v>
      </c>
      <c r="F492" s="25" t="s">
        <v>54</v>
      </c>
      <c r="G492" s="25" t="s">
        <v>102</v>
      </c>
      <c r="H492" s="26">
        <v>45156</v>
      </c>
      <c r="I492" s="25">
        <v>68751</v>
      </c>
      <c r="J492" s="25" t="s">
        <v>22</v>
      </c>
      <c r="K492" s="25" t="s">
        <v>1046</v>
      </c>
      <c r="L492" s="27" t="s">
        <v>24</v>
      </c>
      <c r="M492" s="28" t="str">
        <f>_xlfn.XLOOKUP(F492,Department!$A$2:$A$6,Department!$B$2:$B$6)</f>
        <v>Finance</v>
      </c>
      <c r="N492" s="30">
        <f>_xlfn.XLOOKUP(A492,Performance!$A$2:$A$501,Performance!$C$2:$C$501)</f>
        <v>4</v>
      </c>
      <c r="O492" s="28" cm="1">
        <f t="array" ref="O492">_xlfn.IFS(N492=5,I492*15%,N492=4,I492*10%,N492=3,I492*7%,N492&lt;3,I492*5%)</f>
        <v>6875.1</v>
      </c>
    </row>
    <row r="493" spans="1:15">
      <c r="A493" s="24" t="s">
        <v>1047</v>
      </c>
      <c r="B493" s="25" t="s">
        <v>42</v>
      </c>
      <c r="C493" s="25" t="s">
        <v>49</v>
      </c>
      <c r="D493" s="25" t="s">
        <v>19</v>
      </c>
      <c r="E493" s="25">
        <v>33</v>
      </c>
      <c r="F493" s="25" t="s">
        <v>20</v>
      </c>
      <c r="G493" s="25" t="s">
        <v>30</v>
      </c>
      <c r="H493" s="26">
        <v>43544</v>
      </c>
      <c r="I493" s="25">
        <v>63873</v>
      </c>
      <c r="J493" s="25" t="s">
        <v>67</v>
      </c>
      <c r="K493" s="25" t="s">
        <v>1048</v>
      </c>
      <c r="L493" s="27" t="s">
        <v>24</v>
      </c>
      <c r="M493" s="28" t="str">
        <f>_xlfn.XLOOKUP(F493,Department!$A$2:$A$6,Department!$B$2:$B$6)</f>
        <v>HR</v>
      </c>
      <c r="N493" s="30">
        <f>_xlfn.XLOOKUP(A493,Performance!$A$2:$A$501,Performance!$C$2:$C$501)</f>
        <v>5</v>
      </c>
      <c r="O493" s="28" cm="1">
        <f t="array" ref="O493">_xlfn.IFS(N493=5,I493*15%,N493=4,I493*10%,N493=3,I493*7%,N493&lt;3,I493*5%)</f>
        <v>9580.9499999999989</v>
      </c>
    </row>
    <row r="494" spans="1:15">
      <c r="A494" s="24" t="s">
        <v>1049</v>
      </c>
      <c r="B494" s="25" t="s">
        <v>53</v>
      </c>
      <c r="C494" s="25" t="s">
        <v>49</v>
      </c>
      <c r="D494" s="25" t="s">
        <v>28</v>
      </c>
      <c r="E494" s="25">
        <v>39</v>
      </c>
      <c r="F494" s="25" t="s">
        <v>54</v>
      </c>
      <c r="G494" s="25" t="s">
        <v>44</v>
      </c>
      <c r="H494" s="26">
        <v>44850</v>
      </c>
      <c r="I494" s="25">
        <v>117465</v>
      </c>
      <c r="J494" s="25" t="s">
        <v>37</v>
      </c>
      <c r="K494" s="25" t="s">
        <v>1050</v>
      </c>
      <c r="L494" s="27" t="s">
        <v>39</v>
      </c>
      <c r="M494" s="28" t="str">
        <f>_xlfn.XLOOKUP(F494,Department!$A$2:$A$6,Department!$B$2:$B$6)</f>
        <v>Finance</v>
      </c>
      <c r="N494" s="30">
        <f>_xlfn.XLOOKUP(A494,Performance!$A$2:$A$501,Performance!$C$2:$C$501)</f>
        <v>1</v>
      </c>
      <c r="O494" s="28" cm="1">
        <f t="array" ref="O494">_xlfn.IFS(N494=5,I494*15%,N494=4,I494*10%,N494=3,I494*7%,N494&lt;3,I494*5%)</f>
        <v>5873.25</v>
      </c>
    </row>
    <row r="495" spans="1:15">
      <c r="A495" s="24" t="s">
        <v>1051</v>
      </c>
      <c r="B495" s="25" t="s">
        <v>48</v>
      </c>
      <c r="C495" s="25" t="s">
        <v>117</v>
      </c>
      <c r="D495" s="25" t="s">
        <v>19</v>
      </c>
      <c r="E495" s="25">
        <v>44</v>
      </c>
      <c r="F495" s="25" t="s">
        <v>35</v>
      </c>
      <c r="G495" s="25" t="s">
        <v>30</v>
      </c>
      <c r="H495" s="26">
        <v>43991</v>
      </c>
      <c r="I495" s="25">
        <v>59582</v>
      </c>
      <c r="J495" s="25" t="s">
        <v>81</v>
      </c>
      <c r="K495" s="25" t="s">
        <v>1052</v>
      </c>
      <c r="L495" s="27" t="s">
        <v>39</v>
      </c>
      <c r="M495" s="28" t="str">
        <f>_xlfn.XLOOKUP(F495,Department!$A$2:$A$6,Department!$B$2:$B$6)</f>
        <v>Sales</v>
      </c>
      <c r="N495" s="30">
        <f>_xlfn.XLOOKUP(A495,Performance!$A$2:$A$501,Performance!$C$2:$C$501)</f>
        <v>5</v>
      </c>
      <c r="O495" s="28" cm="1">
        <f t="array" ref="O495">_xlfn.IFS(N495=5,I495*15%,N495=4,I495*10%,N495=3,I495*7%,N495&lt;3,I495*5%)</f>
        <v>8937.2999999999993</v>
      </c>
    </row>
    <row r="496" spans="1:15">
      <c r="A496" s="24" t="s">
        <v>1053</v>
      </c>
      <c r="B496" s="25" t="s">
        <v>61</v>
      </c>
      <c r="C496" s="25" t="s">
        <v>84</v>
      </c>
      <c r="D496" s="25" t="s">
        <v>19</v>
      </c>
      <c r="E496" s="25">
        <v>51</v>
      </c>
      <c r="F496" s="25" t="s">
        <v>35</v>
      </c>
      <c r="G496" s="25" t="s">
        <v>21</v>
      </c>
      <c r="H496" s="26">
        <v>43211</v>
      </c>
      <c r="I496" s="25">
        <v>117932</v>
      </c>
      <c r="J496" s="25" t="s">
        <v>81</v>
      </c>
      <c r="K496" s="25" t="s">
        <v>1054</v>
      </c>
      <c r="L496" s="27" t="s">
        <v>24</v>
      </c>
      <c r="M496" s="28" t="str">
        <f>_xlfn.XLOOKUP(F496,Department!$A$2:$A$6,Department!$B$2:$B$6)</f>
        <v>Sales</v>
      </c>
      <c r="N496" s="30">
        <f>_xlfn.XLOOKUP(A496,Performance!$A$2:$A$501,Performance!$C$2:$C$501)</f>
        <v>4</v>
      </c>
      <c r="O496" s="28" cm="1">
        <f t="array" ref="O496">_xlfn.IFS(N496=5,I496*15%,N496=4,I496*10%,N496=3,I496*7%,N496&lt;3,I496*5%)</f>
        <v>11793.2</v>
      </c>
    </row>
    <row r="497" spans="1:15">
      <c r="A497" s="24" t="s">
        <v>1055</v>
      </c>
      <c r="B497" s="25" t="s">
        <v>53</v>
      </c>
      <c r="C497" s="25" t="s">
        <v>49</v>
      </c>
      <c r="D497" s="25" t="s">
        <v>28</v>
      </c>
      <c r="E497" s="25">
        <v>58</v>
      </c>
      <c r="F497" s="25" t="s">
        <v>20</v>
      </c>
      <c r="G497" s="25" t="s">
        <v>44</v>
      </c>
      <c r="H497" s="26">
        <v>43156</v>
      </c>
      <c r="I497" s="25">
        <v>95198</v>
      </c>
      <c r="J497" s="25" t="s">
        <v>81</v>
      </c>
      <c r="K497" s="25" t="s">
        <v>1056</v>
      </c>
      <c r="L497" s="27" t="s">
        <v>24</v>
      </c>
      <c r="M497" s="28" t="str">
        <f>_xlfn.XLOOKUP(F497,Department!$A$2:$A$6,Department!$B$2:$B$6)</f>
        <v>HR</v>
      </c>
      <c r="N497" s="30">
        <f>_xlfn.XLOOKUP(A497,Performance!$A$2:$A$501,Performance!$C$2:$C$501)</f>
        <v>1</v>
      </c>
      <c r="O497" s="28" cm="1">
        <f t="array" ref="O497">_xlfn.IFS(N497=5,I497*15%,N497=4,I497*10%,N497=3,I497*7%,N497&lt;3,I497*5%)</f>
        <v>4759.9000000000005</v>
      </c>
    </row>
    <row r="498" spans="1:15">
      <c r="A498" s="24" t="s">
        <v>1057</v>
      </c>
      <c r="B498" s="25" t="s">
        <v>61</v>
      </c>
      <c r="C498" s="25" t="s">
        <v>141</v>
      </c>
      <c r="D498" s="25" t="s">
        <v>28</v>
      </c>
      <c r="E498" s="25">
        <v>24</v>
      </c>
      <c r="F498" s="25" t="s">
        <v>35</v>
      </c>
      <c r="G498" s="25" t="s">
        <v>36</v>
      </c>
      <c r="H498" s="26">
        <v>45457</v>
      </c>
      <c r="I498" s="25">
        <v>61647</v>
      </c>
      <c r="J498" s="25" t="s">
        <v>81</v>
      </c>
      <c r="K498" s="25" t="s">
        <v>1058</v>
      </c>
      <c r="L498" s="27" t="s">
        <v>39</v>
      </c>
      <c r="M498" s="28" t="str">
        <f>_xlfn.XLOOKUP(F498,Department!$A$2:$A$6,Department!$B$2:$B$6)</f>
        <v>Sales</v>
      </c>
      <c r="N498" s="30">
        <f>_xlfn.XLOOKUP(A498,Performance!$A$2:$A$501,Performance!$C$2:$C$501)</f>
        <v>2</v>
      </c>
      <c r="O498" s="28" cm="1">
        <f t="array" ref="O498">_xlfn.IFS(N498=5,I498*15%,N498=4,I498*10%,N498=3,I498*7%,N498&lt;3,I498*5%)</f>
        <v>3082.3500000000004</v>
      </c>
    </row>
    <row r="499" spans="1:15">
      <c r="A499" s="24" t="s">
        <v>1059</v>
      </c>
      <c r="B499" s="25" t="s">
        <v>92</v>
      </c>
      <c r="C499" s="25" t="s">
        <v>66</v>
      </c>
      <c r="D499" s="25" t="s">
        <v>19</v>
      </c>
      <c r="E499" s="25">
        <v>26</v>
      </c>
      <c r="F499" s="25" t="s">
        <v>54</v>
      </c>
      <c r="G499" s="25" t="s">
        <v>30</v>
      </c>
      <c r="H499" s="26">
        <v>45580</v>
      </c>
      <c r="I499" s="25">
        <v>41274</v>
      </c>
      <c r="J499" s="25" t="s">
        <v>81</v>
      </c>
      <c r="K499" s="25" t="s">
        <v>1060</v>
      </c>
      <c r="L499" s="27" t="s">
        <v>39</v>
      </c>
      <c r="M499" s="28" t="str">
        <f>_xlfn.XLOOKUP(F499,Department!$A$2:$A$6,Department!$B$2:$B$6)</f>
        <v>Finance</v>
      </c>
      <c r="N499" s="30">
        <f>_xlfn.XLOOKUP(A499,Performance!$A$2:$A$501,Performance!$C$2:$C$501)</f>
        <v>2</v>
      </c>
      <c r="O499" s="28" cm="1">
        <f t="array" ref="O499">_xlfn.IFS(N499=5,I499*15%,N499=4,I499*10%,N499=3,I499*7%,N499&lt;3,I499*5%)</f>
        <v>2063.7000000000003</v>
      </c>
    </row>
    <row r="500" spans="1:15">
      <c r="A500" s="24" t="s">
        <v>1061</v>
      </c>
      <c r="B500" s="25" t="s">
        <v>42</v>
      </c>
      <c r="C500" s="25" t="s">
        <v>84</v>
      </c>
      <c r="D500" s="25" t="s">
        <v>19</v>
      </c>
      <c r="E500" s="25">
        <v>40</v>
      </c>
      <c r="F500" s="25" t="s">
        <v>29</v>
      </c>
      <c r="G500" s="25" t="s">
        <v>44</v>
      </c>
      <c r="H500" s="26">
        <v>44151</v>
      </c>
      <c r="I500" s="25">
        <v>40450</v>
      </c>
      <c r="J500" s="25" t="s">
        <v>81</v>
      </c>
      <c r="K500" s="25" t="s">
        <v>1062</v>
      </c>
      <c r="L500" s="27" t="s">
        <v>24</v>
      </c>
      <c r="M500" s="28" t="str">
        <f>_xlfn.XLOOKUP(F500,Department!$A$2:$A$6,Department!$B$2:$B$6)</f>
        <v>IT</v>
      </c>
      <c r="N500" s="30">
        <f>_xlfn.XLOOKUP(A500,Performance!$A$2:$A$501,Performance!$C$2:$C$501)</f>
        <v>3</v>
      </c>
      <c r="O500" s="28" cm="1">
        <f t="array" ref="O500">_xlfn.IFS(N500=5,I500*15%,N500=4,I500*10%,N500=3,I500*7%,N500&lt;3,I500*5%)</f>
        <v>2831.5000000000005</v>
      </c>
    </row>
    <row r="501" spans="1:15">
      <c r="A501" s="24" t="s">
        <v>1063</v>
      </c>
      <c r="B501" s="25" t="s">
        <v>42</v>
      </c>
      <c r="C501" s="25" t="s">
        <v>66</v>
      </c>
      <c r="D501" s="25" t="s">
        <v>28</v>
      </c>
      <c r="E501" s="25">
        <v>58</v>
      </c>
      <c r="F501" s="25" t="s">
        <v>43</v>
      </c>
      <c r="G501" s="25" t="s">
        <v>30</v>
      </c>
      <c r="H501" s="26">
        <v>44211</v>
      </c>
      <c r="I501" s="25">
        <v>42662</v>
      </c>
      <c r="J501" s="25" t="s">
        <v>67</v>
      </c>
      <c r="K501" s="25" t="s">
        <v>1064</v>
      </c>
      <c r="L501" s="27" t="s">
        <v>24</v>
      </c>
      <c r="M501" s="28" t="str">
        <f>_xlfn.XLOOKUP(F501,Department!$A$2:$A$6,Department!$B$2:$B$6)</f>
        <v>Marketing</v>
      </c>
      <c r="N501" s="30">
        <f>_xlfn.XLOOKUP(A501,Performance!$A$2:$A$501,Performance!$C$2:$C$501)</f>
        <v>3</v>
      </c>
      <c r="O501" s="28" cm="1">
        <f t="array" ref="O501">_xlfn.IFS(N501=5,I501*15%,N501=4,I501*10%,N501=3,I501*7%,N501&lt;3,I501*5%)</f>
        <v>2986.34</v>
      </c>
    </row>
  </sheetData>
  <conditionalFormatting sqref="A2:O501">
    <cfRule type="expression" dxfId="1" priority="1">
      <formula>$I2&gt;100000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FD7-7102-4153-AAFB-29723B6E868B}">
  <dimension ref="A1:Q501"/>
  <sheetViews>
    <sheetView workbookViewId="0">
      <selection activeCell="R6" sqref="R6"/>
    </sheetView>
  </sheetViews>
  <sheetFormatPr defaultRowHeight="15"/>
  <cols>
    <col min="1" max="1" width="6.5703125" bestFit="1" customWidth="1"/>
    <col min="2" max="2" width="6.140625" bestFit="1" customWidth="1"/>
    <col min="3" max="3" width="6.85546875" bestFit="1" customWidth="1"/>
    <col min="4" max="4" width="7.42578125" bestFit="1" customWidth="1"/>
    <col min="5" max="5" width="3.28515625" bestFit="1" customWidth="1"/>
    <col min="6" max="6" width="4.5703125" bestFit="1" customWidth="1"/>
    <col min="7" max="7" width="11.7109375" bestFit="1" customWidth="1"/>
    <col min="8" max="8" width="11.42578125" bestFit="1" customWidth="1"/>
    <col min="9" max="9" width="7.7109375" bestFit="1" customWidth="1"/>
    <col min="10" max="10" width="10" bestFit="1" customWidth="1"/>
    <col min="11" max="11" width="29.5703125" bestFit="1" customWidth="1"/>
    <col min="12" max="12" width="8" bestFit="1" customWidth="1"/>
    <col min="13" max="13" width="10.140625" bestFit="1" customWidth="1"/>
    <col min="14" max="14" width="2.28515625" bestFit="1" customWidth="1"/>
    <col min="15" max="15" width="9.28515625" bestFit="1" customWidth="1"/>
  </cols>
  <sheetData>
    <row r="1" spans="1:17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9" t="s">
        <v>11</v>
      </c>
      <c r="M1" s="40" t="s">
        <v>12</v>
      </c>
      <c r="N1" s="40" t="s">
        <v>13</v>
      </c>
      <c r="O1" s="41" t="s">
        <v>14</v>
      </c>
    </row>
    <row r="2" spans="1:17">
      <c r="A2" s="24" t="s">
        <v>16</v>
      </c>
      <c r="B2" s="25" t="s">
        <v>17</v>
      </c>
      <c r="C2" s="25" t="s">
        <v>18</v>
      </c>
      <c r="D2" s="25" t="s">
        <v>19</v>
      </c>
      <c r="E2" s="25">
        <v>30</v>
      </c>
      <c r="F2" s="25" t="s">
        <v>20</v>
      </c>
      <c r="G2" s="25" t="s">
        <v>21</v>
      </c>
      <c r="H2" s="26">
        <v>43517</v>
      </c>
      <c r="I2" s="25">
        <v>105257</v>
      </c>
      <c r="J2" s="25" t="s">
        <v>22</v>
      </c>
      <c r="K2" s="25" t="s">
        <v>23</v>
      </c>
      <c r="L2" s="27" t="s">
        <v>24</v>
      </c>
      <c r="M2" s="28" t="str">
        <f>_xlfn.XLOOKUP(F2,Department!$A$2:$A$6,Department!$B$2:$B$6)</f>
        <v>HR</v>
      </c>
      <c r="N2" s="29">
        <f>_xlfn.XLOOKUP(A2,Performance!$A$2:$A$501,Performance!$C$2:$C$501)</f>
        <v>1</v>
      </c>
      <c r="O2" s="28" cm="1">
        <f t="array" ref="O2">_xlfn.IFS(N2=5,I2*15%,N2=4,I2*10%,N2=3,I2*7%,N2&lt;3,I2*5%)</f>
        <v>5262.85</v>
      </c>
      <c r="Q2" s="48" t="s">
        <v>1080</v>
      </c>
    </row>
    <row r="3" spans="1:17">
      <c r="A3" s="24" t="s">
        <v>26</v>
      </c>
      <c r="B3" s="25" t="s">
        <v>17</v>
      </c>
      <c r="C3" s="25" t="s">
        <v>27</v>
      </c>
      <c r="D3" s="25" t="s">
        <v>28</v>
      </c>
      <c r="E3" s="25">
        <v>48</v>
      </c>
      <c r="F3" s="25" t="s">
        <v>29</v>
      </c>
      <c r="G3" s="25" t="s">
        <v>30</v>
      </c>
      <c r="H3" s="26">
        <v>44548</v>
      </c>
      <c r="I3" s="25">
        <v>97903</v>
      </c>
      <c r="J3" s="25" t="s">
        <v>22</v>
      </c>
      <c r="K3" s="25" t="s">
        <v>31</v>
      </c>
      <c r="L3" s="27" t="s">
        <v>24</v>
      </c>
      <c r="M3" s="28" t="str">
        <f>_xlfn.XLOOKUP(F3,Department!$A$2:$A$6,Department!$B$2:$B$6)</f>
        <v>IT</v>
      </c>
      <c r="N3" s="30">
        <f>_xlfn.XLOOKUP(A3,Performance!$A$2:$A$501,Performance!$C$2:$C$501)</f>
        <v>4</v>
      </c>
      <c r="O3" s="28" cm="1">
        <f t="array" ref="O3">_xlfn.IFS(N3=5,I3*15%,N3=4,I3*10%,N3=3,I3*7%,N3&lt;3,I3*5%)</f>
        <v>9790.3000000000011</v>
      </c>
    </row>
    <row r="4" spans="1:17">
      <c r="A4" s="24" t="s">
        <v>33</v>
      </c>
      <c r="B4" s="25" t="s">
        <v>34</v>
      </c>
      <c r="C4" s="25" t="s">
        <v>27</v>
      </c>
      <c r="D4" s="25" t="s">
        <v>28</v>
      </c>
      <c r="E4" s="25">
        <v>48</v>
      </c>
      <c r="F4" s="25" t="s">
        <v>35</v>
      </c>
      <c r="G4" s="25" t="s">
        <v>36</v>
      </c>
      <c r="H4" s="26">
        <v>44037</v>
      </c>
      <c r="I4" s="25">
        <v>73429</v>
      </c>
      <c r="J4" s="25" t="s">
        <v>37</v>
      </c>
      <c r="K4" s="25" t="s">
        <v>38</v>
      </c>
      <c r="L4" s="27" t="s">
        <v>39</v>
      </c>
      <c r="M4" s="28" t="str">
        <f>_xlfn.XLOOKUP(F4,Department!$A$2:$A$6,Department!$B$2:$B$6)</f>
        <v>Sales</v>
      </c>
      <c r="N4" s="30">
        <f>_xlfn.XLOOKUP(A4,Performance!$A$2:$A$501,Performance!$C$2:$C$501)</f>
        <v>2</v>
      </c>
      <c r="O4" s="28" cm="1">
        <f t="array" ref="O4">_xlfn.IFS(N4=5,I4*15%,N4=4,I4*10%,N4=3,I4*7%,N4&lt;3,I4*5%)</f>
        <v>3671.4500000000003</v>
      </c>
    </row>
    <row r="5" spans="1:17">
      <c r="A5" s="24" t="s">
        <v>41</v>
      </c>
      <c r="B5" s="25" t="s">
        <v>42</v>
      </c>
      <c r="C5" s="25" t="s">
        <v>18</v>
      </c>
      <c r="D5" s="25" t="s">
        <v>19</v>
      </c>
      <c r="E5" s="25">
        <v>50</v>
      </c>
      <c r="F5" s="25" t="s">
        <v>43</v>
      </c>
      <c r="G5" s="25" t="s">
        <v>44</v>
      </c>
      <c r="H5" s="26">
        <v>44413</v>
      </c>
      <c r="I5" s="25">
        <v>99336</v>
      </c>
      <c r="J5" s="25" t="s">
        <v>37</v>
      </c>
      <c r="K5" s="25" t="s">
        <v>45</v>
      </c>
      <c r="L5" s="27" t="s">
        <v>24</v>
      </c>
      <c r="M5" s="28" t="str">
        <f>_xlfn.XLOOKUP(F5,Department!$A$2:$A$6,Department!$B$2:$B$6)</f>
        <v>Marketing</v>
      </c>
      <c r="N5" s="30">
        <f>_xlfn.XLOOKUP(A5,Performance!$A$2:$A$501,Performance!$C$2:$C$501)</f>
        <v>4</v>
      </c>
      <c r="O5" s="28" cm="1">
        <f t="array" ref="O5">_xlfn.IFS(N5=5,I5*15%,N5=4,I5*10%,N5=3,I5*7%,N5&lt;3,I5*5%)</f>
        <v>9933.6</v>
      </c>
    </row>
    <row r="6" spans="1:17">
      <c r="A6" s="24" t="s">
        <v>47</v>
      </c>
      <c r="B6" s="25" t="s">
        <v>48</v>
      </c>
      <c r="C6" s="25" t="s">
        <v>49</v>
      </c>
      <c r="D6" s="25" t="s">
        <v>28</v>
      </c>
      <c r="E6" s="25">
        <v>60</v>
      </c>
      <c r="F6" s="25" t="s">
        <v>20</v>
      </c>
      <c r="G6" s="25" t="s">
        <v>36</v>
      </c>
      <c r="H6" s="26">
        <v>43990</v>
      </c>
      <c r="I6" s="25">
        <v>105020</v>
      </c>
      <c r="J6" s="25" t="s">
        <v>37</v>
      </c>
      <c r="K6" s="25" t="s">
        <v>50</v>
      </c>
      <c r="L6" s="27" t="s">
        <v>24</v>
      </c>
      <c r="M6" s="28" t="str">
        <f>_xlfn.XLOOKUP(F6,Department!$A$2:$A$6,Department!$B$2:$B$6)</f>
        <v>HR</v>
      </c>
      <c r="N6" s="30">
        <f>_xlfn.XLOOKUP(A6,Performance!$A$2:$A$501,Performance!$C$2:$C$501)</f>
        <v>2</v>
      </c>
      <c r="O6" s="28" cm="1">
        <f t="array" ref="O6">_xlfn.IFS(N6=5,I6*15%,N6=4,I6*10%,N6=3,I6*7%,N6&lt;3,I6*5%)</f>
        <v>5251</v>
      </c>
    </row>
    <row r="7" spans="1:17">
      <c r="A7" s="24" t="s">
        <v>52</v>
      </c>
      <c r="B7" s="25" t="s">
        <v>53</v>
      </c>
      <c r="C7" s="25" t="s">
        <v>18</v>
      </c>
      <c r="D7" s="25" t="s">
        <v>28</v>
      </c>
      <c r="E7" s="25">
        <v>33</v>
      </c>
      <c r="F7" s="25" t="s">
        <v>54</v>
      </c>
      <c r="G7" s="25" t="s">
        <v>36</v>
      </c>
      <c r="H7" s="26">
        <v>43681</v>
      </c>
      <c r="I7" s="25">
        <v>93173</v>
      </c>
      <c r="J7" s="25" t="s">
        <v>37</v>
      </c>
      <c r="K7" s="25" t="s">
        <v>55</v>
      </c>
      <c r="L7" s="27" t="s">
        <v>24</v>
      </c>
      <c r="M7" s="28" t="str">
        <f>_xlfn.XLOOKUP(F7,Department!$A$2:$A$6,Department!$B$2:$B$6)</f>
        <v>Finance</v>
      </c>
      <c r="N7" s="30">
        <f>_xlfn.XLOOKUP(A7,Performance!$A$2:$A$501,Performance!$C$2:$C$501)</f>
        <v>3</v>
      </c>
      <c r="O7" s="28" cm="1">
        <f t="array" ref="O7">_xlfn.IFS(N7=5,I7*15%,N7=4,I7*10%,N7=3,I7*7%,N7&lt;3,I7*5%)</f>
        <v>6522.1100000000006</v>
      </c>
    </row>
    <row r="8" spans="1:17">
      <c r="A8" s="24" t="s">
        <v>57</v>
      </c>
      <c r="B8" s="25" t="s">
        <v>58</v>
      </c>
      <c r="C8" s="25" t="s">
        <v>49</v>
      </c>
      <c r="D8" s="25" t="s">
        <v>28</v>
      </c>
      <c r="E8" s="25">
        <v>52</v>
      </c>
      <c r="F8" s="25" t="s">
        <v>43</v>
      </c>
      <c r="G8" s="25" t="s">
        <v>21</v>
      </c>
      <c r="H8" s="26">
        <v>44219</v>
      </c>
      <c r="I8" s="25">
        <v>106626</v>
      </c>
      <c r="J8" s="25" t="s">
        <v>37</v>
      </c>
      <c r="K8" s="25" t="s">
        <v>59</v>
      </c>
      <c r="L8" s="27" t="s">
        <v>24</v>
      </c>
      <c r="M8" s="28" t="str">
        <f>_xlfn.XLOOKUP(F8,Department!$A$2:$A$6,Department!$B$2:$B$6)</f>
        <v>Marketing</v>
      </c>
      <c r="N8" s="30">
        <f>_xlfn.XLOOKUP(A8,Performance!$A$2:$A$501,Performance!$C$2:$C$501)</f>
        <v>2</v>
      </c>
      <c r="O8" s="28" cm="1">
        <f t="array" ref="O8">_xlfn.IFS(N8=5,I8*15%,N8=4,I8*10%,N8=3,I8*7%,N8&lt;3,I8*5%)</f>
        <v>5331.3</v>
      </c>
    </row>
    <row r="9" spans="1:17">
      <c r="A9" s="24" t="s">
        <v>60</v>
      </c>
      <c r="B9" s="25" t="s">
        <v>61</v>
      </c>
      <c r="C9" s="25" t="s">
        <v>18</v>
      </c>
      <c r="D9" s="25" t="s">
        <v>19</v>
      </c>
      <c r="E9" s="25">
        <v>42</v>
      </c>
      <c r="F9" s="25" t="s">
        <v>54</v>
      </c>
      <c r="G9" s="25" t="s">
        <v>44</v>
      </c>
      <c r="H9" s="26">
        <v>43978</v>
      </c>
      <c r="I9" s="25">
        <v>114547</v>
      </c>
      <c r="J9" s="25" t="s">
        <v>62</v>
      </c>
      <c r="K9" s="25" t="s">
        <v>63</v>
      </c>
      <c r="L9" s="27" t="s">
        <v>39</v>
      </c>
      <c r="M9" s="28" t="str">
        <f>_xlfn.XLOOKUP(F9,Department!$A$2:$A$6,Department!$B$2:$B$6)</f>
        <v>Finance</v>
      </c>
      <c r="N9" s="30">
        <f>_xlfn.XLOOKUP(A9,Performance!$A$2:$A$501,Performance!$C$2:$C$501)</f>
        <v>1</v>
      </c>
      <c r="O9" s="28" cm="1">
        <f t="array" ref="O9">_xlfn.IFS(N9=5,I9*15%,N9=4,I9*10%,N9=3,I9*7%,N9&lt;3,I9*5%)</f>
        <v>5727.35</v>
      </c>
    </row>
    <row r="10" spans="1:17">
      <c r="A10" s="24" t="s">
        <v>65</v>
      </c>
      <c r="B10" s="25" t="s">
        <v>61</v>
      </c>
      <c r="C10" s="25" t="s">
        <v>66</v>
      </c>
      <c r="D10" s="25" t="s">
        <v>19</v>
      </c>
      <c r="E10" s="25">
        <v>40</v>
      </c>
      <c r="F10" s="25" t="s">
        <v>20</v>
      </c>
      <c r="G10" s="25" t="s">
        <v>36</v>
      </c>
      <c r="H10" s="26">
        <v>44681</v>
      </c>
      <c r="I10" s="25">
        <v>51139</v>
      </c>
      <c r="J10" s="25" t="s">
        <v>67</v>
      </c>
      <c r="K10" s="25" t="s">
        <v>68</v>
      </c>
      <c r="L10" s="27" t="s">
        <v>39</v>
      </c>
      <c r="M10" s="28" t="str">
        <f>_xlfn.XLOOKUP(F10,Department!$A$2:$A$6,Department!$B$2:$B$6)</f>
        <v>HR</v>
      </c>
      <c r="N10" s="30">
        <f>_xlfn.XLOOKUP(A10,Performance!$A$2:$A$501,Performance!$C$2:$C$501)</f>
        <v>4</v>
      </c>
      <c r="O10" s="28" cm="1">
        <f t="array" ref="O10">_xlfn.IFS(N10=5,I10*15%,N10=4,I10*10%,N10=3,I10*7%,N10&lt;3,I10*5%)</f>
        <v>5113.9000000000005</v>
      </c>
    </row>
    <row r="11" spans="1:17">
      <c r="A11" s="24" t="s">
        <v>70</v>
      </c>
      <c r="B11" s="25" t="s">
        <v>17</v>
      </c>
      <c r="C11" s="25" t="s">
        <v>27</v>
      </c>
      <c r="D11" s="25" t="s">
        <v>19</v>
      </c>
      <c r="E11" s="25">
        <v>25</v>
      </c>
      <c r="F11" s="25" t="s">
        <v>43</v>
      </c>
      <c r="G11" s="25" t="s">
        <v>21</v>
      </c>
      <c r="H11" s="26">
        <v>43457</v>
      </c>
      <c r="I11" s="25">
        <v>60673</v>
      </c>
      <c r="J11" s="25" t="s">
        <v>67</v>
      </c>
      <c r="K11" s="25" t="s">
        <v>71</v>
      </c>
      <c r="L11" s="27" t="s">
        <v>39</v>
      </c>
      <c r="M11" s="28" t="str">
        <f>_xlfn.XLOOKUP(F11,Department!$A$2:$A$6,Department!$B$2:$B$6)</f>
        <v>Marketing</v>
      </c>
      <c r="N11" s="30">
        <f>_xlfn.XLOOKUP(A11,Performance!$A$2:$A$501,Performance!$C$2:$C$501)</f>
        <v>5</v>
      </c>
      <c r="O11" s="28" cm="1">
        <f t="array" ref="O11">_xlfn.IFS(N11=5,I11*15%,N11=4,I11*10%,N11=3,I11*7%,N11&lt;3,I11*5%)</f>
        <v>9100.9499999999989</v>
      </c>
    </row>
    <row r="12" spans="1:17">
      <c r="A12" s="24" t="s">
        <v>73</v>
      </c>
      <c r="B12" s="25" t="s">
        <v>74</v>
      </c>
      <c r="C12" s="25" t="s">
        <v>27</v>
      </c>
      <c r="D12" s="25" t="s">
        <v>19</v>
      </c>
      <c r="E12" s="25">
        <v>25</v>
      </c>
      <c r="F12" s="25" t="s">
        <v>43</v>
      </c>
      <c r="G12" s="25" t="s">
        <v>36</v>
      </c>
      <c r="H12" s="26">
        <v>44356</v>
      </c>
      <c r="I12" s="25">
        <v>65690</v>
      </c>
      <c r="J12" s="25" t="s">
        <v>22</v>
      </c>
      <c r="K12" s="25" t="s">
        <v>75</v>
      </c>
      <c r="L12" s="27" t="s">
        <v>39</v>
      </c>
      <c r="M12" s="28" t="str">
        <f>_xlfn.XLOOKUP(F12,Department!$A$2:$A$6,Department!$B$2:$B$6)</f>
        <v>Marketing</v>
      </c>
      <c r="N12" s="30">
        <f>_xlfn.XLOOKUP(A12,Performance!$A$2:$A$501,Performance!$C$2:$C$501)</f>
        <v>3</v>
      </c>
      <c r="O12" s="28" cm="1">
        <f t="array" ref="O12">_xlfn.IFS(N12=5,I12*15%,N12=4,I12*10%,N12=3,I12*7%,N12&lt;3,I12*5%)</f>
        <v>4598.3</v>
      </c>
    </row>
    <row r="13" spans="1:17">
      <c r="A13" s="24" t="s">
        <v>77</v>
      </c>
      <c r="B13" s="25" t="s">
        <v>34</v>
      </c>
      <c r="C13" s="25" t="s">
        <v>49</v>
      </c>
      <c r="D13" s="25" t="s">
        <v>28</v>
      </c>
      <c r="E13" s="25">
        <v>49</v>
      </c>
      <c r="F13" s="25" t="s">
        <v>29</v>
      </c>
      <c r="G13" s="25" t="s">
        <v>30</v>
      </c>
      <c r="H13" s="26">
        <v>43520</v>
      </c>
      <c r="I13" s="25">
        <v>63823</v>
      </c>
      <c r="J13" s="25" t="s">
        <v>67</v>
      </c>
      <c r="K13" s="25" t="s">
        <v>78</v>
      </c>
      <c r="L13" s="27" t="s">
        <v>24</v>
      </c>
      <c r="M13" s="28" t="str">
        <f>_xlfn.XLOOKUP(F13,Department!$A$2:$A$6,Department!$B$2:$B$6)</f>
        <v>IT</v>
      </c>
      <c r="N13" s="30">
        <f>_xlfn.XLOOKUP(A13,Performance!$A$2:$A$501,Performance!$C$2:$C$501)</f>
        <v>2</v>
      </c>
      <c r="O13" s="28" cm="1">
        <f t="array" ref="O13">_xlfn.IFS(N13=5,I13*15%,N13=4,I13*10%,N13=3,I13*7%,N13&lt;3,I13*5%)</f>
        <v>3191.15</v>
      </c>
    </row>
    <row r="14" spans="1:17">
      <c r="A14" s="24" t="s">
        <v>79</v>
      </c>
      <c r="B14" s="25" t="s">
        <v>34</v>
      </c>
      <c r="C14" s="25" t="s">
        <v>80</v>
      </c>
      <c r="D14" s="25" t="s">
        <v>19</v>
      </c>
      <c r="E14" s="25">
        <v>56</v>
      </c>
      <c r="F14" s="25" t="s">
        <v>43</v>
      </c>
      <c r="G14" s="25" t="s">
        <v>21</v>
      </c>
      <c r="H14" s="26">
        <v>44651</v>
      </c>
      <c r="I14" s="25">
        <v>49557</v>
      </c>
      <c r="J14" s="25" t="s">
        <v>81</v>
      </c>
      <c r="K14" s="25" t="s">
        <v>82</v>
      </c>
      <c r="L14" s="27" t="s">
        <v>39</v>
      </c>
      <c r="M14" s="28" t="str">
        <f>_xlfn.XLOOKUP(F14,Department!$A$2:$A$6,Department!$B$2:$B$6)</f>
        <v>Marketing</v>
      </c>
      <c r="N14" s="30">
        <f>_xlfn.XLOOKUP(A14,Performance!$A$2:$A$501,Performance!$C$2:$C$501)</f>
        <v>3</v>
      </c>
      <c r="O14" s="28" cm="1">
        <f t="array" ref="O14">_xlfn.IFS(N14=5,I14*15%,N14=4,I14*10%,N14=3,I14*7%,N14&lt;3,I14*5%)</f>
        <v>3468.9900000000002</v>
      </c>
    </row>
    <row r="15" spans="1:17">
      <c r="A15" s="24" t="s">
        <v>83</v>
      </c>
      <c r="B15" s="25" t="s">
        <v>34</v>
      </c>
      <c r="C15" s="25" t="s">
        <v>84</v>
      </c>
      <c r="D15" s="25" t="s">
        <v>28</v>
      </c>
      <c r="E15" s="25">
        <v>44</v>
      </c>
      <c r="F15" s="25" t="s">
        <v>20</v>
      </c>
      <c r="G15" s="25" t="s">
        <v>36</v>
      </c>
      <c r="H15" s="26">
        <v>44827</v>
      </c>
      <c r="I15" s="25">
        <v>116901</v>
      </c>
      <c r="J15" s="25" t="s">
        <v>67</v>
      </c>
      <c r="K15" s="25" t="s">
        <v>85</v>
      </c>
      <c r="L15" s="27" t="s">
        <v>24</v>
      </c>
      <c r="M15" s="28" t="str">
        <f>_xlfn.XLOOKUP(F15,Department!$A$2:$A$6,Department!$B$2:$B$6)</f>
        <v>HR</v>
      </c>
      <c r="N15" s="30">
        <f>_xlfn.XLOOKUP(A15,Performance!$A$2:$A$501,Performance!$C$2:$C$501)</f>
        <v>2</v>
      </c>
      <c r="O15" s="28" cm="1">
        <f t="array" ref="O15">_xlfn.IFS(N15=5,I15*15%,N15=4,I15*10%,N15=3,I15*7%,N15&lt;3,I15*5%)</f>
        <v>5845.05</v>
      </c>
    </row>
    <row r="16" spans="1:17">
      <c r="A16" s="24" t="s">
        <v>86</v>
      </c>
      <c r="B16" s="25" t="s">
        <v>42</v>
      </c>
      <c r="C16" s="25" t="s">
        <v>84</v>
      </c>
      <c r="D16" s="25" t="s">
        <v>19</v>
      </c>
      <c r="E16" s="25">
        <v>55</v>
      </c>
      <c r="F16" s="25" t="s">
        <v>54</v>
      </c>
      <c r="G16" s="25" t="s">
        <v>21</v>
      </c>
      <c r="H16" s="26">
        <v>43284</v>
      </c>
      <c r="I16" s="25">
        <v>85190</v>
      </c>
      <c r="J16" s="25" t="s">
        <v>62</v>
      </c>
      <c r="K16" s="25" t="s">
        <v>87</v>
      </c>
      <c r="L16" s="27" t="s">
        <v>39</v>
      </c>
      <c r="M16" s="28" t="str">
        <f>_xlfn.XLOOKUP(F16,Department!$A$2:$A$6,Department!$B$2:$B$6)</f>
        <v>Finance</v>
      </c>
      <c r="N16" s="30">
        <f>_xlfn.XLOOKUP(A16,Performance!$A$2:$A$501,Performance!$C$2:$C$501)</f>
        <v>4</v>
      </c>
      <c r="O16" s="28" cm="1">
        <f t="array" ref="O16">_xlfn.IFS(N16=5,I16*15%,N16=4,I16*10%,N16=3,I16*7%,N16&lt;3,I16*5%)</f>
        <v>8519</v>
      </c>
    </row>
    <row r="17" spans="1:15">
      <c r="A17" s="24" t="s">
        <v>88</v>
      </c>
      <c r="B17" s="25" t="s">
        <v>58</v>
      </c>
      <c r="C17" s="25" t="s">
        <v>89</v>
      </c>
      <c r="D17" s="25" t="s">
        <v>19</v>
      </c>
      <c r="E17" s="25">
        <v>30</v>
      </c>
      <c r="F17" s="25" t="s">
        <v>35</v>
      </c>
      <c r="G17" s="25" t="s">
        <v>36</v>
      </c>
      <c r="H17" s="26">
        <v>45393</v>
      </c>
      <c r="I17" s="25">
        <v>95723</v>
      </c>
      <c r="J17" s="25" t="s">
        <v>67</v>
      </c>
      <c r="K17" s="25" t="s">
        <v>90</v>
      </c>
      <c r="L17" s="27" t="s">
        <v>39</v>
      </c>
      <c r="M17" s="28" t="str">
        <f>_xlfn.XLOOKUP(F17,Department!$A$2:$A$6,Department!$B$2:$B$6)</f>
        <v>Sales</v>
      </c>
      <c r="N17" s="30">
        <f>_xlfn.XLOOKUP(A17,Performance!$A$2:$A$501,Performance!$C$2:$C$501)</f>
        <v>2</v>
      </c>
      <c r="O17" s="28" cm="1">
        <f t="array" ref="O17">_xlfn.IFS(N17=5,I17*15%,N17=4,I17*10%,N17=3,I17*7%,N17&lt;3,I17*5%)</f>
        <v>4786.1500000000005</v>
      </c>
    </row>
    <row r="18" spans="1:15">
      <c r="A18" s="24" t="s">
        <v>91</v>
      </c>
      <c r="B18" s="25" t="s">
        <v>92</v>
      </c>
      <c r="C18" s="25" t="s">
        <v>93</v>
      </c>
      <c r="D18" s="25" t="s">
        <v>19</v>
      </c>
      <c r="E18" s="25">
        <v>51</v>
      </c>
      <c r="F18" s="25" t="s">
        <v>35</v>
      </c>
      <c r="G18" s="25" t="s">
        <v>30</v>
      </c>
      <c r="H18" s="26">
        <v>43578</v>
      </c>
      <c r="I18" s="25">
        <v>35234</v>
      </c>
      <c r="J18" s="25" t="s">
        <v>62</v>
      </c>
      <c r="K18" s="25" t="s">
        <v>94</v>
      </c>
      <c r="L18" s="27" t="s">
        <v>39</v>
      </c>
      <c r="M18" s="28" t="str">
        <f>_xlfn.XLOOKUP(F18,Department!$A$2:$A$6,Department!$B$2:$B$6)</f>
        <v>Sales</v>
      </c>
      <c r="N18" s="30">
        <f>_xlfn.XLOOKUP(A18,Performance!$A$2:$A$501,Performance!$C$2:$C$501)</f>
        <v>1</v>
      </c>
      <c r="O18" s="28" cm="1">
        <f t="array" ref="O18">_xlfn.IFS(N18=5,I18*15%,N18=4,I18*10%,N18=3,I18*7%,N18&lt;3,I18*5%)</f>
        <v>1761.7</v>
      </c>
    </row>
    <row r="19" spans="1:15">
      <c r="A19" s="24" t="s">
        <v>95</v>
      </c>
      <c r="B19" s="25" t="s">
        <v>61</v>
      </c>
      <c r="C19" s="25" t="s">
        <v>27</v>
      </c>
      <c r="D19" s="25" t="s">
        <v>28</v>
      </c>
      <c r="E19" s="25">
        <v>38</v>
      </c>
      <c r="F19" s="25" t="s">
        <v>20</v>
      </c>
      <c r="G19" s="25" t="s">
        <v>30</v>
      </c>
      <c r="H19" s="26">
        <v>43291</v>
      </c>
      <c r="I19" s="25">
        <v>102733</v>
      </c>
      <c r="J19" s="25" t="s">
        <v>22</v>
      </c>
      <c r="K19" s="25" t="s">
        <v>96</v>
      </c>
      <c r="L19" s="27" t="s">
        <v>39</v>
      </c>
      <c r="M19" s="28" t="str">
        <f>_xlfn.XLOOKUP(F19,Department!$A$2:$A$6,Department!$B$2:$B$6)</f>
        <v>HR</v>
      </c>
      <c r="N19" s="30">
        <f>_xlfn.XLOOKUP(A19,Performance!$A$2:$A$501,Performance!$C$2:$C$501)</f>
        <v>4</v>
      </c>
      <c r="O19" s="28" cm="1">
        <f t="array" ref="O19">_xlfn.IFS(N19=5,I19*15%,N19=4,I19*10%,N19=3,I19*7%,N19&lt;3,I19*5%)</f>
        <v>10273.300000000001</v>
      </c>
    </row>
    <row r="20" spans="1:15">
      <c r="A20" s="24" t="s">
        <v>97</v>
      </c>
      <c r="B20" s="25" t="s">
        <v>34</v>
      </c>
      <c r="C20" s="25" t="s">
        <v>80</v>
      </c>
      <c r="D20" s="25" t="s">
        <v>19</v>
      </c>
      <c r="E20" s="25">
        <v>46</v>
      </c>
      <c r="F20" s="25" t="s">
        <v>20</v>
      </c>
      <c r="G20" s="25" t="s">
        <v>44</v>
      </c>
      <c r="H20" s="26">
        <v>44789</v>
      </c>
      <c r="I20" s="25">
        <v>76829</v>
      </c>
      <c r="J20" s="25" t="s">
        <v>67</v>
      </c>
      <c r="K20" s="25" t="s">
        <v>98</v>
      </c>
      <c r="L20" s="27" t="s">
        <v>24</v>
      </c>
      <c r="M20" s="28" t="str">
        <f>_xlfn.XLOOKUP(F20,Department!$A$2:$A$6,Department!$B$2:$B$6)</f>
        <v>HR</v>
      </c>
      <c r="N20" s="30">
        <f>_xlfn.XLOOKUP(A20,Performance!$A$2:$A$501,Performance!$C$2:$C$501)</f>
        <v>5</v>
      </c>
      <c r="O20" s="28" cm="1">
        <f t="array" ref="O20">_xlfn.IFS(N20=5,I20*15%,N20=4,I20*10%,N20=3,I20*7%,N20&lt;3,I20*5%)</f>
        <v>11524.35</v>
      </c>
    </row>
    <row r="21" spans="1:15">
      <c r="A21" s="24" t="s">
        <v>99</v>
      </c>
      <c r="B21" s="25" t="s">
        <v>92</v>
      </c>
      <c r="C21" s="25" t="s">
        <v>18</v>
      </c>
      <c r="D21" s="25" t="s">
        <v>28</v>
      </c>
      <c r="E21" s="25">
        <v>60</v>
      </c>
      <c r="F21" s="25" t="s">
        <v>43</v>
      </c>
      <c r="G21" s="25" t="s">
        <v>36</v>
      </c>
      <c r="H21" s="26">
        <v>43181</v>
      </c>
      <c r="I21" s="25">
        <v>69718</v>
      </c>
      <c r="J21" s="25" t="s">
        <v>37</v>
      </c>
      <c r="K21" s="25" t="s">
        <v>100</v>
      </c>
      <c r="L21" s="27" t="s">
        <v>39</v>
      </c>
      <c r="M21" s="28" t="str">
        <f>_xlfn.XLOOKUP(F21,Department!$A$2:$A$6,Department!$B$2:$B$6)</f>
        <v>Marketing</v>
      </c>
      <c r="N21" s="30">
        <f>_xlfn.XLOOKUP(A21,Performance!$A$2:$A$501,Performance!$C$2:$C$501)</f>
        <v>5</v>
      </c>
      <c r="O21" s="28" cm="1">
        <f t="array" ref="O21">_xlfn.IFS(N21=5,I21*15%,N21=4,I21*10%,N21=3,I21*7%,N21&lt;3,I21*5%)</f>
        <v>10457.699999999999</v>
      </c>
    </row>
    <row r="22" spans="1:15">
      <c r="A22" s="24" t="s">
        <v>101</v>
      </c>
      <c r="B22" s="25" t="s">
        <v>92</v>
      </c>
      <c r="C22" s="25" t="s">
        <v>84</v>
      </c>
      <c r="D22" s="25" t="s">
        <v>19</v>
      </c>
      <c r="E22" s="25">
        <v>24</v>
      </c>
      <c r="F22" s="25" t="s">
        <v>35</v>
      </c>
      <c r="G22" s="25" t="s">
        <v>102</v>
      </c>
      <c r="H22" s="26">
        <v>44461</v>
      </c>
      <c r="I22" s="25">
        <v>90834</v>
      </c>
      <c r="J22" s="25" t="s">
        <v>81</v>
      </c>
      <c r="K22" s="25" t="s">
        <v>103</v>
      </c>
      <c r="L22" s="27" t="s">
        <v>24</v>
      </c>
      <c r="M22" s="28" t="str">
        <f>_xlfn.XLOOKUP(F22,Department!$A$2:$A$6,Department!$B$2:$B$6)</f>
        <v>Sales</v>
      </c>
      <c r="N22" s="30">
        <f>_xlfn.XLOOKUP(A22,Performance!$A$2:$A$501,Performance!$C$2:$C$501)</f>
        <v>1</v>
      </c>
      <c r="O22" s="28" cm="1">
        <f t="array" ref="O22">_xlfn.IFS(N22=5,I22*15%,N22=4,I22*10%,N22=3,I22*7%,N22&lt;3,I22*5%)</f>
        <v>4541.7</v>
      </c>
    </row>
    <row r="23" spans="1:15">
      <c r="A23" s="24" t="s">
        <v>104</v>
      </c>
      <c r="B23" s="25" t="s">
        <v>17</v>
      </c>
      <c r="C23" s="25" t="s">
        <v>18</v>
      </c>
      <c r="D23" s="25" t="s">
        <v>28</v>
      </c>
      <c r="E23" s="25">
        <v>51</v>
      </c>
      <c r="F23" s="25" t="s">
        <v>20</v>
      </c>
      <c r="G23" s="25" t="s">
        <v>102</v>
      </c>
      <c r="H23" s="26">
        <v>44884</v>
      </c>
      <c r="I23" s="25">
        <v>51631</v>
      </c>
      <c r="J23" s="25" t="s">
        <v>67</v>
      </c>
      <c r="K23" s="25" t="s">
        <v>105</v>
      </c>
      <c r="L23" s="27" t="s">
        <v>39</v>
      </c>
      <c r="M23" s="28" t="str">
        <f>_xlfn.XLOOKUP(F23,Department!$A$2:$A$6,Department!$B$2:$B$6)</f>
        <v>HR</v>
      </c>
      <c r="N23" s="30">
        <f>_xlfn.XLOOKUP(A23,Performance!$A$2:$A$501,Performance!$C$2:$C$501)</f>
        <v>5</v>
      </c>
      <c r="O23" s="28" cm="1">
        <f t="array" ref="O23">_xlfn.IFS(N23=5,I23*15%,N23=4,I23*10%,N23=3,I23*7%,N23&lt;3,I23*5%)</f>
        <v>7744.65</v>
      </c>
    </row>
    <row r="24" spans="1:15">
      <c r="A24" s="24" t="s">
        <v>106</v>
      </c>
      <c r="B24" s="25" t="s">
        <v>74</v>
      </c>
      <c r="C24" s="25" t="s">
        <v>66</v>
      </c>
      <c r="D24" s="25" t="s">
        <v>28</v>
      </c>
      <c r="E24" s="25">
        <v>45</v>
      </c>
      <c r="F24" s="25" t="s">
        <v>35</v>
      </c>
      <c r="G24" s="25" t="s">
        <v>30</v>
      </c>
      <c r="H24" s="26">
        <v>44552</v>
      </c>
      <c r="I24" s="25">
        <v>51414</v>
      </c>
      <c r="J24" s="25" t="s">
        <v>67</v>
      </c>
      <c r="K24" s="25" t="s">
        <v>107</v>
      </c>
      <c r="L24" s="27" t="s">
        <v>24</v>
      </c>
      <c r="M24" s="28" t="str">
        <f>_xlfn.XLOOKUP(F24,Department!$A$2:$A$6,Department!$B$2:$B$6)</f>
        <v>Sales</v>
      </c>
      <c r="N24" s="30">
        <f>_xlfn.XLOOKUP(A24,Performance!$A$2:$A$501,Performance!$C$2:$C$501)</f>
        <v>3</v>
      </c>
      <c r="O24" s="28" cm="1">
        <f t="array" ref="O24">_xlfn.IFS(N24=5,I24*15%,N24=4,I24*10%,N24=3,I24*7%,N24&lt;3,I24*5%)</f>
        <v>3598.9800000000005</v>
      </c>
    </row>
    <row r="25" spans="1:15">
      <c r="A25" s="24" t="s">
        <v>108</v>
      </c>
      <c r="B25" s="25" t="s">
        <v>48</v>
      </c>
      <c r="C25" s="25" t="s">
        <v>66</v>
      </c>
      <c r="D25" s="25" t="s">
        <v>28</v>
      </c>
      <c r="E25" s="25">
        <v>35</v>
      </c>
      <c r="F25" s="25" t="s">
        <v>54</v>
      </c>
      <c r="G25" s="25" t="s">
        <v>21</v>
      </c>
      <c r="H25" s="26">
        <v>43624</v>
      </c>
      <c r="I25" s="25">
        <v>79578</v>
      </c>
      <c r="J25" s="25" t="s">
        <v>22</v>
      </c>
      <c r="K25" s="25" t="s">
        <v>109</v>
      </c>
      <c r="L25" s="27" t="s">
        <v>39</v>
      </c>
      <c r="M25" s="28" t="str">
        <f>_xlfn.XLOOKUP(F25,Department!$A$2:$A$6,Department!$B$2:$B$6)</f>
        <v>Finance</v>
      </c>
      <c r="N25" s="30">
        <f>_xlfn.XLOOKUP(A25,Performance!$A$2:$A$501,Performance!$C$2:$C$501)</f>
        <v>4</v>
      </c>
      <c r="O25" s="28" cm="1">
        <f t="array" ref="O25">_xlfn.IFS(N25=5,I25*15%,N25=4,I25*10%,N25=3,I25*7%,N25&lt;3,I25*5%)</f>
        <v>7957.8</v>
      </c>
    </row>
    <row r="26" spans="1:15">
      <c r="A26" s="24" t="s">
        <v>110</v>
      </c>
      <c r="B26" s="25" t="s">
        <v>74</v>
      </c>
      <c r="C26" s="25" t="s">
        <v>84</v>
      </c>
      <c r="D26" s="25" t="s">
        <v>28</v>
      </c>
      <c r="E26" s="25">
        <v>47</v>
      </c>
      <c r="F26" s="25" t="s">
        <v>29</v>
      </c>
      <c r="G26" s="25" t="s">
        <v>102</v>
      </c>
      <c r="H26" s="26">
        <v>44537</v>
      </c>
      <c r="I26" s="25">
        <v>111899</v>
      </c>
      <c r="J26" s="25" t="s">
        <v>67</v>
      </c>
      <c r="K26" s="25" t="s">
        <v>111</v>
      </c>
      <c r="L26" s="27" t="s">
        <v>39</v>
      </c>
      <c r="M26" s="28" t="str">
        <f>_xlfn.XLOOKUP(F26,Department!$A$2:$A$6,Department!$B$2:$B$6)</f>
        <v>IT</v>
      </c>
      <c r="N26" s="30">
        <f>_xlfn.XLOOKUP(A26,Performance!$A$2:$A$501,Performance!$C$2:$C$501)</f>
        <v>4</v>
      </c>
      <c r="O26" s="28" cm="1">
        <f t="array" ref="O26">_xlfn.IFS(N26=5,I26*15%,N26=4,I26*10%,N26=3,I26*7%,N26&lt;3,I26*5%)</f>
        <v>11189.900000000001</v>
      </c>
    </row>
    <row r="27" spans="1:15">
      <c r="A27" s="24" t="s">
        <v>112</v>
      </c>
      <c r="B27" s="25" t="s">
        <v>61</v>
      </c>
      <c r="C27" s="25" t="s">
        <v>18</v>
      </c>
      <c r="D27" s="25" t="s">
        <v>28</v>
      </c>
      <c r="E27" s="25">
        <v>47</v>
      </c>
      <c r="F27" s="25" t="s">
        <v>35</v>
      </c>
      <c r="G27" s="25" t="s">
        <v>30</v>
      </c>
      <c r="H27" s="26">
        <v>45101</v>
      </c>
      <c r="I27" s="25">
        <v>95862</v>
      </c>
      <c r="J27" s="25" t="s">
        <v>22</v>
      </c>
      <c r="K27" s="25" t="s">
        <v>113</v>
      </c>
      <c r="L27" s="27" t="s">
        <v>24</v>
      </c>
      <c r="M27" s="28" t="str">
        <f>_xlfn.XLOOKUP(F27,Department!$A$2:$A$6,Department!$B$2:$B$6)</f>
        <v>Sales</v>
      </c>
      <c r="N27" s="30">
        <f>_xlfn.XLOOKUP(A27,Performance!$A$2:$A$501,Performance!$C$2:$C$501)</f>
        <v>1</v>
      </c>
      <c r="O27" s="28" cm="1">
        <f t="array" ref="O27">_xlfn.IFS(N27=5,I27*15%,N27=4,I27*10%,N27=3,I27*7%,N27&lt;3,I27*5%)</f>
        <v>4793.1000000000004</v>
      </c>
    </row>
    <row r="28" spans="1:15">
      <c r="A28" s="24" t="s">
        <v>114</v>
      </c>
      <c r="B28" s="25" t="s">
        <v>17</v>
      </c>
      <c r="C28" s="25" t="s">
        <v>84</v>
      </c>
      <c r="D28" s="25" t="s">
        <v>19</v>
      </c>
      <c r="E28" s="25">
        <v>49</v>
      </c>
      <c r="F28" s="25" t="s">
        <v>29</v>
      </c>
      <c r="G28" s="25" t="s">
        <v>21</v>
      </c>
      <c r="H28" s="26">
        <v>44113</v>
      </c>
      <c r="I28" s="25">
        <v>110397</v>
      </c>
      <c r="J28" s="25" t="s">
        <v>81</v>
      </c>
      <c r="K28" s="25" t="s">
        <v>115</v>
      </c>
      <c r="L28" s="27" t="s">
        <v>39</v>
      </c>
      <c r="M28" s="28" t="str">
        <f>_xlfn.XLOOKUP(F28,Department!$A$2:$A$6,Department!$B$2:$B$6)</f>
        <v>IT</v>
      </c>
      <c r="N28" s="30">
        <f>_xlfn.XLOOKUP(A28,Performance!$A$2:$A$501,Performance!$C$2:$C$501)</f>
        <v>1</v>
      </c>
      <c r="O28" s="28" cm="1">
        <f t="array" ref="O28">_xlfn.IFS(N28=5,I28*15%,N28=4,I28*10%,N28=3,I28*7%,N28&lt;3,I28*5%)</f>
        <v>5519.85</v>
      </c>
    </row>
    <row r="29" spans="1:15">
      <c r="A29" s="24" t="s">
        <v>116</v>
      </c>
      <c r="B29" s="25" t="s">
        <v>48</v>
      </c>
      <c r="C29" s="25" t="s">
        <v>117</v>
      </c>
      <c r="D29" s="25" t="s">
        <v>19</v>
      </c>
      <c r="E29" s="25">
        <v>27</v>
      </c>
      <c r="F29" s="25" t="s">
        <v>54</v>
      </c>
      <c r="G29" s="25" t="s">
        <v>30</v>
      </c>
      <c r="H29" s="26">
        <v>44355</v>
      </c>
      <c r="I29" s="25">
        <v>111149</v>
      </c>
      <c r="J29" s="25" t="s">
        <v>81</v>
      </c>
      <c r="K29" s="25" t="s">
        <v>118</v>
      </c>
      <c r="L29" s="27" t="s">
        <v>24</v>
      </c>
      <c r="M29" s="28" t="str">
        <f>_xlfn.XLOOKUP(F29,Department!$A$2:$A$6,Department!$B$2:$B$6)</f>
        <v>Finance</v>
      </c>
      <c r="N29" s="30">
        <f>_xlfn.XLOOKUP(A29,Performance!$A$2:$A$501,Performance!$C$2:$C$501)</f>
        <v>4</v>
      </c>
      <c r="O29" s="28" cm="1">
        <f t="array" ref="O29">_xlfn.IFS(N29=5,I29*15%,N29=4,I29*10%,N29=3,I29*7%,N29&lt;3,I29*5%)</f>
        <v>11114.900000000001</v>
      </c>
    </row>
    <row r="30" spans="1:15">
      <c r="A30" s="24" t="s">
        <v>119</v>
      </c>
      <c r="B30" s="25" t="s">
        <v>58</v>
      </c>
      <c r="C30" s="25" t="s">
        <v>80</v>
      </c>
      <c r="D30" s="25" t="s">
        <v>28</v>
      </c>
      <c r="E30" s="25">
        <v>36</v>
      </c>
      <c r="F30" s="25" t="s">
        <v>35</v>
      </c>
      <c r="G30" s="25" t="s">
        <v>21</v>
      </c>
      <c r="H30" s="26">
        <v>44600</v>
      </c>
      <c r="I30" s="25">
        <v>67035</v>
      </c>
      <c r="J30" s="25" t="s">
        <v>81</v>
      </c>
      <c r="K30" s="25" t="s">
        <v>120</v>
      </c>
      <c r="L30" s="27" t="s">
        <v>39</v>
      </c>
      <c r="M30" s="28" t="str">
        <f>_xlfn.XLOOKUP(F30,Department!$A$2:$A$6,Department!$B$2:$B$6)</f>
        <v>Sales</v>
      </c>
      <c r="N30" s="30">
        <f>_xlfn.XLOOKUP(A30,Performance!$A$2:$A$501,Performance!$C$2:$C$501)</f>
        <v>5</v>
      </c>
      <c r="O30" s="28" cm="1">
        <f t="array" ref="O30">_xlfn.IFS(N30=5,I30*15%,N30=4,I30*10%,N30=3,I30*7%,N30&lt;3,I30*5%)</f>
        <v>10055.25</v>
      </c>
    </row>
    <row r="31" spans="1:15">
      <c r="A31" s="24" t="s">
        <v>121</v>
      </c>
      <c r="B31" s="25" t="s">
        <v>42</v>
      </c>
      <c r="C31" s="25" t="s">
        <v>18</v>
      </c>
      <c r="D31" s="25" t="s">
        <v>28</v>
      </c>
      <c r="E31" s="25">
        <v>41</v>
      </c>
      <c r="F31" s="25" t="s">
        <v>29</v>
      </c>
      <c r="G31" s="25" t="s">
        <v>21</v>
      </c>
      <c r="H31" s="26">
        <v>44336</v>
      </c>
      <c r="I31" s="25">
        <v>103851</v>
      </c>
      <c r="J31" s="25" t="s">
        <v>37</v>
      </c>
      <c r="K31" s="25" t="s">
        <v>122</v>
      </c>
      <c r="L31" s="27" t="s">
        <v>39</v>
      </c>
      <c r="M31" s="28" t="str">
        <f>_xlfn.XLOOKUP(F31,Department!$A$2:$A$6,Department!$B$2:$B$6)</f>
        <v>IT</v>
      </c>
      <c r="N31" s="30">
        <f>_xlfn.XLOOKUP(A31,Performance!$A$2:$A$501,Performance!$C$2:$C$501)</f>
        <v>2</v>
      </c>
      <c r="O31" s="28" cm="1">
        <f t="array" ref="O31">_xlfn.IFS(N31=5,I31*15%,N31=4,I31*10%,N31=3,I31*7%,N31&lt;3,I31*5%)</f>
        <v>5192.55</v>
      </c>
    </row>
    <row r="32" spans="1:15">
      <c r="A32" s="24" t="s">
        <v>123</v>
      </c>
      <c r="B32" s="25" t="s">
        <v>17</v>
      </c>
      <c r="C32" s="25" t="s">
        <v>49</v>
      </c>
      <c r="D32" s="25" t="s">
        <v>19</v>
      </c>
      <c r="E32" s="25">
        <v>26</v>
      </c>
      <c r="F32" s="25" t="s">
        <v>43</v>
      </c>
      <c r="G32" s="25" t="s">
        <v>102</v>
      </c>
      <c r="H32" s="26">
        <v>43685</v>
      </c>
      <c r="I32" s="25">
        <v>63676</v>
      </c>
      <c r="J32" s="25" t="s">
        <v>22</v>
      </c>
      <c r="K32" s="25" t="s">
        <v>124</v>
      </c>
      <c r="L32" s="27" t="s">
        <v>39</v>
      </c>
      <c r="M32" s="28" t="str">
        <f>_xlfn.XLOOKUP(F32,Department!$A$2:$A$6,Department!$B$2:$B$6)</f>
        <v>Marketing</v>
      </c>
      <c r="N32" s="30">
        <f>_xlfn.XLOOKUP(A32,Performance!$A$2:$A$501,Performance!$C$2:$C$501)</f>
        <v>1</v>
      </c>
      <c r="O32" s="28" cm="1">
        <f t="array" ref="O32">_xlfn.IFS(N32=5,I32*15%,N32=4,I32*10%,N32=3,I32*7%,N32&lt;3,I32*5%)</f>
        <v>3183.8</v>
      </c>
    </row>
    <row r="33" spans="1:15">
      <c r="A33" s="24" t="s">
        <v>125</v>
      </c>
      <c r="B33" s="25" t="s">
        <v>126</v>
      </c>
      <c r="C33" s="25" t="s">
        <v>93</v>
      </c>
      <c r="D33" s="25" t="s">
        <v>19</v>
      </c>
      <c r="E33" s="25">
        <v>31</v>
      </c>
      <c r="F33" s="25" t="s">
        <v>20</v>
      </c>
      <c r="G33" s="25" t="s">
        <v>44</v>
      </c>
      <c r="H33" s="26">
        <v>43784</v>
      </c>
      <c r="I33" s="25">
        <v>115269</v>
      </c>
      <c r="J33" s="25" t="s">
        <v>81</v>
      </c>
      <c r="K33" s="25" t="s">
        <v>127</v>
      </c>
      <c r="L33" s="27" t="s">
        <v>39</v>
      </c>
      <c r="M33" s="28" t="str">
        <f>_xlfn.XLOOKUP(F33,Department!$A$2:$A$6,Department!$B$2:$B$6)</f>
        <v>HR</v>
      </c>
      <c r="N33" s="30">
        <f>_xlfn.XLOOKUP(A33,Performance!$A$2:$A$501,Performance!$C$2:$C$501)</f>
        <v>4</v>
      </c>
      <c r="O33" s="28" cm="1">
        <f t="array" ref="O33">_xlfn.IFS(N33=5,I33*15%,N33=4,I33*10%,N33=3,I33*7%,N33&lt;3,I33*5%)</f>
        <v>11526.900000000001</v>
      </c>
    </row>
    <row r="34" spans="1:15">
      <c r="A34" s="24" t="s">
        <v>128</v>
      </c>
      <c r="B34" s="25" t="s">
        <v>126</v>
      </c>
      <c r="C34" s="25" t="s">
        <v>66</v>
      </c>
      <c r="D34" s="25" t="s">
        <v>28</v>
      </c>
      <c r="E34" s="25">
        <v>47</v>
      </c>
      <c r="F34" s="25" t="s">
        <v>35</v>
      </c>
      <c r="G34" s="25" t="s">
        <v>21</v>
      </c>
      <c r="H34" s="26">
        <v>43634</v>
      </c>
      <c r="I34" s="25">
        <v>77203</v>
      </c>
      <c r="J34" s="25" t="s">
        <v>37</v>
      </c>
      <c r="K34" s="25" t="s">
        <v>129</v>
      </c>
      <c r="L34" s="27" t="s">
        <v>24</v>
      </c>
      <c r="M34" s="28" t="str">
        <f>_xlfn.XLOOKUP(F34,Department!$A$2:$A$6,Department!$B$2:$B$6)</f>
        <v>Sales</v>
      </c>
      <c r="N34" s="30">
        <f>_xlfn.XLOOKUP(A34,Performance!$A$2:$A$501,Performance!$C$2:$C$501)</f>
        <v>5</v>
      </c>
      <c r="O34" s="28" cm="1">
        <f t="array" ref="O34">_xlfn.IFS(N34=5,I34*15%,N34=4,I34*10%,N34=3,I34*7%,N34&lt;3,I34*5%)</f>
        <v>11580.449999999999</v>
      </c>
    </row>
    <row r="35" spans="1:15">
      <c r="A35" s="24" t="s">
        <v>130</v>
      </c>
      <c r="B35" s="25" t="s">
        <v>61</v>
      </c>
      <c r="C35" s="25" t="s">
        <v>84</v>
      </c>
      <c r="D35" s="25" t="s">
        <v>28</v>
      </c>
      <c r="E35" s="25">
        <v>57</v>
      </c>
      <c r="F35" s="25" t="s">
        <v>20</v>
      </c>
      <c r="G35" s="25" t="s">
        <v>102</v>
      </c>
      <c r="H35" s="26">
        <v>45366</v>
      </c>
      <c r="I35" s="25">
        <v>113291</v>
      </c>
      <c r="J35" s="25" t="s">
        <v>81</v>
      </c>
      <c r="K35" s="25" t="s">
        <v>131</v>
      </c>
      <c r="L35" s="27" t="s">
        <v>39</v>
      </c>
      <c r="M35" s="28" t="str">
        <f>_xlfn.XLOOKUP(F35,Department!$A$2:$A$6,Department!$B$2:$B$6)</f>
        <v>HR</v>
      </c>
      <c r="N35" s="30">
        <f>_xlfn.XLOOKUP(A35,Performance!$A$2:$A$501,Performance!$C$2:$C$501)</f>
        <v>1</v>
      </c>
      <c r="O35" s="28" cm="1">
        <f t="array" ref="O35">_xlfn.IFS(N35=5,I35*15%,N35=4,I35*10%,N35=3,I35*7%,N35&lt;3,I35*5%)</f>
        <v>5664.55</v>
      </c>
    </row>
    <row r="36" spans="1:15">
      <c r="A36" s="24" t="s">
        <v>132</v>
      </c>
      <c r="B36" s="25" t="s">
        <v>42</v>
      </c>
      <c r="C36" s="25" t="s">
        <v>80</v>
      </c>
      <c r="D36" s="25" t="s">
        <v>19</v>
      </c>
      <c r="E36" s="25">
        <v>45</v>
      </c>
      <c r="F36" s="25" t="s">
        <v>20</v>
      </c>
      <c r="G36" s="25" t="s">
        <v>21</v>
      </c>
      <c r="H36" s="26">
        <v>44525</v>
      </c>
      <c r="I36" s="25">
        <v>93729</v>
      </c>
      <c r="J36" s="25" t="s">
        <v>81</v>
      </c>
      <c r="K36" s="25" t="s">
        <v>133</v>
      </c>
      <c r="L36" s="27" t="s">
        <v>39</v>
      </c>
      <c r="M36" s="28" t="str">
        <f>_xlfn.XLOOKUP(F36,Department!$A$2:$A$6,Department!$B$2:$B$6)</f>
        <v>HR</v>
      </c>
      <c r="N36" s="30">
        <f>_xlfn.XLOOKUP(A36,Performance!$A$2:$A$501,Performance!$C$2:$C$501)</f>
        <v>5</v>
      </c>
      <c r="O36" s="28" cm="1">
        <f t="array" ref="O36">_xlfn.IFS(N36=5,I36*15%,N36=4,I36*10%,N36=3,I36*7%,N36&lt;3,I36*5%)</f>
        <v>14059.35</v>
      </c>
    </row>
    <row r="37" spans="1:15">
      <c r="A37" s="24" t="s">
        <v>134</v>
      </c>
      <c r="B37" s="25" t="s">
        <v>34</v>
      </c>
      <c r="C37" s="25" t="s">
        <v>49</v>
      </c>
      <c r="D37" s="25" t="s">
        <v>28</v>
      </c>
      <c r="E37" s="25">
        <v>40</v>
      </c>
      <c r="F37" s="25" t="s">
        <v>43</v>
      </c>
      <c r="G37" s="25" t="s">
        <v>102</v>
      </c>
      <c r="H37" s="26">
        <v>43266</v>
      </c>
      <c r="I37" s="25">
        <v>35947</v>
      </c>
      <c r="J37" s="25" t="s">
        <v>67</v>
      </c>
      <c r="K37" s="25" t="s">
        <v>135</v>
      </c>
      <c r="L37" s="27" t="s">
        <v>39</v>
      </c>
      <c r="M37" s="28" t="str">
        <f>_xlfn.XLOOKUP(F37,Department!$A$2:$A$6,Department!$B$2:$B$6)</f>
        <v>Marketing</v>
      </c>
      <c r="N37" s="30">
        <f>_xlfn.XLOOKUP(A37,Performance!$A$2:$A$501,Performance!$C$2:$C$501)</f>
        <v>1</v>
      </c>
      <c r="O37" s="28" cm="1">
        <f t="array" ref="O37">_xlfn.IFS(N37=5,I37*15%,N37=4,I37*10%,N37=3,I37*7%,N37&lt;3,I37*5%)</f>
        <v>1797.3500000000001</v>
      </c>
    </row>
    <row r="38" spans="1:15">
      <c r="A38" s="24" t="s">
        <v>136</v>
      </c>
      <c r="B38" s="25" t="s">
        <v>17</v>
      </c>
      <c r="C38" s="25" t="s">
        <v>49</v>
      </c>
      <c r="D38" s="25" t="s">
        <v>19</v>
      </c>
      <c r="E38" s="25">
        <v>49</v>
      </c>
      <c r="F38" s="25" t="s">
        <v>43</v>
      </c>
      <c r="G38" s="25" t="s">
        <v>30</v>
      </c>
      <c r="H38" s="26">
        <v>44340</v>
      </c>
      <c r="I38" s="25">
        <v>72311</v>
      </c>
      <c r="J38" s="25" t="s">
        <v>81</v>
      </c>
      <c r="K38" s="25" t="s">
        <v>137</v>
      </c>
      <c r="L38" s="27" t="s">
        <v>39</v>
      </c>
      <c r="M38" s="28" t="str">
        <f>_xlfn.XLOOKUP(F38,Department!$A$2:$A$6,Department!$B$2:$B$6)</f>
        <v>Marketing</v>
      </c>
      <c r="N38" s="30">
        <f>_xlfn.XLOOKUP(A38,Performance!$A$2:$A$501,Performance!$C$2:$C$501)</f>
        <v>4</v>
      </c>
      <c r="O38" s="28" cm="1">
        <f t="array" ref="O38">_xlfn.IFS(N38=5,I38*15%,N38=4,I38*10%,N38=3,I38*7%,N38&lt;3,I38*5%)</f>
        <v>7231.1</v>
      </c>
    </row>
    <row r="39" spans="1:15">
      <c r="A39" s="24" t="s">
        <v>138</v>
      </c>
      <c r="B39" s="25" t="s">
        <v>126</v>
      </c>
      <c r="C39" s="25" t="s">
        <v>89</v>
      </c>
      <c r="D39" s="25" t="s">
        <v>28</v>
      </c>
      <c r="E39" s="25">
        <v>53</v>
      </c>
      <c r="F39" s="25" t="s">
        <v>54</v>
      </c>
      <c r="G39" s="25" t="s">
        <v>44</v>
      </c>
      <c r="H39" s="26">
        <v>44148</v>
      </c>
      <c r="I39" s="25">
        <v>38763</v>
      </c>
      <c r="J39" s="25" t="s">
        <v>62</v>
      </c>
      <c r="K39" s="25" t="s">
        <v>139</v>
      </c>
      <c r="L39" s="27" t="s">
        <v>24</v>
      </c>
      <c r="M39" s="28" t="str">
        <f>_xlfn.XLOOKUP(F39,Department!$A$2:$A$6,Department!$B$2:$B$6)</f>
        <v>Finance</v>
      </c>
      <c r="N39" s="30">
        <f>_xlfn.XLOOKUP(A39,Performance!$A$2:$A$501,Performance!$C$2:$C$501)</f>
        <v>4</v>
      </c>
      <c r="O39" s="28" cm="1">
        <f t="array" ref="O39">_xlfn.IFS(N39=5,I39*15%,N39=4,I39*10%,N39=3,I39*7%,N39&lt;3,I39*5%)</f>
        <v>3876.3</v>
      </c>
    </row>
    <row r="40" spans="1:15">
      <c r="A40" s="24" t="s">
        <v>140</v>
      </c>
      <c r="B40" s="25" t="s">
        <v>42</v>
      </c>
      <c r="C40" s="25" t="s">
        <v>141</v>
      </c>
      <c r="D40" s="25" t="s">
        <v>19</v>
      </c>
      <c r="E40" s="25">
        <v>54</v>
      </c>
      <c r="F40" s="25" t="s">
        <v>35</v>
      </c>
      <c r="G40" s="25" t="s">
        <v>36</v>
      </c>
      <c r="H40" s="26">
        <v>43271</v>
      </c>
      <c r="I40" s="25">
        <v>101175</v>
      </c>
      <c r="J40" s="25" t="s">
        <v>62</v>
      </c>
      <c r="K40" s="25" t="s">
        <v>142</v>
      </c>
      <c r="L40" s="27" t="s">
        <v>24</v>
      </c>
      <c r="M40" s="28" t="str">
        <f>_xlfn.XLOOKUP(F40,Department!$A$2:$A$6,Department!$B$2:$B$6)</f>
        <v>Sales</v>
      </c>
      <c r="N40" s="30">
        <f>_xlfn.XLOOKUP(A40,Performance!$A$2:$A$501,Performance!$C$2:$C$501)</f>
        <v>3</v>
      </c>
      <c r="O40" s="28" cm="1">
        <f t="array" ref="O40">_xlfn.IFS(N40=5,I40*15%,N40=4,I40*10%,N40=3,I40*7%,N40&lt;3,I40*5%)</f>
        <v>7082.2500000000009</v>
      </c>
    </row>
    <row r="41" spans="1:15">
      <c r="A41" s="24" t="s">
        <v>143</v>
      </c>
      <c r="B41" s="25" t="s">
        <v>126</v>
      </c>
      <c r="C41" s="25" t="s">
        <v>89</v>
      </c>
      <c r="D41" s="25" t="s">
        <v>19</v>
      </c>
      <c r="E41" s="25">
        <v>41</v>
      </c>
      <c r="F41" s="25" t="s">
        <v>29</v>
      </c>
      <c r="G41" s="25" t="s">
        <v>102</v>
      </c>
      <c r="H41" s="26">
        <v>43431</v>
      </c>
      <c r="I41" s="25">
        <v>36386</v>
      </c>
      <c r="J41" s="25" t="s">
        <v>67</v>
      </c>
      <c r="K41" s="25" t="s">
        <v>144</v>
      </c>
      <c r="L41" s="27" t="s">
        <v>24</v>
      </c>
      <c r="M41" s="28" t="str">
        <f>_xlfn.XLOOKUP(F41,Department!$A$2:$A$6,Department!$B$2:$B$6)</f>
        <v>IT</v>
      </c>
      <c r="N41" s="30">
        <f>_xlfn.XLOOKUP(A41,Performance!$A$2:$A$501,Performance!$C$2:$C$501)</f>
        <v>2</v>
      </c>
      <c r="O41" s="28" cm="1">
        <f t="array" ref="O41">_xlfn.IFS(N41=5,I41*15%,N41=4,I41*10%,N41=3,I41*7%,N41&lt;3,I41*5%)</f>
        <v>1819.3000000000002</v>
      </c>
    </row>
    <row r="42" spans="1:15">
      <c r="A42" s="24" t="s">
        <v>145</v>
      </c>
      <c r="B42" s="25" t="s">
        <v>74</v>
      </c>
      <c r="C42" s="25" t="s">
        <v>49</v>
      </c>
      <c r="D42" s="25" t="s">
        <v>19</v>
      </c>
      <c r="E42" s="25">
        <v>56</v>
      </c>
      <c r="F42" s="25" t="s">
        <v>43</v>
      </c>
      <c r="G42" s="25" t="s">
        <v>44</v>
      </c>
      <c r="H42" s="26">
        <v>44526</v>
      </c>
      <c r="I42" s="25">
        <v>76395</v>
      </c>
      <c r="J42" s="25" t="s">
        <v>22</v>
      </c>
      <c r="K42" s="25" t="s">
        <v>146</v>
      </c>
      <c r="L42" s="27" t="s">
        <v>39</v>
      </c>
      <c r="M42" s="28" t="str">
        <f>_xlfn.XLOOKUP(F42,Department!$A$2:$A$6,Department!$B$2:$B$6)</f>
        <v>Marketing</v>
      </c>
      <c r="N42" s="30">
        <f>_xlfn.XLOOKUP(A42,Performance!$A$2:$A$501,Performance!$C$2:$C$501)</f>
        <v>4</v>
      </c>
      <c r="O42" s="28" cm="1">
        <f t="array" ref="O42">_xlfn.IFS(N42=5,I42*15%,N42=4,I42*10%,N42=3,I42*7%,N42&lt;3,I42*5%)</f>
        <v>7639.5</v>
      </c>
    </row>
    <row r="43" spans="1:15">
      <c r="A43" s="24" t="s">
        <v>147</v>
      </c>
      <c r="B43" s="25" t="s">
        <v>48</v>
      </c>
      <c r="C43" s="25" t="s">
        <v>93</v>
      </c>
      <c r="D43" s="25" t="s">
        <v>28</v>
      </c>
      <c r="E43" s="25">
        <v>49</v>
      </c>
      <c r="F43" s="25" t="s">
        <v>35</v>
      </c>
      <c r="G43" s="25" t="s">
        <v>102</v>
      </c>
      <c r="H43" s="26">
        <v>43489</v>
      </c>
      <c r="I43" s="25">
        <v>43701</v>
      </c>
      <c r="J43" s="25" t="s">
        <v>62</v>
      </c>
      <c r="K43" s="25" t="s">
        <v>148</v>
      </c>
      <c r="L43" s="27" t="s">
        <v>24</v>
      </c>
      <c r="M43" s="28" t="str">
        <f>_xlfn.XLOOKUP(F43,Department!$A$2:$A$6,Department!$B$2:$B$6)</f>
        <v>Sales</v>
      </c>
      <c r="N43" s="30">
        <f>_xlfn.XLOOKUP(A43,Performance!$A$2:$A$501,Performance!$C$2:$C$501)</f>
        <v>3</v>
      </c>
      <c r="O43" s="28" cm="1">
        <f t="array" ref="O43">_xlfn.IFS(N43=5,I43*15%,N43=4,I43*10%,N43=3,I43*7%,N43&lt;3,I43*5%)</f>
        <v>3059.07</v>
      </c>
    </row>
    <row r="44" spans="1:15">
      <c r="A44" s="24" t="s">
        <v>149</v>
      </c>
      <c r="B44" s="25" t="s">
        <v>92</v>
      </c>
      <c r="C44" s="25" t="s">
        <v>117</v>
      </c>
      <c r="D44" s="25" t="s">
        <v>28</v>
      </c>
      <c r="E44" s="25">
        <v>32</v>
      </c>
      <c r="F44" s="25" t="s">
        <v>29</v>
      </c>
      <c r="G44" s="25" t="s">
        <v>21</v>
      </c>
      <c r="H44" s="26">
        <v>43116</v>
      </c>
      <c r="I44" s="25">
        <v>85198</v>
      </c>
      <c r="J44" s="25" t="s">
        <v>62</v>
      </c>
      <c r="K44" s="25" t="s">
        <v>150</v>
      </c>
      <c r="L44" s="27" t="s">
        <v>24</v>
      </c>
      <c r="M44" s="28" t="str">
        <f>_xlfn.XLOOKUP(F44,Department!$A$2:$A$6,Department!$B$2:$B$6)</f>
        <v>IT</v>
      </c>
      <c r="N44" s="30">
        <f>_xlfn.XLOOKUP(A44,Performance!$A$2:$A$501,Performance!$C$2:$C$501)</f>
        <v>5</v>
      </c>
      <c r="O44" s="28" cm="1">
        <f t="array" ref="O44">_xlfn.IFS(N44=5,I44*15%,N44=4,I44*10%,N44=3,I44*7%,N44&lt;3,I44*5%)</f>
        <v>12779.699999999999</v>
      </c>
    </row>
    <row r="45" spans="1:15">
      <c r="A45" s="24" t="s">
        <v>151</v>
      </c>
      <c r="B45" s="25" t="s">
        <v>17</v>
      </c>
      <c r="C45" s="25" t="s">
        <v>117</v>
      </c>
      <c r="D45" s="25" t="s">
        <v>19</v>
      </c>
      <c r="E45" s="25">
        <v>26</v>
      </c>
      <c r="F45" s="25" t="s">
        <v>20</v>
      </c>
      <c r="G45" s="25" t="s">
        <v>44</v>
      </c>
      <c r="H45" s="26">
        <v>44932</v>
      </c>
      <c r="I45" s="25">
        <v>39451</v>
      </c>
      <c r="J45" s="25" t="s">
        <v>81</v>
      </c>
      <c r="K45" s="25" t="s">
        <v>152</v>
      </c>
      <c r="L45" s="27" t="s">
        <v>24</v>
      </c>
      <c r="M45" s="28" t="str">
        <f>_xlfn.XLOOKUP(F45,Department!$A$2:$A$6,Department!$B$2:$B$6)</f>
        <v>HR</v>
      </c>
      <c r="N45" s="30">
        <f>_xlfn.XLOOKUP(A45,Performance!$A$2:$A$501,Performance!$C$2:$C$501)</f>
        <v>3</v>
      </c>
      <c r="O45" s="28" cm="1">
        <f t="array" ref="O45">_xlfn.IFS(N45=5,I45*15%,N45=4,I45*10%,N45=3,I45*7%,N45&lt;3,I45*5%)</f>
        <v>2761.57</v>
      </c>
    </row>
    <row r="46" spans="1:15">
      <c r="A46" s="24" t="s">
        <v>153</v>
      </c>
      <c r="B46" s="25" t="s">
        <v>126</v>
      </c>
      <c r="C46" s="25" t="s">
        <v>141</v>
      </c>
      <c r="D46" s="25" t="s">
        <v>19</v>
      </c>
      <c r="E46" s="25">
        <v>26</v>
      </c>
      <c r="F46" s="25" t="s">
        <v>35</v>
      </c>
      <c r="G46" s="25" t="s">
        <v>44</v>
      </c>
      <c r="H46" s="26">
        <v>45499</v>
      </c>
      <c r="I46" s="25">
        <v>45087</v>
      </c>
      <c r="J46" s="25" t="s">
        <v>81</v>
      </c>
      <c r="K46" s="25" t="s">
        <v>154</v>
      </c>
      <c r="L46" s="27" t="s">
        <v>24</v>
      </c>
      <c r="M46" s="28" t="str">
        <f>_xlfn.XLOOKUP(F46,Department!$A$2:$A$6,Department!$B$2:$B$6)</f>
        <v>Sales</v>
      </c>
      <c r="N46" s="30">
        <f>_xlfn.XLOOKUP(A46,Performance!$A$2:$A$501,Performance!$C$2:$C$501)</f>
        <v>1</v>
      </c>
      <c r="O46" s="28" cm="1">
        <f t="array" ref="O46">_xlfn.IFS(N46=5,I46*15%,N46=4,I46*10%,N46=3,I46*7%,N46&lt;3,I46*5%)</f>
        <v>2254.35</v>
      </c>
    </row>
    <row r="47" spans="1:15">
      <c r="A47" s="24" t="s">
        <v>155</v>
      </c>
      <c r="B47" s="25" t="s">
        <v>34</v>
      </c>
      <c r="C47" s="25" t="s">
        <v>93</v>
      </c>
      <c r="D47" s="25" t="s">
        <v>28</v>
      </c>
      <c r="E47" s="25">
        <v>26</v>
      </c>
      <c r="F47" s="25" t="s">
        <v>35</v>
      </c>
      <c r="G47" s="25" t="s">
        <v>21</v>
      </c>
      <c r="H47" s="26">
        <v>45395</v>
      </c>
      <c r="I47" s="25">
        <v>38222</v>
      </c>
      <c r="J47" s="25" t="s">
        <v>67</v>
      </c>
      <c r="K47" s="25" t="s">
        <v>156</v>
      </c>
      <c r="L47" s="27" t="s">
        <v>39</v>
      </c>
      <c r="M47" s="28" t="str">
        <f>_xlfn.XLOOKUP(F47,Department!$A$2:$A$6,Department!$B$2:$B$6)</f>
        <v>Sales</v>
      </c>
      <c r="N47" s="30">
        <f>_xlfn.XLOOKUP(A47,Performance!$A$2:$A$501,Performance!$C$2:$C$501)</f>
        <v>4</v>
      </c>
      <c r="O47" s="28" cm="1">
        <f t="array" ref="O47">_xlfn.IFS(N47=5,I47*15%,N47=4,I47*10%,N47=3,I47*7%,N47&lt;3,I47*5%)</f>
        <v>3822.2000000000003</v>
      </c>
    </row>
    <row r="48" spans="1:15">
      <c r="A48" s="24" t="s">
        <v>157</v>
      </c>
      <c r="B48" s="25" t="s">
        <v>74</v>
      </c>
      <c r="C48" s="25" t="s">
        <v>66</v>
      </c>
      <c r="D48" s="25" t="s">
        <v>19</v>
      </c>
      <c r="E48" s="25">
        <v>57</v>
      </c>
      <c r="F48" s="25" t="s">
        <v>29</v>
      </c>
      <c r="G48" s="25" t="s">
        <v>30</v>
      </c>
      <c r="H48" s="26">
        <v>43708</v>
      </c>
      <c r="I48" s="25">
        <v>96188</v>
      </c>
      <c r="J48" s="25" t="s">
        <v>62</v>
      </c>
      <c r="K48" s="25" t="s">
        <v>158</v>
      </c>
      <c r="L48" s="27" t="s">
        <v>24</v>
      </c>
      <c r="M48" s="28" t="str">
        <f>_xlfn.XLOOKUP(F48,Department!$A$2:$A$6,Department!$B$2:$B$6)</f>
        <v>IT</v>
      </c>
      <c r="N48" s="30">
        <f>_xlfn.XLOOKUP(A48,Performance!$A$2:$A$501,Performance!$C$2:$C$501)</f>
        <v>5</v>
      </c>
      <c r="O48" s="28" cm="1">
        <f t="array" ref="O48">_xlfn.IFS(N48=5,I48*15%,N48=4,I48*10%,N48=3,I48*7%,N48&lt;3,I48*5%)</f>
        <v>14428.199999999999</v>
      </c>
    </row>
    <row r="49" spans="1:15">
      <c r="A49" s="24" t="s">
        <v>159</v>
      </c>
      <c r="B49" s="25" t="s">
        <v>53</v>
      </c>
      <c r="C49" s="25" t="s">
        <v>84</v>
      </c>
      <c r="D49" s="25" t="s">
        <v>28</v>
      </c>
      <c r="E49" s="25">
        <v>32</v>
      </c>
      <c r="F49" s="25" t="s">
        <v>54</v>
      </c>
      <c r="G49" s="25" t="s">
        <v>21</v>
      </c>
      <c r="H49" s="26">
        <v>44546</v>
      </c>
      <c r="I49" s="25">
        <v>106013</v>
      </c>
      <c r="J49" s="25" t="s">
        <v>81</v>
      </c>
      <c r="K49" s="25" t="s">
        <v>160</v>
      </c>
      <c r="L49" s="27" t="s">
        <v>24</v>
      </c>
      <c r="M49" s="28" t="str">
        <f>_xlfn.XLOOKUP(F49,Department!$A$2:$A$6,Department!$B$2:$B$6)</f>
        <v>Finance</v>
      </c>
      <c r="N49" s="30">
        <f>_xlfn.XLOOKUP(A49,Performance!$A$2:$A$501,Performance!$C$2:$C$501)</f>
        <v>5</v>
      </c>
      <c r="O49" s="28" cm="1">
        <f t="array" ref="O49">_xlfn.IFS(N49=5,I49*15%,N49=4,I49*10%,N49=3,I49*7%,N49&lt;3,I49*5%)</f>
        <v>15901.949999999999</v>
      </c>
    </row>
    <row r="50" spans="1:15">
      <c r="A50" s="24" t="s">
        <v>161</v>
      </c>
      <c r="B50" s="25" t="s">
        <v>58</v>
      </c>
      <c r="C50" s="25" t="s">
        <v>93</v>
      </c>
      <c r="D50" s="25" t="s">
        <v>28</v>
      </c>
      <c r="E50" s="25">
        <v>52</v>
      </c>
      <c r="F50" s="25" t="s">
        <v>35</v>
      </c>
      <c r="G50" s="25" t="s">
        <v>30</v>
      </c>
      <c r="H50" s="26">
        <v>44212</v>
      </c>
      <c r="I50" s="25">
        <v>82014</v>
      </c>
      <c r="J50" s="25" t="s">
        <v>22</v>
      </c>
      <c r="K50" s="25" t="s">
        <v>162</v>
      </c>
      <c r="L50" s="27" t="s">
        <v>24</v>
      </c>
      <c r="M50" s="28" t="str">
        <f>_xlfn.XLOOKUP(F50,Department!$A$2:$A$6,Department!$B$2:$B$6)</f>
        <v>Sales</v>
      </c>
      <c r="N50" s="30">
        <f>_xlfn.XLOOKUP(A50,Performance!$A$2:$A$501,Performance!$C$2:$C$501)</f>
        <v>2</v>
      </c>
      <c r="O50" s="28" cm="1">
        <f t="array" ref="O50">_xlfn.IFS(N50=5,I50*15%,N50=4,I50*10%,N50=3,I50*7%,N50&lt;3,I50*5%)</f>
        <v>4100.7</v>
      </c>
    </row>
    <row r="51" spans="1:15">
      <c r="A51" s="24" t="s">
        <v>163</v>
      </c>
      <c r="B51" s="25" t="s">
        <v>42</v>
      </c>
      <c r="C51" s="25" t="s">
        <v>93</v>
      </c>
      <c r="D51" s="25" t="s">
        <v>28</v>
      </c>
      <c r="E51" s="25">
        <v>46</v>
      </c>
      <c r="F51" s="25" t="s">
        <v>35</v>
      </c>
      <c r="G51" s="25" t="s">
        <v>44</v>
      </c>
      <c r="H51" s="26">
        <v>45101</v>
      </c>
      <c r="I51" s="25">
        <v>84323</v>
      </c>
      <c r="J51" s="25" t="s">
        <v>37</v>
      </c>
      <c r="K51" s="25" t="s">
        <v>164</v>
      </c>
      <c r="L51" s="27" t="s">
        <v>24</v>
      </c>
      <c r="M51" s="28" t="str">
        <f>_xlfn.XLOOKUP(F51,Department!$A$2:$A$6,Department!$B$2:$B$6)</f>
        <v>Sales</v>
      </c>
      <c r="N51" s="30">
        <f>_xlfn.XLOOKUP(A51,Performance!$A$2:$A$501,Performance!$C$2:$C$501)</f>
        <v>1</v>
      </c>
      <c r="O51" s="28" cm="1">
        <f t="array" ref="O51">_xlfn.IFS(N51=5,I51*15%,N51=4,I51*10%,N51=3,I51*7%,N51&lt;3,I51*5%)</f>
        <v>4216.1500000000005</v>
      </c>
    </row>
    <row r="52" spans="1:15">
      <c r="A52" s="24" t="s">
        <v>165</v>
      </c>
      <c r="B52" s="25" t="s">
        <v>61</v>
      </c>
      <c r="C52" s="25" t="s">
        <v>66</v>
      </c>
      <c r="D52" s="25" t="s">
        <v>19</v>
      </c>
      <c r="E52" s="25">
        <v>42</v>
      </c>
      <c r="F52" s="25" t="s">
        <v>20</v>
      </c>
      <c r="G52" s="25" t="s">
        <v>21</v>
      </c>
      <c r="H52" s="26">
        <v>43514</v>
      </c>
      <c r="I52" s="25">
        <v>93289</v>
      </c>
      <c r="J52" s="25" t="s">
        <v>67</v>
      </c>
      <c r="K52" s="25" t="s">
        <v>166</v>
      </c>
      <c r="L52" s="27" t="s">
        <v>39</v>
      </c>
      <c r="M52" s="28" t="str">
        <f>_xlfn.XLOOKUP(F52,Department!$A$2:$A$6,Department!$B$2:$B$6)</f>
        <v>HR</v>
      </c>
      <c r="N52" s="30">
        <f>_xlfn.XLOOKUP(A52,Performance!$A$2:$A$501,Performance!$C$2:$C$501)</f>
        <v>5</v>
      </c>
      <c r="O52" s="28" cm="1">
        <f t="array" ref="O52">_xlfn.IFS(N52=5,I52*15%,N52=4,I52*10%,N52=3,I52*7%,N52&lt;3,I52*5%)</f>
        <v>13993.35</v>
      </c>
    </row>
    <row r="53" spans="1:15">
      <c r="A53" s="24" t="s">
        <v>167</v>
      </c>
      <c r="B53" s="25" t="s">
        <v>42</v>
      </c>
      <c r="C53" s="25" t="s">
        <v>117</v>
      </c>
      <c r="D53" s="25" t="s">
        <v>19</v>
      </c>
      <c r="E53" s="25">
        <v>46</v>
      </c>
      <c r="F53" s="25" t="s">
        <v>43</v>
      </c>
      <c r="G53" s="25" t="s">
        <v>44</v>
      </c>
      <c r="H53" s="26">
        <v>43228</v>
      </c>
      <c r="I53" s="25">
        <v>43926</v>
      </c>
      <c r="J53" s="25" t="s">
        <v>81</v>
      </c>
      <c r="K53" s="25" t="s">
        <v>168</v>
      </c>
      <c r="L53" s="27" t="s">
        <v>39</v>
      </c>
      <c r="M53" s="28" t="str">
        <f>_xlfn.XLOOKUP(F53,Department!$A$2:$A$6,Department!$B$2:$B$6)</f>
        <v>Marketing</v>
      </c>
      <c r="N53" s="30">
        <f>_xlfn.XLOOKUP(A53,Performance!$A$2:$A$501,Performance!$C$2:$C$501)</f>
        <v>4</v>
      </c>
      <c r="O53" s="28" cm="1">
        <f t="array" ref="O53">_xlfn.IFS(N53=5,I53*15%,N53=4,I53*10%,N53=3,I53*7%,N53&lt;3,I53*5%)</f>
        <v>4392.6000000000004</v>
      </c>
    </row>
    <row r="54" spans="1:15">
      <c r="A54" s="24" t="s">
        <v>169</v>
      </c>
      <c r="B54" s="25" t="s">
        <v>34</v>
      </c>
      <c r="C54" s="25" t="s">
        <v>27</v>
      </c>
      <c r="D54" s="25" t="s">
        <v>28</v>
      </c>
      <c r="E54" s="25">
        <v>57</v>
      </c>
      <c r="F54" s="25" t="s">
        <v>20</v>
      </c>
      <c r="G54" s="25" t="s">
        <v>36</v>
      </c>
      <c r="H54" s="26">
        <v>43385</v>
      </c>
      <c r="I54" s="25">
        <v>102761</v>
      </c>
      <c r="J54" s="25" t="s">
        <v>67</v>
      </c>
      <c r="K54" s="25" t="s">
        <v>170</v>
      </c>
      <c r="L54" s="27" t="s">
        <v>39</v>
      </c>
      <c r="M54" s="28" t="str">
        <f>_xlfn.XLOOKUP(F54,Department!$A$2:$A$6,Department!$B$2:$B$6)</f>
        <v>HR</v>
      </c>
      <c r="N54" s="30">
        <f>_xlfn.XLOOKUP(A54,Performance!$A$2:$A$501,Performance!$C$2:$C$501)</f>
        <v>4</v>
      </c>
      <c r="O54" s="28" cm="1">
        <f t="array" ref="O54">_xlfn.IFS(N54=5,I54*15%,N54=4,I54*10%,N54=3,I54*7%,N54&lt;3,I54*5%)</f>
        <v>10276.1</v>
      </c>
    </row>
    <row r="55" spans="1:15">
      <c r="A55" s="24" t="s">
        <v>171</v>
      </c>
      <c r="B55" s="25" t="s">
        <v>92</v>
      </c>
      <c r="C55" s="25" t="s">
        <v>93</v>
      </c>
      <c r="D55" s="25" t="s">
        <v>28</v>
      </c>
      <c r="E55" s="25">
        <v>58</v>
      </c>
      <c r="F55" s="25" t="s">
        <v>54</v>
      </c>
      <c r="G55" s="25" t="s">
        <v>102</v>
      </c>
      <c r="H55" s="26">
        <v>44189</v>
      </c>
      <c r="I55" s="25">
        <v>109960</v>
      </c>
      <c r="J55" s="25" t="s">
        <v>67</v>
      </c>
      <c r="K55" s="25" t="s">
        <v>172</v>
      </c>
      <c r="L55" s="27" t="s">
        <v>39</v>
      </c>
      <c r="M55" s="28" t="str">
        <f>_xlfn.XLOOKUP(F55,Department!$A$2:$A$6,Department!$B$2:$B$6)</f>
        <v>Finance</v>
      </c>
      <c r="N55" s="30">
        <f>_xlfn.XLOOKUP(A55,Performance!$A$2:$A$501,Performance!$C$2:$C$501)</f>
        <v>2</v>
      </c>
      <c r="O55" s="28" cm="1">
        <f t="array" ref="O55">_xlfn.IFS(N55=5,I55*15%,N55=4,I55*10%,N55=3,I55*7%,N55&lt;3,I55*5%)</f>
        <v>5498</v>
      </c>
    </row>
    <row r="56" spans="1:15">
      <c r="A56" s="24" t="s">
        <v>173</v>
      </c>
      <c r="B56" s="25" t="s">
        <v>74</v>
      </c>
      <c r="C56" s="25" t="s">
        <v>141</v>
      </c>
      <c r="D56" s="25" t="s">
        <v>28</v>
      </c>
      <c r="E56" s="25">
        <v>42</v>
      </c>
      <c r="F56" s="25" t="s">
        <v>54</v>
      </c>
      <c r="G56" s="25" t="s">
        <v>30</v>
      </c>
      <c r="H56" s="26">
        <v>44217</v>
      </c>
      <c r="I56" s="25">
        <v>83308</v>
      </c>
      <c r="J56" s="25" t="s">
        <v>62</v>
      </c>
      <c r="K56" s="25" t="s">
        <v>174</v>
      </c>
      <c r="L56" s="27" t="s">
        <v>39</v>
      </c>
      <c r="M56" s="28" t="str">
        <f>_xlfn.XLOOKUP(F56,Department!$A$2:$A$6,Department!$B$2:$B$6)</f>
        <v>Finance</v>
      </c>
      <c r="N56" s="30">
        <f>_xlfn.XLOOKUP(A56,Performance!$A$2:$A$501,Performance!$C$2:$C$501)</f>
        <v>1</v>
      </c>
      <c r="O56" s="28" cm="1">
        <f t="array" ref="O56">_xlfn.IFS(N56=5,I56*15%,N56=4,I56*10%,N56=3,I56*7%,N56&lt;3,I56*5%)</f>
        <v>4165.4000000000005</v>
      </c>
    </row>
    <row r="57" spans="1:15">
      <c r="A57" s="24" t="s">
        <v>175</v>
      </c>
      <c r="B57" s="25" t="s">
        <v>74</v>
      </c>
      <c r="C57" s="25" t="s">
        <v>49</v>
      </c>
      <c r="D57" s="25" t="s">
        <v>28</v>
      </c>
      <c r="E57" s="25">
        <v>26</v>
      </c>
      <c r="F57" s="25" t="s">
        <v>54</v>
      </c>
      <c r="G57" s="25" t="s">
        <v>102</v>
      </c>
      <c r="H57" s="26">
        <v>44155</v>
      </c>
      <c r="I57" s="25">
        <v>44078</v>
      </c>
      <c r="J57" s="25" t="s">
        <v>67</v>
      </c>
      <c r="K57" s="25" t="s">
        <v>176</v>
      </c>
      <c r="L57" s="27" t="s">
        <v>39</v>
      </c>
      <c r="M57" s="28" t="str">
        <f>_xlfn.XLOOKUP(F57,Department!$A$2:$A$6,Department!$B$2:$B$6)</f>
        <v>Finance</v>
      </c>
      <c r="N57" s="30">
        <f>_xlfn.XLOOKUP(A57,Performance!$A$2:$A$501,Performance!$C$2:$C$501)</f>
        <v>3</v>
      </c>
      <c r="O57" s="28" cm="1">
        <f t="array" ref="O57">_xlfn.IFS(N57=5,I57*15%,N57=4,I57*10%,N57=3,I57*7%,N57&lt;3,I57*5%)</f>
        <v>3085.4600000000005</v>
      </c>
    </row>
    <row r="58" spans="1:15">
      <c r="A58" s="24" t="s">
        <v>177</v>
      </c>
      <c r="B58" s="25" t="s">
        <v>34</v>
      </c>
      <c r="C58" s="25" t="s">
        <v>66</v>
      </c>
      <c r="D58" s="25" t="s">
        <v>28</v>
      </c>
      <c r="E58" s="25">
        <v>32</v>
      </c>
      <c r="F58" s="25" t="s">
        <v>20</v>
      </c>
      <c r="G58" s="25" t="s">
        <v>30</v>
      </c>
      <c r="H58" s="26">
        <v>44118</v>
      </c>
      <c r="I58" s="25">
        <v>60444</v>
      </c>
      <c r="J58" s="25" t="s">
        <v>67</v>
      </c>
      <c r="K58" s="25" t="s">
        <v>178</v>
      </c>
      <c r="L58" s="27" t="s">
        <v>39</v>
      </c>
      <c r="M58" s="28" t="str">
        <f>_xlfn.XLOOKUP(F58,Department!$A$2:$A$6,Department!$B$2:$B$6)</f>
        <v>HR</v>
      </c>
      <c r="N58" s="30">
        <f>_xlfn.XLOOKUP(A58,Performance!$A$2:$A$501,Performance!$C$2:$C$501)</f>
        <v>4</v>
      </c>
      <c r="O58" s="28" cm="1">
        <f t="array" ref="O58">_xlfn.IFS(N58=5,I58*15%,N58=4,I58*10%,N58=3,I58*7%,N58&lt;3,I58*5%)</f>
        <v>6044.4000000000005</v>
      </c>
    </row>
    <row r="59" spans="1:15">
      <c r="A59" s="24" t="s">
        <v>179</v>
      </c>
      <c r="B59" s="25" t="s">
        <v>61</v>
      </c>
      <c r="C59" s="25" t="s">
        <v>80</v>
      </c>
      <c r="D59" s="25" t="s">
        <v>28</v>
      </c>
      <c r="E59" s="25">
        <v>26</v>
      </c>
      <c r="F59" s="25" t="s">
        <v>35</v>
      </c>
      <c r="G59" s="25" t="s">
        <v>30</v>
      </c>
      <c r="H59" s="26">
        <v>45475</v>
      </c>
      <c r="I59" s="25">
        <v>37951</v>
      </c>
      <c r="J59" s="25" t="s">
        <v>37</v>
      </c>
      <c r="K59" s="25" t="s">
        <v>180</v>
      </c>
      <c r="L59" s="27" t="s">
        <v>39</v>
      </c>
      <c r="M59" s="28" t="str">
        <f>_xlfn.XLOOKUP(F59,Department!$A$2:$A$6,Department!$B$2:$B$6)</f>
        <v>Sales</v>
      </c>
      <c r="N59" s="30">
        <f>_xlfn.XLOOKUP(A59,Performance!$A$2:$A$501,Performance!$C$2:$C$501)</f>
        <v>2</v>
      </c>
      <c r="O59" s="28" cm="1">
        <f t="array" ref="O59">_xlfn.IFS(N59=5,I59*15%,N59=4,I59*10%,N59=3,I59*7%,N59&lt;3,I59*5%)</f>
        <v>1897.5500000000002</v>
      </c>
    </row>
    <row r="60" spans="1:15">
      <c r="A60" s="24" t="s">
        <v>181</v>
      </c>
      <c r="B60" s="25" t="s">
        <v>74</v>
      </c>
      <c r="C60" s="25" t="s">
        <v>117</v>
      </c>
      <c r="D60" s="25" t="s">
        <v>28</v>
      </c>
      <c r="E60" s="25">
        <v>36</v>
      </c>
      <c r="F60" s="25" t="s">
        <v>54</v>
      </c>
      <c r="G60" s="25" t="s">
        <v>30</v>
      </c>
      <c r="H60" s="26">
        <v>45502</v>
      </c>
      <c r="I60" s="25">
        <v>88790</v>
      </c>
      <c r="J60" s="25" t="s">
        <v>81</v>
      </c>
      <c r="K60" s="25" t="s">
        <v>182</v>
      </c>
      <c r="L60" s="27" t="s">
        <v>39</v>
      </c>
      <c r="M60" s="28" t="str">
        <f>_xlfn.XLOOKUP(F60,Department!$A$2:$A$6,Department!$B$2:$B$6)</f>
        <v>Finance</v>
      </c>
      <c r="N60" s="30">
        <f>_xlfn.XLOOKUP(A60,Performance!$A$2:$A$501,Performance!$C$2:$C$501)</f>
        <v>3</v>
      </c>
      <c r="O60" s="28" cm="1">
        <f t="array" ref="O60">_xlfn.IFS(N60=5,I60*15%,N60=4,I60*10%,N60=3,I60*7%,N60&lt;3,I60*5%)</f>
        <v>6215.3</v>
      </c>
    </row>
    <row r="61" spans="1:15">
      <c r="A61" s="24" t="s">
        <v>183</v>
      </c>
      <c r="B61" s="25" t="s">
        <v>42</v>
      </c>
      <c r="C61" s="25" t="s">
        <v>66</v>
      </c>
      <c r="D61" s="25" t="s">
        <v>28</v>
      </c>
      <c r="E61" s="25">
        <v>50</v>
      </c>
      <c r="F61" s="25" t="s">
        <v>54</v>
      </c>
      <c r="G61" s="25" t="s">
        <v>36</v>
      </c>
      <c r="H61" s="26">
        <v>44493</v>
      </c>
      <c r="I61" s="25">
        <v>119530</v>
      </c>
      <c r="J61" s="25" t="s">
        <v>22</v>
      </c>
      <c r="K61" s="25" t="s">
        <v>184</v>
      </c>
      <c r="L61" s="27" t="s">
        <v>39</v>
      </c>
      <c r="M61" s="28" t="str">
        <f>_xlfn.XLOOKUP(F61,Department!$A$2:$A$6,Department!$B$2:$B$6)</f>
        <v>Finance</v>
      </c>
      <c r="N61" s="30">
        <f>_xlfn.XLOOKUP(A61,Performance!$A$2:$A$501,Performance!$C$2:$C$501)</f>
        <v>3</v>
      </c>
      <c r="O61" s="28" cm="1">
        <f t="array" ref="O61">_xlfn.IFS(N61=5,I61*15%,N61=4,I61*10%,N61=3,I61*7%,N61&lt;3,I61*5%)</f>
        <v>8367.1</v>
      </c>
    </row>
    <row r="62" spans="1:15">
      <c r="A62" s="24" t="s">
        <v>185</v>
      </c>
      <c r="B62" s="25" t="s">
        <v>126</v>
      </c>
      <c r="C62" s="25" t="s">
        <v>80</v>
      </c>
      <c r="D62" s="25" t="s">
        <v>19</v>
      </c>
      <c r="E62" s="25">
        <v>30</v>
      </c>
      <c r="F62" s="25" t="s">
        <v>20</v>
      </c>
      <c r="G62" s="25" t="s">
        <v>102</v>
      </c>
      <c r="H62" s="26">
        <v>43763</v>
      </c>
      <c r="I62" s="25">
        <v>72048</v>
      </c>
      <c r="J62" s="25" t="s">
        <v>67</v>
      </c>
      <c r="K62" s="25" t="s">
        <v>186</v>
      </c>
      <c r="L62" s="27" t="s">
        <v>39</v>
      </c>
      <c r="M62" s="28" t="str">
        <f>_xlfn.XLOOKUP(F62,Department!$A$2:$A$6,Department!$B$2:$B$6)</f>
        <v>HR</v>
      </c>
      <c r="N62" s="30">
        <f>_xlfn.XLOOKUP(A62,Performance!$A$2:$A$501,Performance!$C$2:$C$501)</f>
        <v>4</v>
      </c>
      <c r="O62" s="28" cm="1">
        <f t="array" ref="O62">_xlfn.IFS(N62=5,I62*15%,N62=4,I62*10%,N62=3,I62*7%,N62&lt;3,I62*5%)</f>
        <v>7204.8</v>
      </c>
    </row>
    <row r="63" spans="1:15">
      <c r="A63" s="24" t="s">
        <v>187</v>
      </c>
      <c r="B63" s="25" t="s">
        <v>58</v>
      </c>
      <c r="C63" s="25" t="s">
        <v>89</v>
      </c>
      <c r="D63" s="25" t="s">
        <v>28</v>
      </c>
      <c r="E63" s="25">
        <v>33</v>
      </c>
      <c r="F63" s="25" t="s">
        <v>35</v>
      </c>
      <c r="G63" s="25" t="s">
        <v>36</v>
      </c>
      <c r="H63" s="26">
        <v>45317</v>
      </c>
      <c r="I63" s="25">
        <v>76700</v>
      </c>
      <c r="J63" s="25" t="s">
        <v>62</v>
      </c>
      <c r="K63" s="25" t="s">
        <v>188</v>
      </c>
      <c r="L63" s="27" t="s">
        <v>39</v>
      </c>
      <c r="M63" s="28" t="str">
        <f>_xlfn.XLOOKUP(F63,Department!$A$2:$A$6,Department!$B$2:$B$6)</f>
        <v>Sales</v>
      </c>
      <c r="N63" s="30">
        <f>_xlfn.XLOOKUP(A63,Performance!$A$2:$A$501,Performance!$C$2:$C$501)</f>
        <v>5</v>
      </c>
      <c r="O63" s="28" cm="1">
        <f t="array" ref="O63">_xlfn.IFS(N63=5,I63*15%,N63=4,I63*10%,N63=3,I63*7%,N63&lt;3,I63*5%)</f>
        <v>11505</v>
      </c>
    </row>
    <row r="64" spans="1:15">
      <c r="A64" s="24" t="s">
        <v>189</v>
      </c>
      <c r="B64" s="25" t="s">
        <v>74</v>
      </c>
      <c r="C64" s="25" t="s">
        <v>117</v>
      </c>
      <c r="D64" s="25" t="s">
        <v>28</v>
      </c>
      <c r="E64" s="25">
        <v>22</v>
      </c>
      <c r="F64" s="25" t="s">
        <v>20</v>
      </c>
      <c r="G64" s="25" t="s">
        <v>44</v>
      </c>
      <c r="H64" s="26">
        <v>44980</v>
      </c>
      <c r="I64" s="25">
        <v>86315</v>
      </c>
      <c r="J64" s="25" t="s">
        <v>62</v>
      </c>
      <c r="K64" s="25" t="s">
        <v>190</v>
      </c>
      <c r="L64" s="27" t="s">
        <v>39</v>
      </c>
      <c r="M64" s="28" t="str">
        <f>_xlfn.XLOOKUP(F64,Department!$A$2:$A$6,Department!$B$2:$B$6)</f>
        <v>HR</v>
      </c>
      <c r="N64" s="30">
        <f>_xlfn.XLOOKUP(A64,Performance!$A$2:$A$501,Performance!$C$2:$C$501)</f>
        <v>1</v>
      </c>
      <c r="O64" s="28" cm="1">
        <f t="array" ref="O64">_xlfn.IFS(N64=5,I64*15%,N64=4,I64*10%,N64=3,I64*7%,N64&lt;3,I64*5%)</f>
        <v>4315.75</v>
      </c>
    </row>
    <row r="65" spans="1:15">
      <c r="A65" s="24" t="s">
        <v>191</v>
      </c>
      <c r="B65" s="25" t="s">
        <v>42</v>
      </c>
      <c r="C65" s="25" t="s">
        <v>84</v>
      </c>
      <c r="D65" s="25" t="s">
        <v>19</v>
      </c>
      <c r="E65" s="25">
        <v>49</v>
      </c>
      <c r="F65" s="25" t="s">
        <v>54</v>
      </c>
      <c r="G65" s="25" t="s">
        <v>36</v>
      </c>
      <c r="H65" s="26">
        <v>43973</v>
      </c>
      <c r="I65" s="25">
        <v>85454</v>
      </c>
      <c r="J65" s="25" t="s">
        <v>37</v>
      </c>
      <c r="K65" s="25" t="s">
        <v>192</v>
      </c>
      <c r="L65" s="27" t="s">
        <v>24</v>
      </c>
      <c r="M65" s="28" t="str">
        <f>_xlfn.XLOOKUP(F65,Department!$A$2:$A$6,Department!$B$2:$B$6)</f>
        <v>Finance</v>
      </c>
      <c r="N65" s="30">
        <f>_xlfn.XLOOKUP(A65,Performance!$A$2:$A$501,Performance!$C$2:$C$501)</f>
        <v>3</v>
      </c>
      <c r="O65" s="28" cm="1">
        <f t="array" ref="O65">_xlfn.IFS(N65=5,I65*15%,N65=4,I65*10%,N65=3,I65*7%,N65&lt;3,I65*5%)</f>
        <v>5981.7800000000007</v>
      </c>
    </row>
    <row r="66" spans="1:15">
      <c r="A66" s="24" t="s">
        <v>193</v>
      </c>
      <c r="B66" s="25" t="s">
        <v>34</v>
      </c>
      <c r="C66" s="25" t="s">
        <v>89</v>
      </c>
      <c r="D66" s="25" t="s">
        <v>28</v>
      </c>
      <c r="E66" s="25">
        <v>31</v>
      </c>
      <c r="F66" s="25" t="s">
        <v>20</v>
      </c>
      <c r="G66" s="25" t="s">
        <v>36</v>
      </c>
      <c r="H66" s="26">
        <v>43697</v>
      </c>
      <c r="I66" s="25">
        <v>83281</v>
      </c>
      <c r="J66" s="25" t="s">
        <v>62</v>
      </c>
      <c r="K66" s="25" t="s">
        <v>194</v>
      </c>
      <c r="L66" s="27" t="s">
        <v>39</v>
      </c>
      <c r="M66" s="28" t="str">
        <f>_xlfn.XLOOKUP(F66,Department!$A$2:$A$6,Department!$B$2:$B$6)</f>
        <v>HR</v>
      </c>
      <c r="N66" s="30">
        <f>_xlfn.XLOOKUP(A66,Performance!$A$2:$A$501,Performance!$C$2:$C$501)</f>
        <v>3</v>
      </c>
      <c r="O66" s="28" cm="1">
        <f t="array" ref="O66">_xlfn.IFS(N66=5,I66*15%,N66=4,I66*10%,N66=3,I66*7%,N66&lt;3,I66*5%)</f>
        <v>5829.670000000001</v>
      </c>
    </row>
    <row r="67" spans="1:15">
      <c r="A67" s="24" t="s">
        <v>195</v>
      </c>
      <c r="B67" s="25" t="s">
        <v>61</v>
      </c>
      <c r="C67" s="25" t="s">
        <v>141</v>
      </c>
      <c r="D67" s="25" t="s">
        <v>19</v>
      </c>
      <c r="E67" s="25">
        <v>31</v>
      </c>
      <c r="F67" s="25" t="s">
        <v>20</v>
      </c>
      <c r="G67" s="25" t="s">
        <v>44</v>
      </c>
      <c r="H67" s="26">
        <v>44367</v>
      </c>
      <c r="I67" s="25">
        <v>44531</v>
      </c>
      <c r="J67" s="25" t="s">
        <v>37</v>
      </c>
      <c r="K67" s="25" t="s">
        <v>196</v>
      </c>
      <c r="L67" s="27" t="s">
        <v>24</v>
      </c>
      <c r="M67" s="28" t="str">
        <f>_xlfn.XLOOKUP(F67,Department!$A$2:$A$6,Department!$B$2:$B$6)</f>
        <v>HR</v>
      </c>
      <c r="N67" s="30">
        <f>_xlfn.XLOOKUP(A67,Performance!$A$2:$A$501,Performance!$C$2:$C$501)</f>
        <v>5</v>
      </c>
      <c r="O67" s="28" cm="1">
        <f t="array" ref="O67">_xlfn.IFS(N67=5,I67*15%,N67=4,I67*10%,N67=3,I67*7%,N67&lt;3,I67*5%)</f>
        <v>6679.65</v>
      </c>
    </row>
    <row r="68" spans="1:15">
      <c r="A68" s="24" t="s">
        <v>197</v>
      </c>
      <c r="B68" s="25" t="s">
        <v>42</v>
      </c>
      <c r="C68" s="25" t="s">
        <v>117</v>
      </c>
      <c r="D68" s="25" t="s">
        <v>28</v>
      </c>
      <c r="E68" s="25">
        <v>36</v>
      </c>
      <c r="F68" s="25" t="s">
        <v>35</v>
      </c>
      <c r="G68" s="25" t="s">
        <v>21</v>
      </c>
      <c r="H68" s="26">
        <v>43839</v>
      </c>
      <c r="I68" s="25">
        <v>44990</v>
      </c>
      <c r="J68" s="25" t="s">
        <v>81</v>
      </c>
      <c r="K68" s="25" t="s">
        <v>198</v>
      </c>
      <c r="L68" s="27" t="s">
        <v>24</v>
      </c>
      <c r="M68" s="28" t="str">
        <f>_xlfn.XLOOKUP(F68,Department!$A$2:$A$6,Department!$B$2:$B$6)</f>
        <v>Sales</v>
      </c>
      <c r="N68" s="30">
        <f>_xlfn.XLOOKUP(A68,Performance!$A$2:$A$501,Performance!$C$2:$C$501)</f>
        <v>3</v>
      </c>
      <c r="O68" s="28" cm="1">
        <f t="array" ref="O68">_xlfn.IFS(N68=5,I68*15%,N68=4,I68*10%,N68=3,I68*7%,N68&lt;3,I68*5%)</f>
        <v>3149.3</v>
      </c>
    </row>
    <row r="69" spans="1:15">
      <c r="A69" s="24" t="s">
        <v>199</v>
      </c>
      <c r="B69" s="25" t="s">
        <v>48</v>
      </c>
      <c r="C69" s="25" t="s">
        <v>27</v>
      </c>
      <c r="D69" s="25" t="s">
        <v>19</v>
      </c>
      <c r="E69" s="25">
        <v>34</v>
      </c>
      <c r="F69" s="25" t="s">
        <v>20</v>
      </c>
      <c r="G69" s="25" t="s">
        <v>36</v>
      </c>
      <c r="H69" s="26">
        <v>45134</v>
      </c>
      <c r="I69" s="25">
        <v>39110</v>
      </c>
      <c r="J69" s="25" t="s">
        <v>37</v>
      </c>
      <c r="K69" s="25" t="s">
        <v>200</v>
      </c>
      <c r="L69" s="27" t="s">
        <v>39</v>
      </c>
      <c r="M69" s="28" t="str">
        <f>_xlfn.XLOOKUP(F69,Department!$A$2:$A$6,Department!$B$2:$B$6)</f>
        <v>HR</v>
      </c>
      <c r="N69" s="30">
        <f>_xlfn.XLOOKUP(A69,Performance!$A$2:$A$501,Performance!$C$2:$C$501)</f>
        <v>2</v>
      </c>
      <c r="O69" s="28" cm="1">
        <f t="array" ref="O69">_xlfn.IFS(N69=5,I69*15%,N69=4,I69*10%,N69=3,I69*7%,N69&lt;3,I69*5%)</f>
        <v>1955.5</v>
      </c>
    </row>
    <row r="70" spans="1:15">
      <c r="A70" s="24" t="s">
        <v>201</v>
      </c>
      <c r="B70" s="25" t="s">
        <v>17</v>
      </c>
      <c r="C70" s="25" t="s">
        <v>49</v>
      </c>
      <c r="D70" s="25" t="s">
        <v>28</v>
      </c>
      <c r="E70" s="25">
        <v>35</v>
      </c>
      <c r="F70" s="25" t="s">
        <v>54</v>
      </c>
      <c r="G70" s="25" t="s">
        <v>44</v>
      </c>
      <c r="H70" s="26">
        <v>45449</v>
      </c>
      <c r="I70" s="25">
        <v>60760</v>
      </c>
      <c r="J70" s="25" t="s">
        <v>81</v>
      </c>
      <c r="K70" s="25" t="s">
        <v>202</v>
      </c>
      <c r="L70" s="27" t="s">
        <v>39</v>
      </c>
      <c r="M70" s="28" t="str">
        <f>_xlfn.XLOOKUP(F70,Department!$A$2:$A$6,Department!$B$2:$B$6)</f>
        <v>Finance</v>
      </c>
      <c r="N70" s="30">
        <f>_xlfn.XLOOKUP(A70,Performance!$A$2:$A$501,Performance!$C$2:$C$501)</f>
        <v>4</v>
      </c>
      <c r="O70" s="28" cm="1">
        <f t="array" ref="O70">_xlfn.IFS(N70=5,I70*15%,N70=4,I70*10%,N70=3,I70*7%,N70&lt;3,I70*5%)</f>
        <v>6076</v>
      </c>
    </row>
    <row r="71" spans="1:15">
      <c r="A71" s="24" t="s">
        <v>203</v>
      </c>
      <c r="B71" s="25" t="s">
        <v>42</v>
      </c>
      <c r="C71" s="25" t="s">
        <v>89</v>
      </c>
      <c r="D71" s="25" t="s">
        <v>19</v>
      </c>
      <c r="E71" s="25">
        <v>27</v>
      </c>
      <c r="F71" s="25" t="s">
        <v>35</v>
      </c>
      <c r="G71" s="25" t="s">
        <v>30</v>
      </c>
      <c r="H71" s="26">
        <v>43930</v>
      </c>
      <c r="I71" s="25">
        <v>118796</v>
      </c>
      <c r="J71" s="25" t="s">
        <v>62</v>
      </c>
      <c r="K71" s="25" t="s">
        <v>204</v>
      </c>
      <c r="L71" s="27" t="s">
        <v>39</v>
      </c>
      <c r="M71" s="28" t="str">
        <f>_xlfn.XLOOKUP(F71,Department!$A$2:$A$6,Department!$B$2:$B$6)</f>
        <v>Sales</v>
      </c>
      <c r="N71" s="30">
        <f>_xlfn.XLOOKUP(A71,Performance!$A$2:$A$501,Performance!$C$2:$C$501)</f>
        <v>4</v>
      </c>
      <c r="O71" s="28" cm="1">
        <f t="array" ref="O71">_xlfn.IFS(N71=5,I71*15%,N71=4,I71*10%,N71=3,I71*7%,N71&lt;3,I71*5%)</f>
        <v>11879.6</v>
      </c>
    </row>
    <row r="72" spans="1:15">
      <c r="A72" s="24" t="s">
        <v>205</v>
      </c>
      <c r="B72" s="25" t="s">
        <v>74</v>
      </c>
      <c r="C72" s="25" t="s">
        <v>89</v>
      </c>
      <c r="D72" s="25" t="s">
        <v>19</v>
      </c>
      <c r="E72" s="25">
        <v>49</v>
      </c>
      <c r="F72" s="25" t="s">
        <v>35</v>
      </c>
      <c r="G72" s="25" t="s">
        <v>21</v>
      </c>
      <c r="H72" s="26">
        <v>43950</v>
      </c>
      <c r="I72" s="25">
        <v>88225</v>
      </c>
      <c r="J72" s="25" t="s">
        <v>37</v>
      </c>
      <c r="K72" s="25" t="s">
        <v>206</v>
      </c>
      <c r="L72" s="27" t="s">
        <v>24</v>
      </c>
      <c r="M72" s="28" t="str">
        <f>_xlfn.XLOOKUP(F72,Department!$A$2:$A$6,Department!$B$2:$B$6)</f>
        <v>Sales</v>
      </c>
      <c r="N72" s="30">
        <f>_xlfn.XLOOKUP(A72,Performance!$A$2:$A$501,Performance!$C$2:$C$501)</f>
        <v>2</v>
      </c>
      <c r="O72" s="28" cm="1">
        <f t="array" ref="O72">_xlfn.IFS(N72=5,I72*15%,N72=4,I72*10%,N72=3,I72*7%,N72&lt;3,I72*5%)</f>
        <v>4411.25</v>
      </c>
    </row>
    <row r="73" spans="1:15">
      <c r="A73" s="24" t="s">
        <v>207</v>
      </c>
      <c r="B73" s="25" t="s">
        <v>53</v>
      </c>
      <c r="C73" s="25" t="s">
        <v>89</v>
      </c>
      <c r="D73" s="25" t="s">
        <v>19</v>
      </c>
      <c r="E73" s="25">
        <v>22</v>
      </c>
      <c r="F73" s="25" t="s">
        <v>35</v>
      </c>
      <c r="G73" s="25" t="s">
        <v>102</v>
      </c>
      <c r="H73" s="26">
        <v>44974</v>
      </c>
      <c r="I73" s="25">
        <v>64891</v>
      </c>
      <c r="J73" s="25" t="s">
        <v>67</v>
      </c>
      <c r="K73" s="25" t="s">
        <v>208</v>
      </c>
      <c r="L73" s="27" t="s">
        <v>24</v>
      </c>
      <c r="M73" s="28" t="str">
        <f>_xlfn.XLOOKUP(F73,Department!$A$2:$A$6,Department!$B$2:$B$6)</f>
        <v>Sales</v>
      </c>
      <c r="N73" s="30">
        <f>_xlfn.XLOOKUP(A73,Performance!$A$2:$A$501,Performance!$C$2:$C$501)</f>
        <v>4</v>
      </c>
      <c r="O73" s="28" cm="1">
        <f t="array" ref="O73">_xlfn.IFS(N73=5,I73*15%,N73=4,I73*10%,N73=3,I73*7%,N73&lt;3,I73*5%)</f>
        <v>6489.1</v>
      </c>
    </row>
    <row r="74" spans="1:15">
      <c r="A74" s="24" t="s">
        <v>209</v>
      </c>
      <c r="B74" s="25" t="s">
        <v>48</v>
      </c>
      <c r="C74" s="25" t="s">
        <v>49</v>
      </c>
      <c r="D74" s="25" t="s">
        <v>28</v>
      </c>
      <c r="E74" s="25">
        <v>48</v>
      </c>
      <c r="F74" s="25" t="s">
        <v>54</v>
      </c>
      <c r="G74" s="25" t="s">
        <v>36</v>
      </c>
      <c r="H74" s="26">
        <v>44191</v>
      </c>
      <c r="I74" s="25">
        <v>72035</v>
      </c>
      <c r="J74" s="25" t="s">
        <v>22</v>
      </c>
      <c r="K74" s="25" t="s">
        <v>210</v>
      </c>
      <c r="L74" s="27" t="s">
        <v>24</v>
      </c>
      <c r="M74" s="28" t="str">
        <f>_xlfn.XLOOKUP(F74,Department!$A$2:$A$6,Department!$B$2:$B$6)</f>
        <v>Finance</v>
      </c>
      <c r="N74" s="30">
        <f>_xlfn.XLOOKUP(A74,Performance!$A$2:$A$501,Performance!$C$2:$C$501)</f>
        <v>3</v>
      </c>
      <c r="O74" s="28" cm="1">
        <f t="array" ref="O74">_xlfn.IFS(N74=5,I74*15%,N74=4,I74*10%,N74=3,I74*7%,N74&lt;3,I74*5%)</f>
        <v>5042.4500000000007</v>
      </c>
    </row>
    <row r="75" spans="1:15">
      <c r="A75" s="24" t="s">
        <v>211</v>
      </c>
      <c r="B75" s="25" t="s">
        <v>17</v>
      </c>
      <c r="C75" s="25" t="s">
        <v>117</v>
      </c>
      <c r="D75" s="25" t="s">
        <v>28</v>
      </c>
      <c r="E75" s="25">
        <v>30</v>
      </c>
      <c r="F75" s="25" t="s">
        <v>20</v>
      </c>
      <c r="G75" s="25" t="s">
        <v>21</v>
      </c>
      <c r="H75" s="26">
        <v>45156</v>
      </c>
      <c r="I75" s="25">
        <v>50545</v>
      </c>
      <c r="J75" s="25" t="s">
        <v>81</v>
      </c>
      <c r="K75" s="25" t="s">
        <v>212</v>
      </c>
      <c r="L75" s="27" t="s">
        <v>24</v>
      </c>
      <c r="M75" s="28" t="str">
        <f>_xlfn.XLOOKUP(F75,Department!$A$2:$A$6,Department!$B$2:$B$6)</f>
        <v>HR</v>
      </c>
      <c r="N75" s="30">
        <f>_xlfn.XLOOKUP(A75,Performance!$A$2:$A$501,Performance!$C$2:$C$501)</f>
        <v>3</v>
      </c>
      <c r="O75" s="28" cm="1">
        <f t="array" ref="O75">_xlfn.IFS(N75=5,I75*15%,N75=4,I75*10%,N75=3,I75*7%,N75&lt;3,I75*5%)</f>
        <v>3538.1500000000005</v>
      </c>
    </row>
    <row r="76" spans="1:15">
      <c r="A76" s="24" t="s">
        <v>213</v>
      </c>
      <c r="B76" s="25" t="s">
        <v>126</v>
      </c>
      <c r="C76" s="25" t="s">
        <v>27</v>
      </c>
      <c r="D76" s="25" t="s">
        <v>28</v>
      </c>
      <c r="E76" s="25">
        <v>36</v>
      </c>
      <c r="F76" s="25" t="s">
        <v>20</v>
      </c>
      <c r="G76" s="25" t="s">
        <v>36</v>
      </c>
      <c r="H76" s="26">
        <v>45375</v>
      </c>
      <c r="I76" s="25">
        <v>79385</v>
      </c>
      <c r="J76" s="25" t="s">
        <v>37</v>
      </c>
      <c r="K76" s="25" t="s">
        <v>214</v>
      </c>
      <c r="L76" s="27" t="s">
        <v>24</v>
      </c>
      <c r="M76" s="28" t="str">
        <f>_xlfn.XLOOKUP(F76,Department!$A$2:$A$6,Department!$B$2:$B$6)</f>
        <v>HR</v>
      </c>
      <c r="N76" s="30">
        <f>_xlfn.XLOOKUP(A76,Performance!$A$2:$A$501,Performance!$C$2:$C$501)</f>
        <v>5</v>
      </c>
      <c r="O76" s="28" cm="1">
        <f t="array" ref="O76">_xlfn.IFS(N76=5,I76*15%,N76=4,I76*10%,N76=3,I76*7%,N76&lt;3,I76*5%)</f>
        <v>11907.75</v>
      </c>
    </row>
    <row r="77" spans="1:15">
      <c r="A77" s="24" t="s">
        <v>215</v>
      </c>
      <c r="B77" s="25" t="s">
        <v>58</v>
      </c>
      <c r="C77" s="25" t="s">
        <v>18</v>
      </c>
      <c r="D77" s="25" t="s">
        <v>19</v>
      </c>
      <c r="E77" s="25">
        <v>52</v>
      </c>
      <c r="F77" s="25" t="s">
        <v>54</v>
      </c>
      <c r="G77" s="25" t="s">
        <v>36</v>
      </c>
      <c r="H77" s="26">
        <v>43167</v>
      </c>
      <c r="I77" s="25">
        <v>48744</v>
      </c>
      <c r="J77" s="25" t="s">
        <v>67</v>
      </c>
      <c r="K77" s="25" t="s">
        <v>216</v>
      </c>
      <c r="L77" s="27" t="s">
        <v>39</v>
      </c>
      <c r="M77" s="28" t="str">
        <f>_xlfn.XLOOKUP(F77,Department!$A$2:$A$6,Department!$B$2:$B$6)</f>
        <v>Finance</v>
      </c>
      <c r="N77" s="30">
        <f>_xlfn.XLOOKUP(A77,Performance!$A$2:$A$501,Performance!$C$2:$C$501)</f>
        <v>3</v>
      </c>
      <c r="O77" s="28" cm="1">
        <f t="array" ref="O77">_xlfn.IFS(N77=5,I77*15%,N77=4,I77*10%,N77=3,I77*7%,N77&lt;3,I77*5%)</f>
        <v>3412.0800000000004</v>
      </c>
    </row>
    <row r="78" spans="1:15">
      <c r="A78" s="24" t="s">
        <v>217</v>
      </c>
      <c r="B78" s="25" t="s">
        <v>126</v>
      </c>
      <c r="C78" s="25" t="s">
        <v>93</v>
      </c>
      <c r="D78" s="25" t="s">
        <v>28</v>
      </c>
      <c r="E78" s="25">
        <v>53</v>
      </c>
      <c r="F78" s="25" t="s">
        <v>29</v>
      </c>
      <c r="G78" s="25" t="s">
        <v>102</v>
      </c>
      <c r="H78" s="26">
        <v>44727</v>
      </c>
      <c r="I78" s="25">
        <v>48865</v>
      </c>
      <c r="J78" s="25" t="s">
        <v>62</v>
      </c>
      <c r="K78" s="25" t="s">
        <v>218</v>
      </c>
      <c r="L78" s="27" t="s">
        <v>24</v>
      </c>
      <c r="M78" s="28" t="str">
        <f>_xlfn.XLOOKUP(F78,Department!$A$2:$A$6,Department!$B$2:$B$6)</f>
        <v>IT</v>
      </c>
      <c r="N78" s="30">
        <f>_xlfn.XLOOKUP(A78,Performance!$A$2:$A$501,Performance!$C$2:$C$501)</f>
        <v>1</v>
      </c>
      <c r="O78" s="28" cm="1">
        <f t="array" ref="O78">_xlfn.IFS(N78=5,I78*15%,N78=4,I78*10%,N78=3,I78*7%,N78&lt;3,I78*5%)</f>
        <v>2443.25</v>
      </c>
    </row>
    <row r="79" spans="1:15">
      <c r="A79" s="24" t="s">
        <v>219</v>
      </c>
      <c r="B79" s="25" t="s">
        <v>53</v>
      </c>
      <c r="C79" s="25" t="s">
        <v>66</v>
      </c>
      <c r="D79" s="25" t="s">
        <v>19</v>
      </c>
      <c r="E79" s="25">
        <v>53</v>
      </c>
      <c r="F79" s="25" t="s">
        <v>54</v>
      </c>
      <c r="G79" s="25" t="s">
        <v>21</v>
      </c>
      <c r="H79" s="26">
        <v>43649</v>
      </c>
      <c r="I79" s="25">
        <v>73437</v>
      </c>
      <c r="J79" s="25" t="s">
        <v>67</v>
      </c>
      <c r="K79" s="25" t="s">
        <v>220</v>
      </c>
      <c r="L79" s="27" t="s">
        <v>39</v>
      </c>
      <c r="M79" s="28" t="str">
        <f>_xlfn.XLOOKUP(F79,Department!$A$2:$A$6,Department!$B$2:$B$6)</f>
        <v>Finance</v>
      </c>
      <c r="N79" s="30">
        <f>_xlfn.XLOOKUP(A79,Performance!$A$2:$A$501,Performance!$C$2:$C$501)</f>
        <v>4</v>
      </c>
      <c r="O79" s="28" cm="1">
        <f t="array" ref="O79">_xlfn.IFS(N79=5,I79*15%,N79=4,I79*10%,N79=3,I79*7%,N79&lt;3,I79*5%)</f>
        <v>7343.7000000000007</v>
      </c>
    </row>
    <row r="80" spans="1:15">
      <c r="A80" s="24" t="s">
        <v>221</v>
      </c>
      <c r="B80" s="25" t="s">
        <v>58</v>
      </c>
      <c r="C80" s="25" t="s">
        <v>141</v>
      </c>
      <c r="D80" s="25" t="s">
        <v>19</v>
      </c>
      <c r="E80" s="25">
        <v>25</v>
      </c>
      <c r="F80" s="25" t="s">
        <v>43</v>
      </c>
      <c r="G80" s="25" t="s">
        <v>21</v>
      </c>
      <c r="H80" s="26">
        <v>45369</v>
      </c>
      <c r="I80" s="25">
        <v>75232</v>
      </c>
      <c r="J80" s="25" t="s">
        <v>81</v>
      </c>
      <c r="K80" s="25" t="s">
        <v>222</v>
      </c>
      <c r="L80" s="27" t="s">
        <v>24</v>
      </c>
      <c r="M80" s="28" t="str">
        <f>_xlfn.XLOOKUP(F80,Department!$A$2:$A$6,Department!$B$2:$B$6)</f>
        <v>Marketing</v>
      </c>
      <c r="N80" s="30">
        <f>_xlfn.XLOOKUP(A80,Performance!$A$2:$A$501,Performance!$C$2:$C$501)</f>
        <v>1</v>
      </c>
      <c r="O80" s="28" cm="1">
        <f t="array" ref="O80">_xlfn.IFS(N80=5,I80*15%,N80=4,I80*10%,N80=3,I80*7%,N80&lt;3,I80*5%)</f>
        <v>3761.6000000000004</v>
      </c>
    </row>
    <row r="81" spans="1:15">
      <c r="A81" s="24" t="s">
        <v>223</v>
      </c>
      <c r="B81" s="25" t="s">
        <v>74</v>
      </c>
      <c r="C81" s="25" t="s">
        <v>18</v>
      </c>
      <c r="D81" s="25" t="s">
        <v>19</v>
      </c>
      <c r="E81" s="25">
        <v>48</v>
      </c>
      <c r="F81" s="25" t="s">
        <v>35</v>
      </c>
      <c r="G81" s="25" t="s">
        <v>21</v>
      </c>
      <c r="H81" s="26">
        <v>44427</v>
      </c>
      <c r="I81" s="25">
        <v>53034</v>
      </c>
      <c r="J81" s="25" t="s">
        <v>67</v>
      </c>
      <c r="K81" s="25" t="s">
        <v>224</v>
      </c>
      <c r="L81" s="27" t="s">
        <v>24</v>
      </c>
      <c r="M81" s="28" t="str">
        <f>_xlfn.XLOOKUP(F81,Department!$A$2:$A$6,Department!$B$2:$B$6)</f>
        <v>Sales</v>
      </c>
      <c r="N81" s="30">
        <f>_xlfn.XLOOKUP(A81,Performance!$A$2:$A$501,Performance!$C$2:$C$501)</f>
        <v>2</v>
      </c>
      <c r="O81" s="28" cm="1">
        <f t="array" ref="O81">_xlfn.IFS(N81=5,I81*15%,N81=4,I81*10%,N81=3,I81*7%,N81&lt;3,I81*5%)</f>
        <v>2651.7000000000003</v>
      </c>
    </row>
    <row r="82" spans="1:15">
      <c r="A82" s="24" t="s">
        <v>225</v>
      </c>
      <c r="B82" s="25" t="s">
        <v>74</v>
      </c>
      <c r="C82" s="25" t="s">
        <v>27</v>
      </c>
      <c r="D82" s="25" t="s">
        <v>28</v>
      </c>
      <c r="E82" s="25">
        <v>45</v>
      </c>
      <c r="F82" s="25" t="s">
        <v>20</v>
      </c>
      <c r="G82" s="25" t="s">
        <v>21</v>
      </c>
      <c r="H82" s="26">
        <v>45434</v>
      </c>
      <c r="I82" s="25">
        <v>110168</v>
      </c>
      <c r="J82" s="25" t="s">
        <v>62</v>
      </c>
      <c r="K82" s="25" t="s">
        <v>226</v>
      </c>
      <c r="L82" s="27" t="s">
        <v>39</v>
      </c>
      <c r="M82" s="28" t="str">
        <f>_xlfn.XLOOKUP(F82,Department!$A$2:$A$6,Department!$B$2:$B$6)</f>
        <v>HR</v>
      </c>
      <c r="N82" s="30">
        <f>_xlfn.XLOOKUP(A82,Performance!$A$2:$A$501,Performance!$C$2:$C$501)</f>
        <v>4</v>
      </c>
      <c r="O82" s="28" cm="1">
        <f t="array" ref="O82">_xlfn.IFS(N82=5,I82*15%,N82=4,I82*10%,N82=3,I82*7%,N82&lt;3,I82*5%)</f>
        <v>11016.800000000001</v>
      </c>
    </row>
    <row r="83" spans="1:15">
      <c r="A83" s="24" t="s">
        <v>227</v>
      </c>
      <c r="B83" s="25" t="s">
        <v>42</v>
      </c>
      <c r="C83" s="25" t="s">
        <v>80</v>
      </c>
      <c r="D83" s="25" t="s">
        <v>19</v>
      </c>
      <c r="E83" s="25">
        <v>51</v>
      </c>
      <c r="F83" s="25" t="s">
        <v>29</v>
      </c>
      <c r="G83" s="25" t="s">
        <v>36</v>
      </c>
      <c r="H83" s="26">
        <v>43350</v>
      </c>
      <c r="I83" s="25">
        <v>107488</v>
      </c>
      <c r="J83" s="25" t="s">
        <v>37</v>
      </c>
      <c r="K83" s="25" t="s">
        <v>228</v>
      </c>
      <c r="L83" s="27" t="s">
        <v>39</v>
      </c>
      <c r="M83" s="28" t="str">
        <f>_xlfn.XLOOKUP(F83,Department!$A$2:$A$6,Department!$B$2:$B$6)</f>
        <v>IT</v>
      </c>
      <c r="N83" s="30">
        <f>_xlfn.XLOOKUP(A83,Performance!$A$2:$A$501,Performance!$C$2:$C$501)</f>
        <v>1</v>
      </c>
      <c r="O83" s="28" cm="1">
        <f t="array" ref="O83">_xlfn.IFS(N83=5,I83*15%,N83=4,I83*10%,N83=3,I83*7%,N83&lt;3,I83*5%)</f>
        <v>5374.4000000000005</v>
      </c>
    </row>
    <row r="84" spans="1:15">
      <c r="A84" s="24" t="s">
        <v>229</v>
      </c>
      <c r="B84" s="25" t="s">
        <v>48</v>
      </c>
      <c r="C84" s="25" t="s">
        <v>49</v>
      </c>
      <c r="D84" s="25" t="s">
        <v>19</v>
      </c>
      <c r="E84" s="25">
        <v>50</v>
      </c>
      <c r="F84" s="25" t="s">
        <v>35</v>
      </c>
      <c r="G84" s="25" t="s">
        <v>21</v>
      </c>
      <c r="H84" s="26">
        <v>44694</v>
      </c>
      <c r="I84" s="25">
        <v>53754</v>
      </c>
      <c r="J84" s="25" t="s">
        <v>37</v>
      </c>
      <c r="K84" s="25" t="s">
        <v>230</v>
      </c>
      <c r="L84" s="27" t="s">
        <v>39</v>
      </c>
      <c r="M84" s="28" t="str">
        <f>_xlfn.XLOOKUP(F84,Department!$A$2:$A$6,Department!$B$2:$B$6)</f>
        <v>Sales</v>
      </c>
      <c r="N84" s="30">
        <f>_xlfn.XLOOKUP(A84,Performance!$A$2:$A$501,Performance!$C$2:$C$501)</f>
        <v>3</v>
      </c>
      <c r="O84" s="28" cm="1">
        <f t="array" ref="O84">_xlfn.IFS(N84=5,I84*15%,N84=4,I84*10%,N84=3,I84*7%,N84&lt;3,I84*5%)</f>
        <v>3762.78</v>
      </c>
    </row>
    <row r="85" spans="1:15">
      <c r="A85" s="24" t="s">
        <v>231</v>
      </c>
      <c r="B85" s="25" t="s">
        <v>92</v>
      </c>
      <c r="C85" s="25" t="s">
        <v>117</v>
      </c>
      <c r="D85" s="25" t="s">
        <v>28</v>
      </c>
      <c r="E85" s="25">
        <v>47</v>
      </c>
      <c r="F85" s="25" t="s">
        <v>20</v>
      </c>
      <c r="G85" s="25" t="s">
        <v>36</v>
      </c>
      <c r="H85" s="26">
        <v>44598</v>
      </c>
      <c r="I85" s="25">
        <v>99891</v>
      </c>
      <c r="J85" s="25" t="s">
        <v>37</v>
      </c>
      <c r="K85" s="25" t="s">
        <v>232</v>
      </c>
      <c r="L85" s="27" t="s">
        <v>39</v>
      </c>
      <c r="M85" s="28" t="str">
        <f>_xlfn.XLOOKUP(F85,Department!$A$2:$A$6,Department!$B$2:$B$6)</f>
        <v>HR</v>
      </c>
      <c r="N85" s="30">
        <f>_xlfn.XLOOKUP(A85,Performance!$A$2:$A$501,Performance!$C$2:$C$501)</f>
        <v>2</v>
      </c>
      <c r="O85" s="28" cm="1">
        <f t="array" ref="O85">_xlfn.IFS(N85=5,I85*15%,N85=4,I85*10%,N85=3,I85*7%,N85&lt;3,I85*5%)</f>
        <v>4994.55</v>
      </c>
    </row>
    <row r="86" spans="1:15">
      <c r="A86" s="24" t="s">
        <v>233</v>
      </c>
      <c r="B86" s="25" t="s">
        <v>58</v>
      </c>
      <c r="C86" s="25" t="s">
        <v>89</v>
      </c>
      <c r="D86" s="25" t="s">
        <v>28</v>
      </c>
      <c r="E86" s="25">
        <v>37</v>
      </c>
      <c r="F86" s="25" t="s">
        <v>35</v>
      </c>
      <c r="G86" s="25" t="s">
        <v>30</v>
      </c>
      <c r="H86" s="26">
        <v>45488</v>
      </c>
      <c r="I86" s="25">
        <v>109363</v>
      </c>
      <c r="J86" s="25" t="s">
        <v>62</v>
      </c>
      <c r="K86" s="25" t="s">
        <v>234</v>
      </c>
      <c r="L86" s="27" t="s">
        <v>39</v>
      </c>
      <c r="M86" s="28" t="str">
        <f>_xlfn.XLOOKUP(F86,Department!$A$2:$A$6,Department!$B$2:$B$6)</f>
        <v>Sales</v>
      </c>
      <c r="N86" s="30">
        <f>_xlfn.XLOOKUP(A86,Performance!$A$2:$A$501,Performance!$C$2:$C$501)</f>
        <v>4</v>
      </c>
      <c r="O86" s="28" cm="1">
        <f t="array" ref="O86">_xlfn.IFS(N86=5,I86*15%,N86=4,I86*10%,N86=3,I86*7%,N86&lt;3,I86*5%)</f>
        <v>10936.300000000001</v>
      </c>
    </row>
    <row r="87" spans="1:15">
      <c r="A87" s="24" t="s">
        <v>235</v>
      </c>
      <c r="B87" s="25" t="s">
        <v>61</v>
      </c>
      <c r="C87" s="25" t="s">
        <v>80</v>
      </c>
      <c r="D87" s="25" t="s">
        <v>28</v>
      </c>
      <c r="E87" s="25">
        <v>26</v>
      </c>
      <c r="F87" s="25" t="s">
        <v>43</v>
      </c>
      <c r="G87" s="25" t="s">
        <v>44</v>
      </c>
      <c r="H87" s="26">
        <v>43784</v>
      </c>
      <c r="I87" s="25">
        <v>57248</v>
      </c>
      <c r="J87" s="25" t="s">
        <v>22</v>
      </c>
      <c r="K87" s="25" t="s">
        <v>236</v>
      </c>
      <c r="L87" s="27" t="s">
        <v>24</v>
      </c>
      <c r="M87" s="28" t="str">
        <f>_xlfn.XLOOKUP(F87,Department!$A$2:$A$6,Department!$B$2:$B$6)</f>
        <v>Marketing</v>
      </c>
      <c r="N87" s="30">
        <f>_xlfn.XLOOKUP(A87,Performance!$A$2:$A$501,Performance!$C$2:$C$501)</f>
        <v>3</v>
      </c>
      <c r="O87" s="28" cm="1">
        <f t="array" ref="O87">_xlfn.IFS(N87=5,I87*15%,N87=4,I87*10%,N87=3,I87*7%,N87&lt;3,I87*5%)</f>
        <v>4007.3600000000006</v>
      </c>
    </row>
    <row r="88" spans="1:15">
      <c r="A88" s="24" t="s">
        <v>237</v>
      </c>
      <c r="B88" s="25" t="s">
        <v>48</v>
      </c>
      <c r="C88" s="25" t="s">
        <v>93</v>
      </c>
      <c r="D88" s="25" t="s">
        <v>19</v>
      </c>
      <c r="E88" s="25">
        <v>28</v>
      </c>
      <c r="F88" s="25" t="s">
        <v>54</v>
      </c>
      <c r="G88" s="25" t="s">
        <v>102</v>
      </c>
      <c r="H88" s="26">
        <v>44733</v>
      </c>
      <c r="I88" s="25">
        <v>89625</v>
      </c>
      <c r="J88" s="25" t="s">
        <v>62</v>
      </c>
      <c r="K88" s="25" t="s">
        <v>238</v>
      </c>
      <c r="L88" s="27" t="s">
        <v>39</v>
      </c>
      <c r="M88" s="28" t="str">
        <f>_xlfn.XLOOKUP(F88,Department!$A$2:$A$6,Department!$B$2:$B$6)</f>
        <v>Finance</v>
      </c>
      <c r="N88" s="30">
        <f>_xlfn.XLOOKUP(A88,Performance!$A$2:$A$501,Performance!$C$2:$C$501)</f>
        <v>5</v>
      </c>
      <c r="O88" s="28" cm="1">
        <f t="array" ref="O88">_xlfn.IFS(N88=5,I88*15%,N88=4,I88*10%,N88=3,I88*7%,N88&lt;3,I88*5%)</f>
        <v>13443.75</v>
      </c>
    </row>
    <row r="89" spans="1:15">
      <c r="A89" s="24" t="s">
        <v>239</v>
      </c>
      <c r="B89" s="25" t="s">
        <v>53</v>
      </c>
      <c r="C89" s="25" t="s">
        <v>49</v>
      </c>
      <c r="D89" s="25" t="s">
        <v>19</v>
      </c>
      <c r="E89" s="25">
        <v>44</v>
      </c>
      <c r="F89" s="25" t="s">
        <v>43</v>
      </c>
      <c r="G89" s="25" t="s">
        <v>21</v>
      </c>
      <c r="H89" s="26">
        <v>43906</v>
      </c>
      <c r="I89" s="25">
        <v>104211</v>
      </c>
      <c r="J89" s="25" t="s">
        <v>67</v>
      </c>
      <c r="K89" s="25" t="s">
        <v>240</v>
      </c>
      <c r="L89" s="27" t="s">
        <v>39</v>
      </c>
      <c r="M89" s="28" t="str">
        <f>_xlfn.XLOOKUP(F89,Department!$A$2:$A$6,Department!$B$2:$B$6)</f>
        <v>Marketing</v>
      </c>
      <c r="N89" s="30">
        <f>_xlfn.XLOOKUP(A89,Performance!$A$2:$A$501,Performance!$C$2:$C$501)</f>
        <v>5</v>
      </c>
      <c r="O89" s="28" cm="1">
        <f t="array" ref="O89">_xlfn.IFS(N89=5,I89*15%,N89=4,I89*10%,N89=3,I89*7%,N89&lt;3,I89*5%)</f>
        <v>15631.65</v>
      </c>
    </row>
    <row r="90" spans="1:15">
      <c r="A90" s="24" t="s">
        <v>241</v>
      </c>
      <c r="B90" s="25" t="s">
        <v>58</v>
      </c>
      <c r="C90" s="25" t="s">
        <v>89</v>
      </c>
      <c r="D90" s="25" t="s">
        <v>19</v>
      </c>
      <c r="E90" s="25">
        <v>36</v>
      </c>
      <c r="F90" s="25" t="s">
        <v>29</v>
      </c>
      <c r="G90" s="25" t="s">
        <v>36</v>
      </c>
      <c r="H90" s="26">
        <v>43975</v>
      </c>
      <c r="I90" s="25">
        <v>82819</v>
      </c>
      <c r="J90" s="25" t="s">
        <v>37</v>
      </c>
      <c r="K90" s="25" t="s">
        <v>242</v>
      </c>
      <c r="L90" s="27" t="s">
        <v>39</v>
      </c>
      <c r="M90" s="28" t="str">
        <f>_xlfn.XLOOKUP(F90,Department!$A$2:$A$6,Department!$B$2:$B$6)</f>
        <v>IT</v>
      </c>
      <c r="N90" s="30">
        <f>_xlfn.XLOOKUP(A90,Performance!$A$2:$A$501,Performance!$C$2:$C$501)</f>
        <v>1</v>
      </c>
      <c r="O90" s="28" cm="1">
        <f t="array" ref="O90">_xlfn.IFS(N90=5,I90*15%,N90=4,I90*10%,N90=3,I90*7%,N90&lt;3,I90*5%)</f>
        <v>4140.95</v>
      </c>
    </row>
    <row r="91" spans="1:15">
      <c r="A91" s="24" t="s">
        <v>243</v>
      </c>
      <c r="B91" s="25" t="s">
        <v>34</v>
      </c>
      <c r="C91" s="25" t="s">
        <v>89</v>
      </c>
      <c r="D91" s="25" t="s">
        <v>19</v>
      </c>
      <c r="E91" s="25">
        <v>54</v>
      </c>
      <c r="F91" s="25" t="s">
        <v>29</v>
      </c>
      <c r="G91" s="25" t="s">
        <v>36</v>
      </c>
      <c r="H91" s="26">
        <v>45540</v>
      </c>
      <c r="I91" s="25">
        <v>105392</v>
      </c>
      <c r="J91" s="25" t="s">
        <v>81</v>
      </c>
      <c r="K91" s="25" t="s">
        <v>244</v>
      </c>
      <c r="L91" s="27" t="s">
        <v>24</v>
      </c>
      <c r="M91" s="28" t="str">
        <f>_xlfn.XLOOKUP(F91,Department!$A$2:$A$6,Department!$B$2:$B$6)</f>
        <v>IT</v>
      </c>
      <c r="N91" s="30">
        <f>_xlfn.XLOOKUP(A91,Performance!$A$2:$A$501,Performance!$C$2:$C$501)</f>
        <v>3</v>
      </c>
      <c r="O91" s="28" cm="1">
        <f t="array" ref="O91">_xlfn.IFS(N91=5,I91*15%,N91=4,I91*10%,N91=3,I91*7%,N91&lt;3,I91*5%)</f>
        <v>7377.4400000000005</v>
      </c>
    </row>
    <row r="92" spans="1:15">
      <c r="A92" s="24" t="s">
        <v>245</v>
      </c>
      <c r="B92" s="25" t="s">
        <v>61</v>
      </c>
      <c r="C92" s="25" t="s">
        <v>27</v>
      </c>
      <c r="D92" s="25" t="s">
        <v>28</v>
      </c>
      <c r="E92" s="25">
        <v>49</v>
      </c>
      <c r="F92" s="25" t="s">
        <v>54</v>
      </c>
      <c r="G92" s="25" t="s">
        <v>21</v>
      </c>
      <c r="H92" s="26">
        <v>44417</v>
      </c>
      <c r="I92" s="25">
        <v>52568</v>
      </c>
      <c r="J92" s="25" t="s">
        <v>37</v>
      </c>
      <c r="K92" s="25" t="s">
        <v>246</v>
      </c>
      <c r="L92" s="27" t="s">
        <v>24</v>
      </c>
      <c r="M92" s="28" t="str">
        <f>_xlfn.XLOOKUP(F92,Department!$A$2:$A$6,Department!$B$2:$B$6)</f>
        <v>Finance</v>
      </c>
      <c r="N92" s="30">
        <f>_xlfn.XLOOKUP(A92,Performance!$A$2:$A$501,Performance!$C$2:$C$501)</f>
        <v>1</v>
      </c>
      <c r="O92" s="28" cm="1">
        <f t="array" ref="O92">_xlfn.IFS(N92=5,I92*15%,N92=4,I92*10%,N92=3,I92*7%,N92&lt;3,I92*5%)</f>
        <v>2628.4</v>
      </c>
    </row>
    <row r="93" spans="1:15">
      <c r="A93" s="24" t="s">
        <v>247</v>
      </c>
      <c r="B93" s="25" t="s">
        <v>74</v>
      </c>
      <c r="C93" s="25" t="s">
        <v>89</v>
      </c>
      <c r="D93" s="25" t="s">
        <v>19</v>
      </c>
      <c r="E93" s="25">
        <v>35</v>
      </c>
      <c r="F93" s="25" t="s">
        <v>29</v>
      </c>
      <c r="G93" s="25" t="s">
        <v>21</v>
      </c>
      <c r="H93" s="26">
        <v>44968</v>
      </c>
      <c r="I93" s="25">
        <v>119403</v>
      </c>
      <c r="J93" s="25" t="s">
        <v>62</v>
      </c>
      <c r="K93" s="25" t="s">
        <v>248</v>
      </c>
      <c r="L93" s="27" t="s">
        <v>39</v>
      </c>
      <c r="M93" s="28" t="str">
        <f>_xlfn.XLOOKUP(F93,Department!$A$2:$A$6,Department!$B$2:$B$6)</f>
        <v>IT</v>
      </c>
      <c r="N93" s="30">
        <f>_xlfn.XLOOKUP(A93,Performance!$A$2:$A$501,Performance!$C$2:$C$501)</f>
        <v>3</v>
      </c>
      <c r="O93" s="28" cm="1">
        <f t="array" ref="O93">_xlfn.IFS(N93=5,I93*15%,N93=4,I93*10%,N93=3,I93*7%,N93&lt;3,I93*5%)</f>
        <v>8358.2100000000009</v>
      </c>
    </row>
    <row r="94" spans="1:15">
      <c r="A94" s="24" t="s">
        <v>249</v>
      </c>
      <c r="B94" s="25" t="s">
        <v>53</v>
      </c>
      <c r="C94" s="25" t="s">
        <v>80</v>
      </c>
      <c r="D94" s="25" t="s">
        <v>19</v>
      </c>
      <c r="E94" s="25">
        <v>44</v>
      </c>
      <c r="F94" s="25" t="s">
        <v>54</v>
      </c>
      <c r="G94" s="25" t="s">
        <v>36</v>
      </c>
      <c r="H94" s="26">
        <v>44059</v>
      </c>
      <c r="I94" s="25">
        <v>54883</v>
      </c>
      <c r="J94" s="25" t="s">
        <v>37</v>
      </c>
      <c r="K94" s="25" t="s">
        <v>250</v>
      </c>
      <c r="L94" s="27" t="s">
        <v>39</v>
      </c>
      <c r="M94" s="28" t="str">
        <f>_xlfn.XLOOKUP(F94,Department!$A$2:$A$6,Department!$B$2:$B$6)</f>
        <v>Finance</v>
      </c>
      <c r="N94" s="30">
        <f>_xlfn.XLOOKUP(A94,Performance!$A$2:$A$501,Performance!$C$2:$C$501)</f>
        <v>2</v>
      </c>
      <c r="O94" s="28" cm="1">
        <f t="array" ref="O94">_xlfn.IFS(N94=5,I94*15%,N94=4,I94*10%,N94=3,I94*7%,N94&lt;3,I94*5%)</f>
        <v>2744.15</v>
      </c>
    </row>
    <row r="95" spans="1:15">
      <c r="A95" s="24" t="s">
        <v>251</v>
      </c>
      <c r="B95" s="25" t="s">
        <v>53</v>
      </c>
      <c r="C95" s="25" t="s">
        <v>80</v>
      </c>
      <c r="D95" s="25" t="s">
        <v>19</v>
      </c>
      <c r="E95" s="25">
        <v>44</v>
      </c>
      <c r="F95" s="25" t="s">
        <v>20</v>
      </c>
      <c r="G95" s="25" t="s">
        <v>36</v>
      </c>
      <c r="H95" s="26">
        <v>45188</v>
      </c>
      <c r="I95" s="25">
        <v>83855</v>
      </c>
      <c r="J95" s="25" t="s">
        <v>37</v>
      </c>
      <c r="K95" s="25" t="s">
        <v>252</v>
      </c>
      <c r="L95" s="27" t="s">
        <v>39</v>
      </c>
      <c r="M95" s="28" t="str">
        <f>_xlfn.XLOOKUP(F95,Department!$A$2:$A$6,Department!$B$2:$B$6)</f>
        <v>HR</v>
      </c>
      <c r="N95" s="30">
        <f>_xlfn.XLOOKUP(A95,Performance!$A$2:$A$501,Performance!$C$2:$C$501)</f>
        <v>1</v>
      </c>
      <c r="O95" s="28" cm="1">
        <f t="array" ref="O95">_xlfn.IFS(N95=5,I95*15%,N95=4,I95*10%,N95=3,I95*7%,N95&lt;3,I95*5%)</f>
        <v>4192.75</v>
      </c>
    </row>
    <row r="96" spans="1:15">
      <c r="A96" s="24" t="s">
        <v>253</v>
      </c>
      <c r="B96" s="25" t="s">
        <v>92</v>
      </c>
      <c r="C96" s="25" t="s">
        <v>66</v>
      </c>
      <c r="D96" s="25" t="s">
        <v>28</v>
      </c>
      <c r="E96" s="25">
        <v>53</v>
      </c>
      <c r="F96" s="25" t="s">
        <v>35</v>
      </c>
      <c r="G96" s="25" t="s">
        <v>44</v>
      </c>
      <c r="H96" s="26">
        <v>44710</v>
      </c>
      <c r="I96" s="25">
        <v>43725</v>
      </c>
      <c r="J96" s="25" t="s">
        <v>67</v>
      </c>
      <c r="K96" s="25" t="s">
        <v>254</v>
      </c>
      <c r="L96" s="27" t="s">
        <v>24</v>
      </c>
      <c r="M96" s="28" t="str">
        <f>_xlfn.XLOOKUP(F96,Department!$A$2:$A$6,Department!$B$2:$B$6)</f>
        <v>Sales</v>
      </c>
      <c r="N96" s="30">
        <f>_xlfn.XLOOKUP(A96,Performance!$A$2:$A$501,Performance!$C$2:$C$501)</f>
        <v>2</v>
      </c>
      <c r="O96" s="28" cm="1">
        <f t="array" ref="O96">_xlfn.IFS(N96=5,I96*15%,N96=4,I96*10%,N96=3,I96*7%,N96&lt;3,I96*5%)</f>
        <v>2186.25</v>
      </c>
    </row>
    <row r="97" spans="1:15">
      <c r="A97" s="24" t="s">
        <v>255</v>
      </c>
      <c r="B97" s="25" t="s">
        <v>58</v>
      </c>
      <c r="C97" s="25" t="s">
        <v>49</v>
      </c>
      <c r="D97" s="25" t="s">
        <v>19</v>
      </c>
      <c r="E97" s="25">
        <v>24</v>
      </c>
      <c r="F97" s="25" t="s">
        <v>35</v>
      </c>
      <c r="G97" s="25" t="s">
        <v>44</v>
      </c>
      <c r="H97" s="26">
        <v>44466</v>
      </c>
      <c r="I97" s="25">
        <v>104506</v>
      </c>
      <c r="J97" s="25" t="s">
        <v>67</v>
      </c>
      <c r="K97" s="25" t="s">
        <v>256</v>
      </c>
      <c r="L97" s="27" t="s">
        <v>24</v>
      </c>
      <c r="M97" s="28" t="str">
        <f>_xlfn.XLOOKUP(F97,Department!$A$2:$A$6,Department!$B$2:$B$6)</f>
        <v>Sales</v>
      </c>
      <c r="N97" s="30">
        <f>_xlfn.XLOOKUP(A97,Performance!$A$2:$A$501,Performance!$C$2:$C$501)</f>
        <v>4</v>
      </c>
      <c r="O97" s="28" cm="1">
        <f t="array" ref="O97">_xlfn.IFS(N97=5,I97*15%,N97=4,I97*10%,N97=3,I97*7%,N97&lt;3,I97*5%)</f>
        <v>10450.6</v>
      </c>
    </row>
    <row r="98" spans="1:15">
      <c r="A98" s="24" t="s">
        <v>257</v>
      </c>
      <c r="B98" s="25" t="s">
        <v>42</v>
      </c>
      <c r="C98" s="25" t="s">
        <v>89</v>
      </c>
      <c r="D98" s="25" t="s">
        <v>19</v>
      </c>
      <c r="E98" s="25">
        <v>45</v>
      </c>
      <c r="F98" s="25" t="s">
        <v>29</v>
      </c>
      <c r="G98" s="25" t="s">
        <v>44</v>
      </c>
      <c r="H98" s="26">
        <v>44516</v>
      </c>
      <c r="I98" s="25">
        <v>36873</v>
      </c>
      <c r="J98" s="25" t="s">
        <v>67</v>
      </c>
      <c r="K98" s="25" t="s">
        <v>258</v>
      </c>
      <c r="L98" s="27" t="s">
        <v>39</v>
      </c>
      <c r="M98" s="28" t="str">
        <f>_xlfn.XLOOKUP(F98,Department!$A$2:$A$6,Department!$B$2:$B$6)</f>
        <v>IT</v>
      </c>
      <c r="N98" s="30">
        <f>_xlfn.XLOOKUP(A98,Performance!$A$2:$A$501,Performance!$C$2:$C$501)</f>
        <v>2</v>
      </c>
      <c r="O98" s="28" cm="1">
        <f t="array" ref="O98">_xlfn.IFS(N98=5,I98*15%,N98=4,I98*10%,N98=3,I98*7%,N98&lt;3,I98*5%)</f>
        <v>1843.65</v>
      </c>
    </row>
    <row r="99" spans="1:15">
      <c r="A99" s="24" t="s">
        <v>259</v>
      </c>
      <c r="B99" s="25" t="s">
        <v>17</v>
      </c>
      <c r="C99" s="25" t="s">
        <v>89</v>
      </c>
      <c r="D99" s="25" t="s">
        <v>28</v>
      </c>
      <c r="E99" s="25">
        <v>25</v>
      </c>
      <c r="F99" s="25" t="s">
        <v>43</v>
      </c>
      <c r="G99" s="25" t="s">
        <v>44</v>
      </c>
      <c r="H99" s="26">
        <v>44364</v>
      </c>
      <c r="I99" s="25">
        <v>50051</v>
      </c>
      <c r="J99" s="25" t="s">
        <v>22</v>
      </c>
      <c r="K99" s="25" t="s">
        <v>260</v>
      </c>
      <c r="L99" s="27" t="s">
        <v>24</v>
      </c>
      <c r="M99" s="28" t="str">
        <f>_xlfn.XLOOKUP(F99,Department!$A$2:$A$6,Department!$B$2:$B$6)</f>
        <v>Marketing</v>
      </c>
      <c r="N99" s="30">
        <f>_xlfn.XLOOKUP(A99,Performance!$A$2:$A$501,Performance!$C$2:$C$501)</f>
        <v>2</v>
      </c>
      <c r="O99" s="28" cm="1">
        <f t="array" ref="O99">_xlfn.IFS(N99=5,I99*15%,N99=4,I99*10%,N99=3,I99*7%,N99&lt;3,I99*5%)</f>
        <v>2502.5500000000002</v>
      </c>
    </row>
    <row r="100" spans="1:15">
      <c r="A100" s="24" t="s">
        <v>261</v>
      </c>
      <c r="B100" s="25" t="s">
        <v>42</v>
      </c>
      <c r="C100" s="25" t="s">
        <v>80</v>
      </c>
      <c r="D100" s="25" t="s">
        <v>28</v>
      </c>
      <c r="E100" s="25">
        <v>42</v>
      </c>
      <c r="F100" s="25" t="s">
        <v>35</v>
      </c>
      <c r="G100" s="25" t="s">
        <v>44</v>
      </c>
      <c r="H100" s="26">
        <v>44671</v>
      </c>
      <c r="I100" s="25">
        <v>42571</v>
      </c>
      <c r="J100" s="25" t="s">
        <v>37</v>
      </c>
      <c r="K100" s="25" t="s">
        <v>262</v>
      </c>
      <c r="L100" s="27" t="s">
        <v>39</v>
      </c>
      <c r="M100" s="28" t="str">
        <f>_xlfn.XLOOKUP(F100,Department!$A$2:$A$6,Department!$B$2:$B$6)</f>
        <v>Sales</v>
      </c>
      <c r="N100" s="30">
        <f>_xlfn.XLOOKUP(A100,Performance!$A$2:$A$501,Performance!$C$2:$C$501)</f>
        <v>4</v>
      </c>
      <c r="O100" s="28" cm="1">
        <f t="array" ref="O100">_xlfn.IFS(N100=5,I100*15%,N100=4,I100*10%,N100=3,I100*7%,N100&lt;3,I100*5%)</f>
        <v>4257.1000000000004</v>
      </c>
    </row>
    <row r="101" spans="1:15">
      <c r="A101" s="24" t="s">
        <v>263</v>
      </c>
      <c r="B101" s="25" t="s">
        <v>42</v>
      </c>
      <c r="C101" s="25" t="s">
        <v>27</v>
      </c>
      <c r="D101" s="25" t="s">
        <v>28</v>
      </c>
      <c r="E101" s="25">
        <v>60</v>
      </c>
      <c r="F101" s="25" t="s">
        <v>54</v>
      </c>
      <c r="G101" s="25" t="s">
        <v>21</v>
      </c>
      <c r="H101" s="26">
        <v>43601</v>
      </c>
      <c r="I101" s="25">
        <v>60616</v>
      </c>
      <c r="J101" s="25" t="s">
        <v>81</v>
      </c>
      <c r="K101" s="25" t="s">
        <v>264</v>
      </c>
      <c r="L101" s="27" t="s">
        <v>39</v>
      </c>
      <c r="M101" s="28" t="str">
        <f>_xlfn.XLOOKUP(F101,Department!$A$2:$A$6,Department!$B$2:$B$6)</f>
        <v>Finance</v>
      </c>
      <c r="N101" s="30">
        <f>_xlfn.XLOOKUP(A101,Performance!$A$2:$A$501,Performance!$C$2:$C$501)</f>
        <v>1</v>
      </c>
      <c r="O101" s="28" cm="1">
        <f t="array" ref="O101">_xlfn.IFS(N101=5,I101*15%,N101=4,I101*10%,N101=3,I101*7%,N101&lt;3,I101*5%)</f>
        <v>3030.8</v>
      </c>
    </row>
    <row r="102" spans="1:15">
      <c r="A102" s="24" t="s">
        <v>265</v>
      </c>
      <c r="B102" s="25" t="s">
        <v>48</v>
      </c>
      <c r="C102" s="25" t="s">
        <v>93</v>
      </c>
      <c r="D102" s="25" t="s">
        <v>28</v>
      </c>
      <c r="E102" s="25">
        <v>57</v>
      </c>
      <c r="F102" s="25" t="s">
        <v>29</v>
      </c>
      <c r="G102" s="25" t="s">
        <v>36</v>
      </c>
      <c r="H102" s="26">
        <v>44302</v>
      </c>
      <c r="I102" s="25">
        <v>75929</v>
      </c>
      <c r="J102" s="25" t="s">
        <v>22</v>
      </c>
      <c r="K102" s="25" t="s">
        <v>266</v>
      </c>
      <c r="L102" s="27" t="s">
        <v>39</v>
      </c>
      <c r="M102" s="28" t="str">
        <f>_xlfn.XLOOKUP(F102,Department!$A$2:$A$6,Department!$B$2:$B$6)</f>
        <v>IT</v>
      </c>
      <c r="N102" s="30">
        <f>_xlfn.XLOOKUP(A102,Performance!$A$2:$A$501,Performance!$C$2:$C$501)</f>
        <v>5</v>
      </c>
      <c r="O102" s="28" cm="1">
        <f t="array" ref="O102">_xlfn.IFS(N102=5,I102*15%,N102=4,I102*10%,N102=3,I102*7%,N102&lt;3,I102*5%)</f>
        <v>11389.35</v>
      </c>
    </row>
    <row r="103" spans="1:15">
      <c r="A103" s="24" t="s">
        <v>267</v>
      </c>
      <c r="B103" s="25" t="s">
        <v>74</v>
      </c>
      <c r="C103" s="25" t="s">
        <v>84</v>
      </c>
      <c r="D103" s="25" t="s">
        <v>28</v>
      </c>
      <c r="E103" s="25">
        <v>43</v>
      </c>
      <c r="F103" s="25" t="s">
        <v>54</v>
      </c>
      <c r="G103" s="25" t="s">
        <v>102</v>
      </c>
      <c r="H103" s="26">
        <v>44934</v>
      </c>
      <c r="I103" s="25">
        <v>106165</v>
      </c>
      <c r="J103" s="25" t="s">
        <v>81</v>
      </c>
      <c r="K103" s="25" t="s">
        <v>268</v>
      </c>
      <c r="L103" s="27" t="s">
        <v>39</v>
      </c>
      <c r="M103" s="28" t="str">
        <f>_xlfn.XLOOKUP(F103,Department!$A$2:$A$6,Department!$B$2:$B$6)</f>
        <v>Finance</v>
      </c>
      <c r="N103" s="30">
        <f>_xlfn.XLOOKUP(A103,Performance!$A$2:$A$501,Performance!$C$2:$C$501)</f>
        <v>5</v>
      </c>
      <c r="O103" s="28" cm="1">
        <f t="array" ref="O103">_xlfn.IFS(N103=5,I103*15%,N103=4,I103*10%,N103=3,I103*7%,N103&lt;3,I103*5%)</f>
        <v>15924.75</v>
      </c>
    </row>
    <row r="104" spans="1:15">
      <c r="A104" s="24" t="s">
        <v>269</v>
      </c>
      <c r="B104" s="25" t="s">
        <v>53</v>
      </c>
      <c r="C104" s="25" t="s">
        <v>27</v>
      </c>
      <c r="D104" s="25" t="s">
        <v>28</v>
      </c>
      <c r="E104" s="25">
        <v>23</v>
      </c>
      <c r="F104" s="25" t="s">
        <v>54</v>
      </c>
      <c r="G104" s="25" t="s">
        <v>30</v>
      </c>
      <c r="H104" s="26">
        <v>45359</v>
      </c>
      <c r="I104" s="25">
        <v>44946</v>
      </c>
      <c r="J104" s="25" t="s">
        <v>62</v>
      </c>
      <c r="K104" s="25" t="s">
        <v>270</v>
      </c>
      <c r="L104" s="27" t="s">
        <v>39</v>
      </c>
      <c r="M104" s="28" t="str">
        <f>_xlfn.XLOOKUP(F104,Department!$A$2:$A$6,Department!$B$2:$B$6)</f>
        <v>Finance</v>
      </c>
      <c r="N104" s="30">
        <f>_xlfn.XLOOKUP(A104,Performance!$A$2:$A$501,Performance!$C$2:$C$501)</f>
        <v>5</v>
      </c>
      <c r="O104" s="28" cm="1">
        <f t="array" ref="O104">_xlfn.IFS(N104=5,I104*15%,N104=4,I104*10%,N104=3,I104*7%,N104&lt;3,I104*5%)</f>
        <v>6741.9</v>
      </c>
    </row>
    <row r="105" spans="1:15">
      <c r="A105" s="24" t="s">
        <v>271</v>
      </c>
      <c r="B105" s="25" t="s">
        <v>34</v>
      </c>
      <c r="C105" s="25" t="s">
        <v>89</v>
      </c>
      <c r="D105" s="25" t="s">
        <v>19</v>
      </c>
      <c r="E105" s="25">
        <v>32</v>
      </c>
      <c r="F105" s="25" t="s">
        <v>20</v>
      </c>
      <c r="G105" s="25" t="s">
        <v>30</v>
      </c>
      <c r="H105" s="26">
        <v>45511</v>
      </c>
      <c r="I105" s="25">
        <v>64572</v>
      </c>
      <c r="J105" s="25" t="s">
        <v>81</v>
      </c>
      <c r="K105" s="25" t="s">
        <v>272</v>
      </c>
      <c r="L105" s="27" t="s">
        <v>24</v>
      </c>
      <c r="M105" s="28" t="str">
        <f>_xlfn.XLOOKUP(F105,Department!$A$2:$A$6,Department!$B$2:$B$6)</f>
        <v>HR</v>
      </c>
      <c r="N105" s="30">
        <f>_xlfn.XLOOKUP(A105,Performance!$A$2:$A$501,Performance!$C$2:$C$501)</f>
        <v>3</v>
      </c>
      <c r="O105" s="28" cm="1">
        <f t="array" ref="O105">_xlfn.IFS(N105=5,I105*15%,N105=4,I105*10%,N105=3,I105*7%,N105&lt;3,I105*5%)</f>
        <v>4520.0400000000009</v>
      </c>
    </row>
    <row r="106" spans="1:15">
      <c r="A106" s="24" t="s">
        <v>273</v>
      </c>
      <c r="B106" s="25" t="s">
        <v>92</v>
      </c>
      <c r="C106" s="25" t="s">
        <v>18</v>
      </c>
      <c r="D106" s="25" t="s">
        <v>28</v>
      </c>
      <c r="E106" s="25">
        <v>56</v>
      </c>
      <c r="F106" s="25" t="s">
        <v>20</v>
      </c>
      <c r="G106" s="25" t="s">
        <v>44</v>
      </c>
      <c r="H106" s="26">
        <v>43895</v>
      </c>
      <c r="I106" s="25">
        <v>74825</v>
      </c>
      <c r="J106" s="25" t="s">
        <v>81</v>
      </c>
      <c r="K106" s="25" t="s">
        <v>274</v>
      </c>
      <c r="L106" s="27" t="s">
        <v>24</v>
      </c>
      <c r="M106" s="28" t="str">
        <f>_xlfn.XLOOKUP(F106,Department!$A$2:$A$6,Department!$B$2:$B$6)</f>
        <v>HR</v>
      </c>
      <c r="N106" s="30">
        <f>_xlfn.XLOOKUP(A106,Performance!$A$2:$A$501,Performance!$C$2:$C$501)</f>
        <v>3</v>
      </c>
      <c r="O106" s="28" cm="1">
        <f t="array" ref="O106">_xlfn.IFS(N106=5,I106*15%,N106=4,I106*10%,N106=3,I106*7%,N106&lt;3,I106*5%)</f>
        <v>5237.7500000000009</v>
      </c>
    </row>
    <row r="107" spans="1:15">
      <c r="A107" s="24" t="s">
        <v>275</v>
      </c>
      <c r="B107" s="25" t="s">
        <v>126</v>
      </c>
      <c r="C107" s="25" t="s">
        <v>49</v>
      </c>
      <c r="D107" s="25" t="s">
        <v>28</v>
      </c>
      <c r="E107" s="25">
        <v>27</v>
      </c>
      <c r="F107" s="25" t="s">
        <v>54</v>
      </c>
      <c r="G107" s="25" t="s">
        <v>21</v>
      </c>
      <c r="H107" s="26">
        <v>44978</v>
      </c>
      <c r="I107" s="25">
        <v>52495</v>
      </c>
      <c r="J107" s="25" t="s">
        <v>67</v>
      </c>
      <c r="K107" s="25" t="s">
        <v>276</v>
      </c>
      <c r="L107" s="27" t="s">
        <v>24</v>
      </c>
      <c r="M107" s="28" t="str">
        <f>_xlfn.XLOOKUP(F107,Department!$A$2:$A$6,Department!$B$2:$B$6)</f>
        <v>Finance</v>
      </c>
      <c r="N107" s="30">
        <f>_xlfn.XLOOKUP(A107,Performance!$A$2:$A$501,Performance!$C$2:$C$501)</f>
        <v>5</v>
      </c>
      <c r="O107" s="28" cm="1">
        <f t="array" ref="O107">_xlfn.IFS(N107=5,I107*15%,N107=4,I107*10%,N107=3,I107*7%,N107&lt;3,I107*5%)</f>
        <v>7874.25</v>
      </c>
    </row>
    <row r="108" spans="1:15">
      <c r="A108" s="24" t="s">
        <v>277</v>
      </c>
      <c r="B108" s="25" t="s">
        <v>126</v>
      </c>
      <c r="C108" s="25" t="s">
        <v>66</v>
      </c>
      <c r="D108" s="25" t="s">
        <v>28</v>
      </c>
      <c r="E108" s="25">
        <v>27</v>
      </c>
      <c r="F108" s="25" t="s">
        <v>35</v>
      </c>
      <c r="G108" s="25" t="s">
        <v>21</v>
      </c>
      <c r="H108" s="26">
        <v>43582</v>
      </c>
      <c r="I108" s="25">
        <v>90958</v>
      </c>
      <c r="J108" s="25" t="s">
        <v>22</v>
      </c>
      <c r="K108" s="25" t="s">
        <v>278</v>
      </c>
      <c r="L108" s="27" t="s">
        <v>39</v>
      </c>
      <c r="M108" s="28" t="str">
        <f>_xlfn.XLOOKUP(F108,Department!$A$2:$A$6,Department!$B$2:$B$6)</f>
        <v>Sales</v>
      </c>
      <c r="N108" s="30">
        <f>_xlfn.XLOOKUP(A108,Performance!$A$2:$A$501,Performance!$C$2:$C$501)</f>
        <v>1</v>
      </c>
      <c r="O108" s="28" cm="1">
        <f t="array" ref="O108">_xlfn.IFS(N108=5,I108*15%,N108=4,I108*10%,N108=3,I108*7%,N108&lt;3,I108*5%)</f>
        <v>4547.9000000000005</v>
      </c>
    </row>
    <row r="109" spans="1:15">
      <c r="A109" s="24" t="s">
        <v>279</v>
      </c>
      <c r="B109" s="25" t="s">
        <v>126</v>
      </c>
      <c r="C109" s="25" t="s">
        <v>84</v>
      </c>
      <c r="D109" s="25" t="s">
        <v>19</v>
      </c>
      <c r="E109" s="25">
        <v>58</v>
      </c>
      <c r="F109" s="25" t="s">
        <v>43</v>
      </c>
      <c r="G109" s="25" t="s">
        <v>44</v>
      </c>
      <c r="H109" s="26">
        <v>43327</v>
      </c>
      <c r="I109" s="25">
        <v>51096</v>
      </c>
      <c r="J109" s="25" t="s">
        <v>22</v>
      </c>
      <c r="K109" s="25" t="s">
        <v>280</v>
      </c>
      <c r="L109" s="27" t="s">
        <v>39</v>
      </c>
      <c r="M109" s="28" t="str">
        <f>_xlfn.XLOOKUP(F109,Department!$A$2:$A$6,Department!$B$2:$B$6)</f>
        <v>Marketing</v>
      </c>
      <c r="N109" s="30">
        <f>_xlfn.XLOOKUP(A109,Performance!$A$2:$A$501,Performance!$C$2:$C$501)</f>
        <v>1</v>
      </c>
      <c r="O109" s="28" cm="1">
        <f t="array" ref="O109">_xlfn.IFS(N109=5,I109*15%,N109=4,I109*10%,N109=3,I109*7%,N109&lt;3,I109*5%)</f>
        <v>2554.8000000000002</v>
      </c>
    </row>
    <row r="110" spans="1:15">
      <c r="A110" s="24" t="s">
        <v>281</v>
      </c>
      <c r="B110" s="25" t="s">
        <v>61</v>
      </c>
      <c r="C110" s="25" t="s">
        <v>93</v>
      </c>
      <c r="D110" s="25" t="s">
        <v>19</v>
      </c>
      <c r="E110" s="25">
        <v>58</v>
      </c>
      <c r="F110" s="25" t="s">
        <v>54</v>
      </c>
      <c r="G110" s="25" t="s">
        <v>102</v>
      </c>
      <c r="H110" s="26">
        <v>43518</v>
      </c>
      <c r="I110" s="25">
        <v>90458</v>
      </c>
      <c r="J110" s="25" t="s">
        <v>22</v>
      </c>
      <c r="K110" s="25" t="s">
        <v>282</v>
      </c>
      <c r="L110" s="27" t="s">
        <v>24</v>
      </c>
      <c r="M110" s="28" t="str">
        <f>_xlfn.XLOOKUP(F110,Department!$A$2:$A$6,Department!$B$2:$B$6)</f>
        <v>Finance</v>
      </c>
      <c r="N110" s="30">
        <f>_xlfn.XLOOKUP(A110,Performance!$A$2:$A$501,Performance!$C$2:$C$501)</f>
        <v>3</v>
      </c>
      <c r="O110" s="28" cm="1">
        <f t="array" ref="O110">_xlfn.IFS(N110=5,I110*15%,N110=4,I110*10%,N110=3,I110*7%,N110&lt;3,I110*5%)</f>
        <v>6332.06</v>
      </c>
    </row>
    <row r="111" spans="1:15">
      <c r="A111" s="24" t="s">
        <v>283</v>
      </c>
      <c r="B111" s="25" t="s">
        <v>126</v>
      </c>
      <c r="C111" s="25" t="s">
        <v>117</v>
      </c>
      <c r="D111" s="25" t="s">
        <v>28</v>
      </c>
      <c r="E111" s="25">
        <v>39</v>
      </c>
      <c r="F111" s="25" t="s">
        <v>35</v>
      </c>
      <c r="G111" s="25" t="s">
        <v>21</v>
      </c>
      <c r="H111" s="26">
        <v>43537</v>
      </c>
      <c r="I111" s="25">
        <v>67338</v>
      </c>
      <c r="J111" s="25" t="s">
        <v>37</v>
      </c>
      <c r="K111" s="25" t="s">
        <v>284</v>
      </c>
      <c r="L111" s="27" t="s">
        <v>39</v>
      </c>
      <c r="M111" s="28" t="str">
        <f>_xlfn.XLOOKUP(F111,Department!$A$2:$A$6,Department!$B$2:$B$6)</f>
        <v>Sales</v>
      </c>
      <c r="N111" s="30">
        <f>_xlfn.XLOOKUP(A111,Performance!$A$2:$A$501,Performance!$C$2:$C$501)</f>
        <v>4</v>
      </c>
      <c r="O111" s="28" cm="1">
        <f t="array" ref="O111">_xlfn.IFS(N111=5,I111*15%,N111=4,I111*10%,N111=3,I111*7%,N111&lt;3,I111*5%)</f>
        <v>6733.8</v>
      </c>
    </row>
    <row r="112" spans="1:15">
      <c r="A112" s="24" t="s">
        <v>285</v>
      </c>
      <c r="B112" s="25" t="s">
        <v>17</v>
      </c>
      <c r="C112" s="25" t="s">
        <v>18</v>
      </c>
      <c r="D112" s="25" t="s">
        <v>19</v>
      </c>
      <c r="E112" s="25">
        <v>40</v>
      </c>
      <c r="F112" s="25" t="s">
        <v>29</v>
      </c>
      <c r="G112" s="25" t="s">
        <v>44</v>
      </c>
      <c r="H112" s="26">
        <v>44470</v>
      </c>
      <c r="I112" s="25">
        <v>106100</v>
      </c>
      <c r="J112" s="25" t="s">
        <v>37</v>
      </c>
      <c r="K112" s="25" t="s">
        <v>286</v>
      </c>
      <c r="L112" s="27" t="s">
        <v>39</v>
      </c>
      <c r="M112" s="28" t="str">
        <f>_xlfn.XLOOKUP(F112,Department!$A$2:$A$6,Department!$B$2:$B$6)</f>
        <v>IT</v>
      </c>
      <c r="N112" s="30">
        <f>_xlfn.XLOOKUP(A112,Performance!$A$2:$A$501,Performance!$C$2:$C$501)</f>
        <v>5</v>
      </c>
      <c r="O112" s="28" cm="1">
        <f t="array" ref="O112">_xlfn.IFS(N112=5,I112*15%,N112=4,I112*10%,N112=3,I112*7%,N112&lt;3,I112*5%)</f>
        <v>15915</v>
      </c>
    </row>
    <row r="113" spans="1:15">
      <c r="A113" s="24" t="s">
        <v>287</v>
      </c>
      <c r="B113" s="25" t="s">
        <v>17</v>
      </c>
      <c r="C113" s="25" t="s">
        <v>80</v>
      </c>
      <c r="D113" s="25" t="s">
        <v>28</v>
      </c>
      <c r="E113" s="25">
        <v>45</v>
      </c>
      <c r="F113" s="25" t="s">
        <v>20</v>
      </c>
      <c r="G113" s="25" t="s">
        <v>21</v>
      </c>
      <c r="H113" s="26">
        <v>44497</v>
      </c>
      <c r="I113" s="25">
        <v>62840</v>
      </c>
      <c r="J113" s="25" t="s">
        <v>62</v>
      </c>
      <c r="K113" s="25" t="s">
        <v>288</v>
      </c>
      <c r="L113" s="27" t="s">
        <v>39</v>
      </c>
      <c r="M113" s="28" t="str">
        <f>_xlfn.XLOOKUP(F113,Department!$A$2:$A$6,Department!$B$2:$B$6)</f>
        <v>HR</v>
      </c>
      <c r="N113" s="30">
        <f>_xlfn.XLOOKUP(A113,Performance!$A$2:$A$501,Performance!$C$2:$C$501)</f>
        <v>2</v>
      </c>
      <c r="O113" s="28" cm="1">
        <f t="array" ref="O113">_xlfn.IFS(N113=5,I113*15%,N113=4,I113*10%,N113=3,I113*7%,N113&lt;3,I113*5%)</f>
        <v>3142</v>
      </c>
    </row>
    <row r="114" spans="1:15">
      <c r="A114" s="24" t="s">
        <v>289</v>
      </c>
      <c r="B114" s="25" t="s">
        <v>74</v>
      </c>
      <c r="C114" s="25" t="s">
        <v>117</v>
      </c>
      <c r="D114" s="25" t="s">
        <v>28</v>
      </c>
      <c r="E114" s="25">
        <v>48</v>
      </c>
      <c r="F114" s="25" t="s">
        <v>20</v>
      </c>
      <c r="G114" s="25" t="s">
        <v>36</v>
      </c>
      <c r="H114" s="26">
        <v>43274</v>
      </c>
      <c r="I114" s="25">
        <v>69569</v>
      </c>
      <c r="J114" s="25" t="s">
        <v>37</v>
      </c>
      <c r="K114" s="25" t="s">
        <v>290</v>
      </c>
      <c r="L114" s="27" t="s">
        <v>39</v>
      </c>
      <c r="M114" s="28" t="str">
        <f>_xlfn.XLOOKUP(F114,Department!$A$2:$A$6,Department!$B$2:$B$6)</f>
        <v>HR</v>
      </c>
      <c r="N114" s="30">
        <f>_xlfn.XLOOKUP(A114,Performance!$A$2:$A$501,Performance!$C$2:$C$501)</f>
        <v>5</v>
      </c>
      <c r="O114" s="28" cm="1">
        <f t="array" ref="O114">_xlfn.IFS(N114=5,I114*15%,N114=4,I114*10%,N114=3,I114*7%,N114&lt;3,I114*5%)</f>
        <v>10435.35</v>
      </c>
    </row>
    <row r="115" spans="1:15">
      <c r="A115" s="24" t="s">
        <v>291</v>
      </c>
      <c r="B115" s="25" t="s">
        <v>42</v>
      </c>
      <c r="C115" s="25" t="s">
        <v>93</v>
      </c>
      <c r="D115" s="25" t="s">
        <v>19</v>
      </c>
      <c r="E115" s="25">
        <v>23</v>
      </c>
      <c r="F115" s="25" t="s">
        <v>35</v>
      </c>
      <c r="G115" s="25" t="s">
        <v>21</v>
      </c>
      <c r="H115" s="26">
        <v>45482</v>
      </c>
      <c r="I115" s="25">
        <v>109099</v>
      </c>
      <c r="J115" s="25" t="s">
        <v>81</v>
      </c>
      <c r="K115" s="25" t="s">
        <v>292</v>
      </c>
      <c r="L115" s="27" t="s">
        <v>24</v>
      </c>
      <c r="M115" s="28" t="str">
        <f>_xlfn.XLOOKUP(F115,Department!$A$2:$A$6,Department!$B$2:$B$6)</f>
        <v>Sales</v>
      </c>
      <c r="N115" s="30">
        <f>_xlfn.XLOOKUP(A115,Performance!$A$2:$A$501,Performance!$C$2:$C$501)</f>
        <v>3</v>
      </c>
      <c r="O115" s="28" cm="1">
        <f t="array" ref="O115">_xlfn.IFS(N115=5,I115*15%,N115=4,I115*10%,N115=3,I115*7%,N115&lt;3,I115*5%)</f>
        <v>7636.93</v>
      </c>
    </row>
    <row r="116" spans="1:15">
      <c r="A116" s="24" t="s">
        <v>293</v>
      </c>
      <c r="B116" s="25" t="s">
        <v>58</v>
      </c>
      <c r="C116" s="25" t="s">
        <v>27</v>
      </c>
      <c r="D116" s="25" t="s">
        <v>19</v>
      </c>
      <c r="E116" s="25">
        <v>30</v>
      </c>
      <c r="F116" s="25" t="s">
        <v>29</v>
      </c>
      <c r="G116" s="25" t="s">
        <v>44</v>
      </c>
      <c r="H116" s="26">
        <v>44588</v>
      </c>
      <c r="I116" s="25">
        <v>74368</v>
      </c>
      <c r="J116" s="25" t="s">
        <v>62</v>
      </c>
      <c r="K116" s="25" t="s">
        <v>294</v>
      </c>
      <c r="L116" s="27" t="s">
        <v>39</v>
      </c>
      <c r="M116" s="28" t="str">
        <f>_xlfn.XLOOKUP(F116,Department!$A$2:$A$6,Department!$B$2:$B$6)</f>
        <v>IT</v>
      </c>
      <c r="N116" s="30">
        <f>_xlfn.XLOOKUP(A116,Performance!$A$2:$A$501,Performance!$C$2:$C$501)</f>
        <v>1</v>
      </c>
      <c r="O116" s="28" cm="1">
        <f t="array" ref="O116">_xlfn.IFS(N116=5,I116*15%,N116=4,I116*10%,N116=3,I116*7%,N116&lt;3,I116*5%)</f>
        <v>3718.4</v>
      </c>
    </row>
    <row r="117" spans="1:15">
      <c r="A117" s="24" t="s">
        <v>295</v>
      </c>
      <c r="B117" s="25" t="s">
        <v>34</v>
      </c>
      <c r="C117" s="25" t="s">
        <v>117</v>
      </c>
      <c r="D117" s="25" t="s">
        <v>28</v>
      </c>
      <c r="E117" s="25">
        <v>58</v>
      </c>
      <c r="F117" s="25" t="s">
        <v>43</v>
      </c>
      <c r="G117" s="25" t="s">
        <v>36</v>
      </c>
      <c r="H117" s="26">
        <v>44259</v>
      </c>
      <c r="I117" s="25">
        <v>111621</v>
      </c>
      <c r="J117" s="25" t="s">
        <v>62</v>
      </c>
      <c r="K117" s="25" t="s">
        <v>296</v>
      </c>
      <c r="L117" s="27" t="s">
        <v>24</v>
      </c>
      <c r="M117" s="28" t="str">
        <f>_xlfn.XLOOKUP(F117,Department!$A$2:$A$6,Department!$B$2:$B$6)</f>
        <v>Marketing</v>
      </c>
      <c r="N117" s="30">
        <f>_xlfn.XLOOKUP(A117,Performance!$A$2:$A$501,Performance!$C$2:$C$501)</f>
        <v>5</v>
      </c>
      <c r="O117" s="28" cm="1">
        <f t="array" ref="O117">_xlfn.IFS(N117=5,I117*15%,N117=4,I117*10%,N117=3,I117*7%,N117&lt;3,I117*5%)</f>
        <v>16743.149999999998</v>
      </c>
    </row>
    <row r="118" spans="1:15">
      <c r="A118" s="24" t="s">
        <v>297</v>
      </c>
      <c r="B118" s="25" t="s">
        <v>126</v>
      </c>
      <c r="C118" s="25" t="s">
        <v>84</v>
      </c>
      <c r="D118" s="25" t="s">
        <v>19</v>
      </c>
      <c r="E118" s="25">
        <v>32</v>
      </c>
      <c r="F118" s="25" t="s">
        <v>54</v>
      </c>
      <c r="G118" s="25" t="s">
        <v>36</v>
      </c>
      <c r="H118" s="26">
        <v>44516</v>
      </c>
      <c r="I118" s="25">
        <v>82446</v>
      </c>
      <c r="J118" s="25" t="s">
        <v>67</v>
      </c>
      <c r="K118" s="25" t="s">
        <v>298</v>
      </c>
      <c r="L118" s="27" t="s">
        <v>24</v>
      </c>
      <c r="M118" s="28" t="str">
        <f>_xlfn.XLOOKUP(F118,Department!$A$2:$A$6,Department!$B$2:$B$6)</f>
        <v>Finance</v>
      </c>
      <c r="N118" s="30">
        <f>_xlfn.XLOOKUP(A118,Performance!$A$2:$A$501,Performance!$C$2:$C$501)</f>
        <v>1</v>
      </c>
      <c r="O118" s="28" cm="1">
        <f t="array" ref="O118">_xlfn.IFS(N118=5,I118*15%,N118=4,I118*10%,N118=3,I118*7%,N118&lt;3,I118*5%)</f>
        <v>4122.3</v>
      </c>
    </row>
    <row r="119" spans="1:15">
      <c r="A119" s="24" t="s">
        <v>299</v>
      </c>
      <c r="B119" s="25" t="s">
        <v>126</v>
      </c>
      <c r="C119" s="25" t="s">
        <v>80</v>
      </c>
      <c r="D119" s="25" t="s">
        <v>28</v>
      </c>
      <c r="E119" s="25">
        <v>24</v>
      </c>
      <c r="F119" s="25" t="s">
        <v>35</v>
      </c>
      <c r="G119" s="25" t="s">
        <v>21</v>
      </c>
      <c r="H119" s="26">
        <v>44746</v>
      </c>
      <c r="I119" s="25">
        <v>99200</v>
      </c>
      <c r="J119" s="25" t="s">
        <v>22</v>
      </c>
      <c r="K119" s="25" t="s">
        <v>300</v>
      </c>
      <c r="L119" s="27" t="s">
        <v>39</v>
      </c>
      <c r="M119" s="28" t="str">
        <f>_xlfn.XLOOKUP(F119,Department!$A$2:$A$6,Department!$B$2:$B$6)</f>
        <v>Sales</v>
      </c>
      <c r="N119" s="30">
        <f>_xlfn.XLOOKUP(A119,Performance!$A$2:$A$501,Performance!$C$2:$C$501)</f>
        <v>5</v>
      </c>
      <c r="O119" s="28" cm="1">
        <f t="array" ref="O119">_xlfn.IFS(N119=5,I119*15%,N119=4,I119*10%,N119=3,I119*7%,N119&lt;3,I119*5%)</f>
        <v>14880</v>
      </c>
    </row>
    <row r="120" spans="1:15">
      <c r="A120" s="24" t="s">
        <v>301</v>
      </c>
      <c r="B120" s="25" t="s">
        <v>48</v>
      </c>
      <c r="C120" s="25" t="s">
        <v>93</v>
      </c>
      <c r="D120" s="25" t="s">
        <v>28</v>
      </c>
      <c r="E120" s="25">
        <v>36</v>
      </c>
      <c r="F120" s="25" t="s">
        <v>54</v>
      </c>
      <c r="G120" s="25" t="s">
        <v>30</v>
      </c>
      <c r="H120" s="26">
        <v>44628</v>
      </c>
      <c r="I120" s="25">
        <v>56294</v>
      </c>
      <c r="J120" s="25" t="s">
        <v>62</v>
      </c>
      <c r="K120" s="25" t="s">
        <v>302</v>
      </c>
      <c r="L120" s="27" t="s">
        <v>39</v>
      </c>
      <c r="M120" s="28" t="str">
        <f>_xlfn.XLOOKUP(F120,Department!$A$2:$A$6,Department!$B$2:$B$6)</f>
        <v>Finance</v>
      </c>
      <c r="N120" s="30">
        <f>_xlfn.XLOOKUP(A120,Performance!$A$2:$A$501,Performance!$C$2:$C$501)</f>
        <v>2</v>
      </c>
      <c r="O120" s="28" cm="1">
        <f t="array" ref="O120">_xlfn.IFS(N120=5,I120*15%,N120=4,I120*10%,N120=3,I120*7%,N120&lt;3,I120*5%)</f>
        <v>2814.7000000000003</v>
      </c>
    </row>
    <row r="121" spans="1:15">
      <c r="A121" s="24" t="s">
        <v>303</v>
      </c>
      <c r="B121" s="25" t="s">
        <v>48</v>
      </c>
      <c r="C121" s="25" t="s">
        <v>141</v>
      </c>
      <c r="D121" s="25" t="s">
        <v>19</v>
      </c>
      <c r="E121" s="25">
        <v>32</v>
      </c>
      <c r="F121" s="25" t="s">
        <v>54</v>
      </c>
      <c r="G121" s="25" t="s">
        <v>44</v>
      </c>
      <c r="H121" s="26">
        <v>44638</v>
      </c>
      <c r="I121" s="25">
        <v>112759</v>
      </c>
      <c r="J121" s="25" t="s">
        <v>81</v>
      </c>
      <c r="K121" s="25" t="s">
        <v>304</v>
      </c>
      <c r="L121" s="27" t="s">
        <v>39</v>
      </c>
      <c r="M121" s="28" t="str">
        <f>_xlfn.XLOOKUP(F121,Department!$A$2:$A$6,Department!$B$2:$B$6)</f>
        <v>Finance</v>
      </c>
      <c r="N121" s="30">
        <f>_xlfn.XLOOKUP(A121,Performance!$A$2:$A$501,Performance!$C$2:$C$501)</f>
        <v>2</v>
      </c>
      <c r="O121" s="28" cm="1">
        <f t="array" ref="O121">_xlfn.IFS(N121=5,I121*15%,N121=4,I121*10%,N121=3,I121*7%,N121&lt;3,I121*5%)</f>
        <v>5637.9500000000007</v>
      </c>
    </row>
    <row r="122" spans="1:15">
      <c r="A122" s="24" t="s">
        <v>305</v>
      </c>
      <c r="B122" s="25" t="s">
        <v>92</v>
      </c>
      <c r="C122" s="25" t="s">
        <v>49</v>
      </c>
      <c r="D122" s="25" t="s">
        <v>19</v>
      </c>
      <c r="E122" s="25">
        <v>47</v>
      </c>
      <c r="F122" s="25" t="s">
        <v>29</v>
      </c>
      <c r="G122" s="25" t="s">
        <v>44</v>
      </c>
      <c r="H122" s="26">
        <v>44498</v>
      </c>
      <c r="I122" s="25">
        <v>70479</v>
      </c>
      <c r="J122" s="25" t="s">
        <v>37</v>
      </c>
      <c r="K122" s="25" t="s">
        <v>306</v>
      </c>
      <c r="L122" s="27" t="s">
        <v>24</v>
      </c>
      <c r="M122" s="28" t="str">
        <f>_xlfn.XLOOKUP(F122,Department!$A$2:$A$6,Department!$B$2:$B$6)</f>
        <v>IT</v>
      </c>
      <c r="N122" s="30">
        <f>_xlfn.XLOOKUP(A122,Performance!$A$2:$A$501,Performance!$C$2:$C$501)</f>
        <v>1</v>
      </c>
      <c r="O122" s="28" cm="1">
        <f t="array" ref="O122">_xlfn.IFS(N122=5,I122*15%,N122=4,I122*10%,N122=3,I122*7%,N122&lt;3,I122*5%)</f>
        <v>3523.9500000000003</v>
      </c>
    </row>
    <row r="123" spans="1:15">
      <c r="A123" s="24" t="s">
        <v>307</v>
      </c>
      <c r="B123" s="25" t="s">
        <v>48</v>
      </c>
      <c r="C123" s="25" t="s">
        <v>66</v>
      </c>
      <c r="D123" s="25" t="s">
        <v>19</v>
      </c>
      <c r="E123" s="25">
        <v>42</v>
      </c>
      <c r="F123" s="25" t="s">
        <v>20</v>
      </c>
      <c r="G123" s="25" t="s">
        <v>30</v>
      </c>
      <c r="H123" s="26">
        <v>45414</v>
      </c>
      <c r="I123" s="25">
        <v>52630</v>
      </c>
      <c r="J123" s="25" t="s">
        <v>62</v>
      </c>
      <c r="K123" s="25" t="s">
        <v>308</v>
      </c>
      <c r="L123" s="27" t="s">
        <v>24</v>
      </c>
      <c r="M123" s="28" t="str">
        <f>_xlfn.XLOOKUP(F123,Department!$A$2:$A$6,Department!$B$2:$B$6)</f>
        <v>HR</v>
      </c>
      <c r="N123" s="30">
        <f>_xlfn.XLOOKUP(A123,Performance!$A$2:$A$501,Performance!$C$2:$C$501)</f>
        <v>5</v>
      </c>
      <c r="O123" s="28" cm="1">
        <f t="array" ref="O123">_xlfn.IFS(N123=5,I123*15%,N123=4,I123*10%,N123=3,I123*7%,N123&lt;3,I123*5%)</f>
        <v>7894.5</v>
      </c>
    </row>
    <row r="124" spans="1:15">
      <c r="A124" s="24" t="s">
        <v>309</v>
      </c>
      <c r="B124" s="25" t="s">
        <v>48</v>
      </c>
      <c r="C124" s="25" t="s">
        <v>117</v>
      </c>
      <c r="D124" s="25" t="s">
        <v>28</v>
      </c>
      <c r="E124" s="25">
        <v>27</v>
      </c>
      <c r="F124" s="25" t="s">
        <v>35</v>
      </c>
      <c r="G124" s="25" t="s">
        <v>36</v>
      </c>
      <c r="H124" s="26">
        <v>43125</v>
      </c>
      <c r="I124" s="25">
        <v>78119</v>
      </c>
      <c r="J124" s="25" t="s">
        <v>62</v>
      </c>
      <c r="K124" s="25" t="s">
        <v>310</v>
      </c>
      <c r="L124" s="27" t="s">
        <v>24</v>
      </c>
      <c r="M124" s="28" t="str">
        <f>_xlfn.XLOOKUP(F124,Department!$A$2:$A$6,Department!$B$2:$B$6)</f>
        <v>Sales</v>
      </c>
      <c r="N124" s="30">
        <f>_xlfn.XLOOKUP(A124,Performance!$A$2:$A$501,Performance!$C$2:$C$501)</f>
        <v>4</v>
      </c>
      <c r="O124" s="28" cm="1">
        <f t="array" ref="O124">_xlfn.IFS(N124=5,I124*15%,N124=4,I124*10%,N124=3,I124*7%,N124&lt;3,I124*5%)</f>
        <v>7811.9000000000005</v>
      </c>
    </row>
    <row r="125" spans="1:15">
      <c r="A125" s="24" t="s">
        <v>311</v>
      </c>
      <c r="B125" s="25" t="s">
        <v>48</v>
      </c>
      <c r="C125" s="25" t="s">
        <v>80</v>
      </c>
      <c r="D125" s="25" t="s">
        <v>19</v>
      </c>
      <c r="E125" s="25">
        <v>41</v>
      </c>
      <c r="F125" s="25" t="s">
        <v>29</v>
      </c>
      <c r="G125" s="25" t="s">
        <v>36</v>
      </c>
      <c r="H125" s="26">
        <v>43820</v>
      </c>
      <c r="I125" s="25">
        <v>77100</v>
      </c>
      <c r="J125" s="25" t="s">
        <v>22</v>
      </c>
      <c r="K125" s="25" t="s">
        <v>312</v>
      </c>
      <c r="L125" s="27" t="s">
        <v>24</v>
      </c>
      <c r="M125" s="28" t="str">
        <f>_xlfn.XLOOKUP(F125,Department!$A$2:$A$6,Department!$B$2:$B$6)</f>
        <v>IT</v>
      </c>
      <c r="N125" s="30">
        <f>_xlfn.XLOOKUP(A125,Performance!$A$2:$A$501,Performance!$C$2:$C$501)</f>
        <v>4</v>
      </c>
      <c r="O125" s="28" cm="1">
        <f t="array" ref="O125">_xlfn.IFS(N125=5,I125*15%,N125=4,I125*10%,N125=3,I125*7%,N125&lt;3,I125*5%)</f>
        <v>7710</v>
      </c>
    </row>
    <row r="126" spans="1:15">
      <c r="A126" s="24" t="s">
        <v>313</v>
      </c>
      <c r="B126" s="25" t="s">
        <v>42</v>
      </c>
      <c r="C126" s="25" t="s">
        <v>66</v>
      </c>
      <c r="D126" s="25" t="s">
        <v>19</v>
      </c>
      <c r="E126" s="25">
        <v>58</v>
      </c>
      <c r="F126" s="25" t="s">
        <v>35</v>
      </c>
      <c r="G126" s="25" t="s">
        <v>44</v>
      </c>
      <c r="H126" s="26">
        <v>43765</v>
      </c>
      <c r="I126" s="25">
        <v>48296</v>
      </c>
      <c r="J126" s="25" t="s">
        <v>67</v>
      </c>
      <c r="K126" s="25" t="s">
        <v>314</v>
      </c>
      <c r="L126" s="27" t="s">
        <v>39</v>
      </c>
      <c r="M126" s="28" t="str">
        <f>_xlfn.XLOOKUP(F126,Department!$A$2:$A$6,Department!$B$2:$B$6)</f>
        <v>Sales</v>
      </c>
      <c r="N126" s="30">
        <f>_xlfn.XLOOKUP(A126,Performance!$A$2:$A$501,Performance!$C$2:$C$501)</f>
        <v>4</v>
      </c>
      <c r="O126" s="28" cm="1">
        <f t="array" ref="O126">_xlfn.IFS(N126=5,I126*15%,N126=4,I126*10%,N126=3,I126*7%,N126&lt;3,I126*5%)</f>
        <v>4829.6000000000004</v>
      </c>
    </row>
    <row r="127" spans="1:15">
      <c r="A127" s="24" t="s">
        <v>315</v>
      </c>
      <c r="B127" s="25" t="s">
        <v>58</v>
      </c>
      <c r="C127" s="25" t="s">
        <v>141</v>
      </c>
      <c r="D127" s="25" t="s">
        <v>28</v>
      </c>
      <c r="E127" s="25">
        <v>46</v>
      </c>
      <c r="F127" s="25" t="s">
        <v>54</v>
      </c>
      <c r="G127" s="25" t="s">
        <v>30</v>
      </c>
      <c r="H127" s="26">
        <v>43301</v>
      </c>
      <c r="I127" s="25">
        <v>69026</v>
      </c>
      <c r="J127" s="25" t="s">
        <v>37</v>
      </c>
      <c r="K127" s="25" t="s">
        <v>316</v>
      </c>
      <c r="L127" s="27" t="s">
        <v>24</v>
      </c>
      <c r="M127" s="28" t="str">
        <f>_xlfn.XLOOKUP(F127,Department!$A$2:$A$6,Department!$B$2:$B$6)</f>
        <v>Finance</v>
      </c>
      <c r="N127" s="30">
        <f>_xlfn.XLOOKUP(A127,Performance!$A$2:$A$501,Performance!$C$2:$C$501)</f>
        <v>2</v>
      </c>
      <c r="O127" s="28" cm="1">
        <f t="array" ref="O127">_xlfn.IFS(N127=5,I127*15%,N127=4,I127*10%,N127=3,I127*7%,N127&lt;3,I127*5%)</f>
        <v>3451.3</v>
      </c>
    </row>
    <row r="128" spans="1:15">
      <c r="A128" s="24" t="s">
        <v>317</v>
      </c>
      <c r="B128" s="25" t="s">
        <v>61</v>
      </c>
      <c r="C128" s="25" t="s">
        <v>27</v>
      </c>
      <c r="D128" s="25" t="s">
        <v>19</v>
      </c>
      <c r="E128" s="25">
        <v>29</v>
      </c>
      <c r="F128" s="25" t="s">
        <v>29</v>
      </c>
      <c r="G128" s="25" t="s">
        <v>30</v>
      </c>
      <c r="H128" s="26">
        <v>45478</v>
      </c>
      <c r="I128" s="25">
        <v>97080</v>
      </c>
      <c r="J128" s="25" t="s">
        <v>81</v>
      </c>
      <c r="K128" s="25" t="s">
        <v>318</v>
      </c>
      <c r="L128" s="27" t="s">
        <v>24</v>
      </c>
      <c r="M128" s="28" t="str">
        <f>_xlfn.XLOOKUP(F128,Department!$A$2:$A$6,Department!$B$2:$B$6)</f>
        <v>IT</v>
      </c>
      <c r="N128" s="30">
        <f>_xlfn.XLOOKUP(A128,Performance!$A$2:$A$501,Performance!$C$2:$C$501)</f>
        <v>5</v>
      </c>
      <c r="O128" s="28" cm="1">
        <f t="array" ref="O128">_xlfn.IFS(N128=5,I128*15%,N128=4,I128*10%,N128=3,I128*7%,N128&lt;3,I128*5%)</f>
        <v>14562</v>
      </c>
    </row>
    <row r="129" spans="1:15">
      <c r="A129" s="24" t="s">
        <v>319</v>
      </c>
      <c r="B129" s="25" t="s">
        <v>74</v>
      </c>
      <c r="C129" s="25" t="s">
        <v>117</v>
      </c>
      <c r="D129" s="25" t="s">
        <v>28</v>
      </c>
      <c r="E129" s="25">
        <v>26</v>
      </c>
      <c r="F129" s="25" t="s">
        <v>29</v>
      </c>
      <c r="G129" s="25" t="s">
        <v>36</v>
      </c>
      <c r="H129" s="26">
        <v>45413</v>
      </c>
      <c r="I129" s="25">
        <v>71436</v>
      </c>
      <c r="J129" s="25" t="s">
        <v>37</v>
      </c>
      <c r="K129" s="25" t="s">
        <v>320</v>
      </c>
      <c r="L129" s="27" t="s">
        <v>39</v>
      </c>
      <c r="M129" s="28" t="str">
        <f>_xlfn.XLOOKUP(F129,Department!$A$2:$A$6,Department!$B$2:$B$6)</f>
        <v>IT</v>
      </c>
      <c r="N129" s="30">
        <f>_xlfn.XLOOKUP(A129,Performance!$A$2:$A$501,Performance!$C$2:$C$501)</f>
        <v>1</v>
      </c>
      <c r="O129" s="28" cm="1">
        <f t="array" ref="O129">_xlfn.IFS(N129=5,I129*15%,N129=4,I129*10%,N129=3,I129*7%,N129&lt;3,I129*5%)</f>
        <v>3571.8</v>
      </c>
    </row>
    <row r="130" spans="1:15">
      <c r="A130" s="24" t="s">
        <v>321</v>
      </c>
      <c r="B130" s="25" t="s">
        <v>92</v>
      </c>
      <c r="C130" s="25" t="s">
        <v>66</v>
      </c>
      <c r="D130" s="25" t="s">
        <v>28</v>
      </c>
      <c r="E130" s="25">
        <v>44</v>
      </c>
      <c r="F130" s="25" t="s">
        <v>20</v>
      </c>
      <c r="G130" s="25" t="s">
        <v>36</v>
      </c>
      <c r="H130" s="26">
        <v>44897</v>
      </c>
      <c r="I130" s="25">
        <v>87790</v>
      </c>
      <c r="J130" s="25" t="s">
        <v>81</v>
      </c>
      <c r="K130" s="25" t="s">
        <v>322</v>
      </c>
      <c r="L130" s="27" t="s">
        <v>24</v>
      </c>
      <c r="M130" s="28" t="str">
        <f>_xlfn.XLOOKUP(F130,Department!$A$2:$A$6,Department!$B$2:$B$6)</f>
        <v>HR</v>
      </c>
      <c r="N130" s="30">
        <f>_xlfn.XLOOKUP(A130,Performance!$A$2:$A$501,Performance!$C$2:$C$501)</f>
        <v>5</v>
      </c>
      <c r="O130" s="28" cm="1">
        <f t="array" ref="O130">_xlfn.IFS(N130=5,I130*15%,N130=4,I130*10%,N130=3,I130*7%,N130&lt;3,I130*5%)</f>
        <v>13168.5</v>
      </c>
    </row>
    <row r="131" spans="1:15">
      <c r="A131" s="24" t="s">
        <v>323</v>
      </c>
      <c r="B131" s="25" t="s">
        <v>58</v>
      </c>
      <c r="C131" s="25" t="s">
        <v>66</v>
      </c>
      <c r="D131" s="25" t="s">
        <v>28</v>
      </c>
      <c r="E131" s="25">
        <v>59</v>
      </c>
      <c r="F131" s="25" t="s">
        <v>20</v>
      </c>
      <c r="G131" s="25" t="s">
        <v>102</v>
      </c>
      <c r="H131" s="26">
        <v>44284</v>
      </c>
      <c r="I131" s="25">
        <v>119530</v>
      </c>
      <c r="J131" s="25" t="s">
        <v>81</v>
      </c>
      <c r="K131" s="25" t="s">
        <v>324</v>
      </c>
      <c r="L131" s="27" t="s">
        <v>24</v>
      </c>
      <c r="M131" s="28" t="str">
        <f>_xlfn.XLOOKUP(F131,Department!$A$2:$A$6,Department!$B$2:$B$6)</f>
        <v>HR</v>
      </c>
      <c r="N131" s="30">
        <f>_xlfn.XLOOKUP(A131,Performance!$A$2:$A$501,Performance!$C$2:$C$501)</f>
        <v>1</v>
      </c>
      <c r="O131" s="28" cm="1">
        <f t="array" ref="O131">_xlfn.IFS(N131=5,I131*15%,N131=4,I131*10%,N131=3,I131*7%,N131&lt;3,I131*5%)</f>
        <v>5976.5</v>
      </c>
    </row>
    <row r="132" spans="1:15">
      <c r="A132" s="24" t="s">
        <v>325</v>
      </c>
      <c r="B132" s="25" t="s">
        <v>126</v>
      </c>
      <c r="C132" s="25" t="s">
        <v>18</v>
      </c>
      <c r="D132" s="25" t="s">
        <v>28</v>
      </c>
      <c r="E132" s="25">
        <v>37</v>
      </c>
      <c r="F132" s="25" t="s">
        <v>35</v>
      </c>
      <c r="G132" s="25" t="s">
        <v>102</v>
      </c>
      <c r="H132" s="26">
        <v>43615</v>
      </c>
      <c r="I132" s="25">
        <v>100623</v>
      </c>
      <c r="J132" s="25" t="s">
        <v>37</v>
      </c>
      <c r="K132" s="25" t="s">
        <v>326</v>
      </c>
      <c r="L132" s="27" t="s">
        <v>24</v>
      </c>
      <c r="M132" s="28" t="str">
        <f>_xlfn.XLOOKUP(F132,Department!$A$2:$A$6,Department!$B$2:$B$6)</f>
        <v>Sales</v>
      </c>
      <c r="N132" s="30">
        <f>_xlfn.XLOOKUP(A132,Performance!$A$2:$A$501,Performance!$C$2:$C$501)</f>
        <v>5</v>
      </c>
      <c r="O132" s="28" cm="1">
        <f t="array" ref="O132">_xlfn.IFS(N132=5,I132*15%,N132=4,I132*10%,N132=3,I132*7%,N132&lt;3,I132*5%)</f>
        <v>15093.449999999999</v>
      </c>
    </row>
    <row r="133" spans="1:15">
      <c r="A133" s="24" t="s">
        <v>327</v>
      </c>
      <c r="B133" s="25" t="s">
        <v>48</v>
      </c>
      <c r="C133" s="25" t="s">
        <v>49</v>
      </c>
      <c r="D133" s="25" t="s">
        <v>28</v>
      </c>
      <c r="E133" s="25">
        <v>60</v>
      </c>
      <c r="F133" s="25" t="s">
        <v>35</v>
      </c>
      <c r="G133" s="25" t="s">
        <v>102</v>
      </c>
      <c r="H133" s="26">
        <v>44688</v>
      </c>
      <c r="I133" s="25">
        <v>40317</v>
      </c>
      <c r="J133" s="25" t="s">
        <v>81</v>
      </c>
      <c r="K133" s="25" t="s">
        <v>328</v>
      </c>
      <c r="L133" s="27" t="s">
        <v>24</v>
      </c>
      <c r="M133" s="28" t="str">
        <f>_xlfn.XLOOKUP(F133,Department!$A$2:$A$6,Department!$B$2:$B$6)</f>
        <v>Sales</v>
      </c>
      <c r="N133" s="30">
        <f>_xlfn.XLOOKUP(A133,Performance!$A$2:$A$501,Performance!$C$2:$C$501)</f>
        <v>5</v>
      </c>
      <c r="O133" s="28" cm="1">
        <f t="array" ref="O133">_xlfn.IFS(N133=5,I133*15%,N133=4,I133*10%,N133=3,I133*7%,N133&lt;3,I133*5%)</f>
        <v>6047.55</v>
      </c>
    </row>
    <row r="134" spans="1:15">
      <c r="A134" s="24" t="s">
        <v>329</v>
      </c>
      <c r="B134" s="25" t="s">
        <v>74</v>
      </c>
      <c r="C134" s="25" t="s">
        <v>141</v>
      </c>
      <c r="D134" s="25" t="s">
        <v>28</v>
      </c>
      <c r="E134" s="25">
        <v>51</v>
      </c>
      <c r="F134" s="25" t="s">
        <v>29</v>
      </c>
      <c r="G134" s="25" t="s">
        <v>102</v>
      </c>
      <c r="H134" s="26">
        <v>44760</v>
      </c>
      <c r="I134" s="25">
        <v>87915</v>
      </c>
      <c r="J134" s="25" t="s">
        <v>62</v>
      </c>
      <c r="K134" s="25" t="s">
        <v>330</v>
      </c>
      <c r="L134" s="27" t="s">
        <v>24</v>
      </c>
      <c r="M134" s="28" t="str">
        <f>_xlfn.XLOOKUP(F134,Department!$A$2:$A$6,Department!$B$2:$B$6)</f>
        <v>IT</v>
      </c>
      <c r="N134" s="30">
        <f>_xlfn.XLOOKUP(A134,Performance!$A$2:$A$501,Performance!$C$2:$C$501)</f>
        <v>4</v>
      </c>
      <c r="O134" s="28" cm="1">
        <f t="array" ref="O134">_xlfn.IFS(N134=5,I134*15%,N134=4,I134*10%,N134=3,I134*7%,N134&lt;3,I134*5%)</f>
        <v>8791.5</v>
      </c>
    </row>
    <row r="135" spans="1:15">
      <c r="A135" s="24" t="s">
        <v>331</v>
      </c>
      <c r="B135" s="25" t="s">
        <v>126</v>
      </c>
      <c r="C135" s="25" t="s">
        <v>18</v>
      </c>
      <c r="D135" s="25" t="s">
        <v>19</v>
      </c>
      <c r="E135" s="25">
        <v>49</v>
      </c>
      <c r="F135" s="25" t="s">
        <v>35</v>
      </c>
      <c r="G135" s="25" t="s">
        <v>102</v>
      </c>
      <c r="H135" s="26">
        <v>45215</v>
      </c>
      <c r="I135" s="25">
        <v>102279</v>
      </c>
      <c r="J135" s="25" t="s">
        <v>62</v>
      </c>
      <c r="K135" s="25" t="s">
        <v>332</v>
      </c>
      <c r="L135" s="27" t="s">
        <v>39</v>
      </c>
      <c r="M135" s="28" t="str">
        <f>_xlfn.XLOOKUP(F135,Department!$A$2:$A$6,Department!$B$2:$B$6)</f>
        <v>Sales</v>
      </c>
      <c r="N135" s="30">
        <f>_xlfn.XLOOKUP(A135,Performance!$A$2:$A$501,Performance!$C$2:$C$501)</f>
        <v>2</v>
      </c>
      <c r="O135" s="28" cm="1">
        <f t="array" ref="O135">_xlfn.IFS(N135=5,I135*15%,N135=4,I135*10%,N135=3,I135*7%,N135&lt;3,I135*5%)</f>
        <v>5113.9500000000007</v>
      </c>
    </row>
    <row r="136" spans="1:15">
      <c r="A136" s="24" t="s">
        <v>333</v>
      </c>
      <c r="B136" s="25" t="s">
        <v>74</v>
      </c>
      <c r="C136" s="25" t="s">
        <v>93</v>
      </c>
      <c r="D136" s="25" t="s">
        <v>28</v>
      </c>
      <c r="E136" s="25">
        <v>36</v>
      </c>
      <c r="F136" s="25" t="s">
        <v>35</v>
      </c>
      <c r="G136" s="25" t="s">
        <v>44</v>
      </c>
      <c r="H136" s="26">
        <v>45223</v>
      </c>
      <c r="I136" s="25">
        <v>72887</v>
      </c>
      <c r="J136" s="25" t="s">
        <v>37</v>
      </c>
      <c r="K136" s="25" t="s">
        <v>334</v>
      </c>
      <c r="L136" s="27" t="s">
        <v>39</v>
      </c>
      <c r="M136" s="28" t="str">
        <f>_xlfn.XLOOKUP(F136,Department!$A$2:$A$6,Department!$B$2:$B$6)</f>
        <v>Sales</v>
      </c>
      <c r="N136" s="30">
        <f>_xlfn.XLOOKUP(A136,Performance!$A$2:$A$501,Performance!$C$2:$C$501)</f>
        <v>1</v>
      </c>
      <c r="O136" s="28" cm="1">
        <f t="array" ref="O136">_xlfn.IFS(N136=5,I136*15%,N136=4,I136*10%,N136=3,I136*7%,N136&lt;3,I136*5%)</f>
        <v>3644.3500000000004</v>
      </c>
    </row>
    <row r="137" spans="1:15">
      <c r="A137" s="24" t="s">
        <v>335</v>
      </c>
      <c r="B137" s="25" t="s">
        <v>42</v>
      </c>
      <c r="C137" s="25" t="s">
        <v>18</v>
      </c>
      <c r="D137" s="25" t="s">
        <v>19</v>
      </c>
      <c r="E137" s="25">
        <v>43</v>
      </c>
      <c r="F137" s="25" t="s">
        <v>20</v>
      </c>
      <c r="G137" s="25" t="s">
        <v>30</v>
      </c>
      <c r="H137" s="26">
        <v>43709</v>
      </c>
      <c r="I137" s="25">
        <v>92793</v>
      </c>
      <c r="J137" s="25" t="s">
        <v>62</v>
      </c>
      <c r="K137" s="25" t="s">
        <v>336</v>
      </c>
      <c r="L137" s="27" t="s">
        <v>24</v>
      </c>
      <c r="M137" s="28" t="str">
        <f>_xlfn.XLOOKUP(F137,Department!$A$2:$A$6,Department!$B$2:$B$6)</f>
        <v>HR</v>
      </c>
      <c r="N137" s="30">
        <f>_xlfn.XLOOKUP(A137,Performance!$A$2:$A$501,Performance!$C$2:$C$501)</f>
        <v>2</v>
      </c>
      <c r="O137" s="28" cm="1">
        <f t="array" ref="O137">_xlfn.IFS(N137=5,I137*15%,N137=4,I137*10%,N137=3,I137*7%,N137&lt;3,I137*5%)</f>
        <v>4639.6500000000005</v>
      </c>
    </row>
    <row r="138" spans="1:15">
      <c r="A138" s="24" t="s">
        <v>337</v>
      </c>
      <c r="B138" s="25" t="s">
        <v>92</v>
      </c>
      <c r="C138" s="25" t="s">
        <v>80</v>
      </c>
      <c r="D138" s="25" t="s">
        <v>28</v>
      </c>
      <c r="E138" s="25">
        <v>48</v>
      </c>
      <c r="F138" s="25" t="s">
        <v>43</v>
      </c>
      <c r="G138" s="25" t="s">
        <v>30</v>
      </c>
      <c r="H138" s="26">
        <v>45376</v>
      </c>
      <c r="I138" s="25">
        <v>114316</v>
      </c>
      <c r="J138" s="25" t="s">
        <v>67</v>
      </c>
      <c r="K138" s="25" t="s">
        <v>338</v>
      </c>
      <c r="L138" s="27" t="s">
        <v>24</v>
      </c>
      <c r="M138" s="28" t="str">
        <f>_xlfn.XLOOKUP(F138,Department!$A$2:$A$6,Department!$B$2:$B$6)</f>
        <v>Marketing</v>
      </c>
      <c r="N138" s="30">
        <f>_xlfn.XLOOKUP(A138,Performance!$A$2:$A$501,Performance!$C$2:$C$501)</f>
        <v>3</v>
      </c>
      <c r="O138" s="28" cm="1">
        <f t="array" ref="O138">_xlfn.IFS(N138=5,I138*15%,N138=4,I138*10%,N138=3,I138*7%,N138&lt;3,I138*5%)</f>
        <v>8002.1200000000008</v>
      </c>
    </row>
    <row r="139" spans="1:15">
      <c r="A139" s="24" t="s">
        <v>339</v>
      </c>
      <c r="B139" s="25" t="s">
        <v>42</v>
      </c>
      <c r="C139" s="25" t="s">
        <v>49</v>
      </c>
      <c r="D139" s="25" t="s">
        <v>28</v>
      </c>
      <c r="E139" s="25">
        <v>59</v>
      </c>
      <c r="F139" s="25" t="s">
        <v>43</v>
      </c>
      <c r="G139" s="25" t="s">
        <v>21</v>
      </c>
      <c r="H139" s="26">
        <v>44230</v>
      </c>
      <c r="I139" s="25">
        <v>60835</v>
      </c>
      <c r="J139" s="25" t="s">
        <v>62</v>
      </c>
      <c r="K139" s="25" t="s">
        <v>340</v>
      </c>
      <c r="L139" s="27" t="s">
        <v>24</v>
      </c>
      <c r="M139" s="28" t="str">
        <f>_xlfn.XLOOKUP(F139,Department!$A$2:$A$6,Department!$B$2:$B$6)</f>
        <v>Marketing</v>
      </c>
      <c r="N139" s="30">
        <f>_xlfn.XLOOKUP(A139,Performance!$A$2:$A$501,Performance!$C$2:$C$501)</f>
        <v>1</v>
      </c>
      <c r="O139" s="28" cm="1">
        <f t="array" ref="O139">_xlfn.IFS(N139=5,I139*15%,N139=4,I139*10%,N139=3,I139*7%,N139&lt;3,I139*5%)</f>
        <v>3041.75</v>
      </c>
    </row>
    <row r="140" spans="1:15">
      <c r="A140" s="24" t="s">
        <v>341</v>
      </c>
      <c r="B140" s="25" t="s">
        <v>53</v>
      </c>
      <c r="C140" s="25" t="s">
        <v>141</v>
      </c>
      <c r="D140" s="25" t="s">
        <v>28</v>
      </c>
      <c r="E140" s="25">
        <v>31</v>
      </c>
      <c r="F140" s="25" t="s">
        <v>35</v>
      </c>
      <c r="G140" s="25" t="s">
        <v>30</v>
      </c>
      <c r="H140" s="26">
        <v>44152</v>
      </c>
      <c r="I140" s="25">
        <v>105179</v>
      </c>
      <c r="J140" s="25" t="s">
        <v>22</v>
      </c>
      <c r="K140" s="25" t="s">
        <v>342</v>
      </c>
      <c r="L140" s="27" t="s">
        <v>24</v>
      </c>
      <c r="M140" s="28" t="str">
        <f>_xlfn.XLOOKUP(F140,Department!$A$2:$A$6,Department!$B$2:$B$6)</f>
        <v>Sales</v>
      </c>
      <c r="N140" s="30">
        <f>_xlfn.XLOOKUP(A140,Performance!$A$2:$A$501,Performance!$C$2:$C$501)</f>
        <v>5</v>
      </c>
      <c r="O140" s="28" cm="1">
        <f t="array" ref="O140">_xlfn.IFS(N140=5,I140*15%,N140=4,I140*10%,N140=3,I140*7%,N140&lt;3,I140*5%)</f>
        <v>15776.849999999999</v>
      </c>
    </row>
    <row r="141" spans="1:15">
      <c r="A141" s="24" t="s">
        <v>343</v>
      </c>
      <c r="B141" s="25" t="s">
        <v>92</v>
      </c>
      <c r="C141" s="25" t="s">
        <v>141</v>
      </c>
      <c r="D141" s="25" t="s">
        <v>19</v>
      </c>
      <c r="E141" s="25">
        <v>48</v>
      </c>
      <c r="F141" s="25" t="s">
        <v>35</v>
      </c>
      <c r="G141" s="25" t="s">
        <v>44</v>
      </c>
      <c r="H141" s="26">
        <v>43322</v>
      </c>
      <c r="I141" s="25">
        <v>109704</v>
      </c>
      <c r="J141" s="25" t="s">
        <v>81</v>
      </c>
      <c r="K141" s="25" t="s">
        <v>344</v>
      </c>
      <c r="L141" s="27" t="s">
        <v>39</v>
      </c>
      <c r="M141" s="28" t="str">
        <f>_xlfn.XLOOKUP(F141,Department!$A$2:$A$6,Department!$B$2:$B$6)</f>
        <v>Sales</v>
      </c>
      <c r="N141" s="30">
        <f>_xlfn.XLOOKUP(A141,Performance!$A$2:$A$501,Performance!$C$2:$C$501)</f>
        <v>2</v>
      </c>
      <c r="O141" s="28" cm="1">
        <f t="array" ref="O141">_xlfn.IFS(N141=5,I141*15%,N141=4,I141*10%,N141=3,I141*7%,N141&lt;3,I141*5%)</f>
        <v>5485.2000000000007</v>
      </c>
    </row>
    <row r="142" spans="1:15">
      <c r="A142" s="24" t="s">
        <v>345</v>
      </c>
      <c r="B142" s="25" t="s">
        <v>58</v>
      </c>
      <c r="C142" s="25" t="s">
        <v>117</v>
      </c>
      <c r="D142" s="25" t="s">
        <v>19</v>
      </c>
      <c r="E142" s="25">
        <v>32</v>
      </c>
      <c r="F142" s="25" t="s">
        <v>43</v>
      </c>
      <c r="G142" s="25" t="s">
        <v>36</v>
      </c>
      <c r="H142" s="26">
        <v>44057</v>
      </c>
      <c r="I142" s="25">
        <v>68125</v>
      </c>
      <c r="J142" s="25" t="s">
        <v>37</v>
      </c>
      <c r="K142" s="25" t="s">
        <v>346</v>
      </c>
      <c r="L142" s="27" t="s">
        <v>24</v>
      </c>
      <c r="M142" s="28" t="str">
        <f>_xlfn.XLOOKUP(F142,Department!$A$2:$A$6,Department!$B$2:$B$6)</f>
        <v>Marketing</v>
      </c>
      <c r="N142" s="30">
        <f>_xlfn.XLOOKUP(A142,Performance!$A$2:$A$501,Performance!$C$2:$C$501)</f>
        <v>3</v>
      </c>
      <c r="O142" s="28" cm="1">
        <f t="array" ref="O142">_xlfn.IFS(N142=5,I142*15%,N142=4,I142*10%,N142=3,I142*7%,N142&lt;3,I142*5%)</f>
        <v>4768.75</v>
      </c>
    </row>
    <row r="143" spans="1:15">
      <c r="A143" s="24" t="s">
        <v>347</v>
      </c>
      <c r="B143" s="25" t="s">
        <v>42</v>
      </c>
      <c r="C143" s="25" t="s">
        <v>80</v>
      </c>
      <c r="D143" s="25" t="s">
        <v>19</v>
      </c>
      <c r="E143" s="25">
        <v>47</v>
      </c>
      <c r="F143" s="25" t="s">
        <v>35</v>
      </c>
      <c r="G143" s="25" t="s">
        <v>21</v>
      </c>
      <c r="H143" s="26">
        <v>43547</v>
      </c>
      <c r="I143" s="25">
        <v>96812</v>
      </c>
      <c r="J143" s="25" t="s">
        <v>81</v>
      </c>
      <c r="K143" s="25" t="s">
        <v>348</v>
      </c>
      <c r="L143" s="27" t="s">
        <v>24</v>
      </c>
      <c r="M143" s="28" t="str">
        <f>_xlfn.XLOOKUP(F143,Department!$A$2:$A$6,Department!$B$2:$B$6)</f>
        <v>Sales</v>
      </c>
      <c r="N143" s="30">
        <f>_xlfn.XLOOKUP(A143,Performance!$A$2:$A$501,Performance!$C$2:$C$501)</f>
        <v>1</v>
      </c>
      <c r="O143" s="28" cm="1">
        <f t="array" ref="O143">_xlfn.IFS(N143=5,I143*15%,N143=4,I143*10%,N143=3,I143*7%,N143&lt;3,I143*5%)</f>
        <v>4840.6000000000004</v>
      </c>
    </row>
    <row r="144" spans="1:15">
      <c r="A144" s="24" t="s">
        <v>349</v>
      </c>
      <c r="B144" s="25" t="s">
        <v>61</v>
      </c>
      <c r="C144" s="25" t="s">
        <v>141</v>
      </c>
      <c r="D144" s="25" t="s">
        <v>19</v>
      </c>
      <c r="E144" s="25">
        <v>47</v>
      </c>
      <c r="F144" s="25" t="s">
        <v>54</v>
      </c>
      <c r="G144" s="25" t="s">
        <v>30</v>
      </c>
      <c r="H144" s="26">
        <v>44316</v>
      </c>
      <c r="I144" s="25">
        <v>116650</v>
      </c>
      <c r="J144" s="25" t="s">
        <v>67</v>
      </c>
      <c r="K144" s="25" t="s">
        <v>350</v>
      </c>
      <c r="L144" s="27" t="s">
        <v>39</v>
      </c>
      <c r="M144" s="28" t="str">
        <f>_xlfn.XLOOKUP(F144,Department!$A$2:$A$6,Department!$B$2:$B$6)</f>
        <v>Finance</v>
      </c>
      <c r="N144" s="30">
        <f>_xlfn.XLOOKUP(A144,Performance!$A$2:$A$501,Performance!$C$2:$C$501)</f>
        <v>3</v>
      </c>
      <c r="O144" s="28" cm="1">
        <f t="array" ref="O144">_xlfn.IFS(N144=5,I144*15%,N144=4,I144*10%,N144=3,I144*7%,N144&lt;3,I144*5%)</f>
        <v>8165.5000000000009</v>
      </c>
    </row>
    <row r="145" spans="1:15">
      <c r="A145" s="24" t="s">
        <v>351</v>
      </c>
      <c r="B145" s="25" t="s">
        <v>74</v>
      </c>
      <c r="C145" s="25" t="s">
        <v>84</v>
      </c>
      <c r="D145" s="25" t="s">
        <v>28</v>
      </c>
      <c r="E145" s="25">
        <v>28</v>
      </c>
      <c r="F145" s="25" t="s">
        <v>43</v>
      </c>
      <c r="G145" s="25" t="s">
        <v>30</v>
      </c>
      <c r="H145" s="26">
        <v>43296</v>
      </c>
      <c r="I145" s="25">
        <v>86592</v>
      </c>
      <c r="J145" s="25" t="s">
        <v>81</v>
      </c>
      <c r="K145" s="25" t="s">
        <v>352</v>
      </c>
      <c r="L145" s="27" t="s">
        <v>39</v>
      </c>
      <c r="M145" s="28" t="str">
        <f>_xlfn.XLOOKUP(F145,Department!$A$2:$A$6,Department!$B$2:$B$6)</f>
        <v>Marketing</v>
      </c>
      <c r="N145" s="30">
        <f>_xlfn.XLOOKUP(A145,Performance!$A$2:$A$501,Performance!$C$2:$C$501)</f>
        <v>1</v>
      </c>
      <c r="O145" s="28" cm="1">
        <f t="array" ref="O145">_xlfn.IFS(N145=5,I145*15%,N145=4,I145*10%,N145=3,I145*7%,N145&lt;3,I145*5%)</f>
        <v>4329.6000000000004</v>
      </c>
    </row>
    <row r="146" spans="1:15">
      <c r="A146" s="24" t="s">
        <v>353</v>
      </c>
      <c r="B146" s="25" t="s">
        <v>48</v>
      </c>
      <c r="C146" s="25" t="s">
        <v>27</v>
      </c>
      <c r="D146" s="25" t="s">
        <v>28</v>
      </c>
      <c r="E146" s="25">
        <v>57</v>
      </c>
      <c r="F146" s="25" t="s">
        <v>54</v>
      </c>
      <c r="G146" s="25" t="s">
        <v>30</v>
      </c>
      <c r="H146" s="26">
        <v>45417</v>
      </c>
      <c r="I146" s="25">
        <v>78320</v>
      </c>
      <c r="J146" s="25" t="s">
        <v>37</v>
      </c>
      <c r="K146" s="25" t="s">
        <v>354</v>
      </c>
      <c r="L146" s="27" t="s">
        <v>24</v>
      </c>
      <c r="M146" s="28" t="str">
        <f>_xlfn.XLOOKUP(F146,Department!$A$2:$A$6,Department!$B$2:$B$6)</f>
        <v>Finance</v>
      </c>
      <c r="N146" s="30">
        <f>_xlfn.XLOOKUP(A146,Performance!$A$2:$A$501,Performance!$C$2:$C$501)</f>
        <v>1</v>
      </c>
      <c r="O146" s="28" cm="1">
        <f t="array" ref="O146">_xlfn.IFS(N146=5,I146*15%,N146=4,I146*10%,N146=3,I146*7%,N146&lt;3,I146*5%)</f>
        <v>3916</v>
      </c>
    </row>
    <row r="147" spans="1:15">
      <c r="A147" s="24" t="s">
        <v>355</v>
      </c>
      <c r="B147" s="25" t="s">
        <v>34</v>
      </c>
      <c r="C147" s="25" t="s">
        <v>49</v>
      </c>
      <c r="D147" s="25" t="s">
        <v>28</v>
      </c>
      <c r="E147" s="25">
        <v>40</v>
      </c>
      <c r="F147" s="25" t="s">
        <v>20</v>
      </c>
      <c r="G147" s="25" t="s">
        <v>21</v>
      </c>
      <c r="H147" s="26">
        <v>43738</v>
      </c>
      <c r="I147" s="25">
        <v>50627</v>
      </c>
      <c r="J147" s="25" t="s">
        <v>81</v>
      </c>
      <c r="K147" s="25" t="s">
        <v>356</v>
      </c>
      <c r="L147" s="27" t="s">
        <v>39</v>
      </c>
      <c r="M147" s="28" t="str">
        <f>_xlfn.XLOOKUP(F147,Department!$A$2:$A$6,Department!$B$2:$B$6)</f>
        <v>HR</v>
      </c>
      <c r="N147" s="30">
        <f>_xlfn.XLOOKUP(A147,Performance!$A$2:$A$501,Performance!$C$2:$C$501)</f>
        <v>3</v>
      </c>
      <c r="O147" s="28" cm="1">
        <f t="array" ref="O147">_xlfn.IFS(N147=5,I147*15%,N147=4,I147*10%,N147=3,I147*7%,N147&lt;3,I147*5%)</f>
        <v>3543.8900000000003</v>
      </c>
    </row>
    <row r="148" spans="1:15">
      <c r="A148" s="24" t="s">
        <v>357</v>
      </c>
      <c r="B148" s="25" t="s">
        <v>42</v>
      </c>
      <c r="C148" s="25" t="s">
        <v>93</v>
      </c>
      <c r="D148" s="25" t="s">
        <v>28</v>
      </c>
      <c r="E148" s="25">
        <v>47</v>
      </c>
      <c r="F148" s="25" t="s">
        <v>29</v>
      </c>
      <c r="G148" s="25" t="s">
        <v>30</v>
      </c>
      <c r="H148" s="26">
        <v>44683</v>
      </c>
      <c r="I148" s="25">
        <v>84212</v>
      </c>
      <c r="J148" s="25" t="s">
        <v>37</v>
      </c>
      <c r="K148" s="25" t="s">
        <v>358</v>
      </c>
      <c r="L148" s="27" t="s">
        <v>39</v>
      </c>
      <c r="M148" s="28" t="str">
        <f>_xlfn.XLOOKUP(F148,Department!$A$2:$A$6,Department!$B$2:$B$6)</f>
        <v>IT</v>
      </c>
      <c r="N148" s="30">
        <f>_xlfn.XLOOKUP(A148,Performance!$A$2:$A$501,Performance!$C$2:$C$501)</f>
        <v>5</v>
      </c>
      <c r="O148" s="28" cm="1">
        <f t="array" ref="O148">_xlfn.IFS(N148=5,I148*15%,N148=4,I148*10%,N148=3,I148*7%,N148&lt;3,I148*5%)</f>
        <v>12631.8</v>
      </c>
    </row>
    <row r="149" spans="1:15">
      <c r="A149" s="24" t="s">
        <v>359</v>
      </c>
      <c r="B149" s="25" t="s">
        <v>58</v>
      </c>
      <c r="C149" s="25" t="s">
        <v>66</v>
      </c>
      <c r="D149" s="25" t="s">
        <v>19</v>
      </c>
      <c r="E149" s="25">
        <v>53</v>
      </c>
      <c r="F149" s="25" t="s">
        <v>54</v>
      </c>
      <c r="G149" s="25" t="s">
        <v>36</v>
      </c>
      <c r="H149" s="26">
        <v>45259</v>
      </c>
      <c r="I149" s="25">
        <v>98718</v>
      </c>
      <c r="J149" s="25" t="s">
        <v>37</v>
      </c>
      <c r="K149" s="25" t="s">
        <v>360</v>
      </c>
      <c r="L149" s="27" t="s">
        <v>24</v>
      </c>
      <c r="M149" s="28" t="str">
        <f>_xlfn.XLOOKUP(F149,Department!$A$2:$A$6,Department!$B$2:$B$6)</f>
        <v>Finance</v>
      </c>
      <c r="N149" s="30">
        <f>_xlfn.XLOOKUP(A149,Performance!$A$2:$A$501,Performance!$C$2:$C$501)</f>
        <v>5</v>
      </c>
      <c r="O149" s="28" cm="1">
        <f t="array" ref="O149">_xlfn.IFS(N149=5,I149*15%,N149=4,I149*10%,N149=3,I149*7%,N149&lt;3,I149*5%)</f>
        <v>14807.699999999999</v>
      </c>
    </row>
    <row r="150" spans="1:15">
      <c r="A150" s="24" t="s">
        <v>361</v>
      </c>
      <c r="B150" s="25" t="s">
        <v>126</v>
      </c>
      <c r="C150" s="25" t="s">
        <v>27</v>
      </c>
      <c r="D150" s="25" t="s">
        <v>28</v>
      </c>
      <c r="E150" s="25">
        <v>22</v>
      </c>
      <c r="F150" s="25" t="s">
        <v>20</v>
      </c>
      <c r="G150" s="25" t="s">
        <v>30</v>
      </c>
      <c r="H150" s="26">
        <v>44546</v>
      </c>
      <c r="I150" s="25">
        <v>35307</v>
      </c>
      <c r="J150" s="25" t="s">
        <v>81</v>
      </c>
      <c r="K150" s="25" t="s">
        <v>362</v>
      </c>
      <c r="L150" s="27" t="s">
        <v>39</v>
      </c>
      <c r="M150" s="28" t="str">
        <f>_xlfn.XLOOKUP(F150,Department!$A$2:$A$6,Department!$B$2:$B$6)</f>
        <v>HR</v>
      </c>
      <c r="N150" s="30">
        <f>_xlfn.XLOOKUP(A150,Performance!$A$2:$A$501,Performance!$C$2:$C$501)</f>
        <v>4</v>
      </c>
      <c r="O150" s="28" cm="1">
        <f t="array" ref="O150">_xlfn.IFS(N150=5,I150*15%,N150=4,I150*10%,N150=3,I150*7%,N150&lt;3,I150*5%)</f>
        <v>3530.7000000000003</v>
      </c>
    </row>
    <row r="151" spans="1:15">
      <c r="A151" s="24" t="s">
        <v>363</v>
      </c>
      <c r="B151" s="25" t="s">
        <v>34</v>
      </c>
      <c r="C151" s="25" t="s">
        <v>117</v>
      </c>
      <c r="D151" s="25" t="s">
        <v>19</v>
      </c>
      <c r="E151" s="25">
        <v>54</v>
      </c>
      <c r="F151" s="25" t="s">
        <v>29</v>
      </c>
      <c r="G151" s="25" t="s">
        <v>102</v>
      </c>
      <c r="H151" s="26">
        <v>43325</v>
      </c>
      <c r="I151" s="25">
        <v>92735</v>
      </c>
      <c r="J151" s="25" t="s">
        <v>62</v>
      </c>
      <c r="K151" s="25" t="s">
        <v>364</v>
      </c>
      <c r="L151" s="27" t="s">
        <v>39</v>
      </c>
      <c r="M151" s="28" t="str">
        <f>_xlfn.XLOOKUP(F151,Department!$A$2:$A$6,Department!$B$2:$B$6)</f>
        <v>IT</v>
      </c>
      <c r="N151" s="30">
        <f>_xlfn.XLOOKUP(A151,Performance!$A$2:$A$501,Performance!$C$2:$C$501)</f>
        <v>1</v>
      </c>
      <c r="O151" s="28" cm="1">
        <f t="array" ref="O151">_xlfn.IFS(N151=5,I151*15%,N151=4,I151*10%,N151=3,I151*7%,N151&lt;3,I151*5%)</f>
        <v>4636.75</v>
      </c>
    </row>
    <row r="152" spans="1:15">
      <c r="A152" s="24" t="s">
        <v>365</v>
      </c>
      <c r="B152" s="25" t="s">
        <v>92</v>
      </c>
      <c r="C152" s="25" t="s">
        <v>18</v>
      </c>
      <c r="D152" s="25" t="s">
        <v>28</v>
      </c>
      <c r="E152" s="25">
        <v>45</v>
      </c>
      <c r="F152" s="25" t="s">
        <v>54</v>
      </c>
      <c r="G152" s="25" t="s">
        <v>21</v>
      </c>
      <c r="H152" s="26">
        <v>43851</v>
      </c>
      <c r="I152" s="25">
        <v>55679</v>
      </c>
      <c r="J152" s="25" t="s">
        <v>62</v>
      </c>
      <c r="K152" s="25" t="s">
        <v>366</v>
      </c>
      <c r="L152" s="27" t="s">
        <v>39</v>
      </c>
      <c r="M152" s="28" t="str">
        <f>_xlfn.XLOOKUP(F152,Department!$A$2:$A$6,Department!$B$2:$B$6)</f>
        <v>Finance</v>
      </c>
      <c r="N152" s="30">
        <f>_xlfn.XLOOKUP(A152,Performance!$A$2:$A$501,Performance!$C$2:$C$501)</f>
        <v>2</v>
      </c>
      <c r="O152" s="28" cm="1">
        <f t="array" ref="O152">_xlfn.IFS(N152=5,I152*15%,N152=4,I152*10%,N152=3,I152*7%,N152&lt;3,I152*5%)</f>
        <v>2783.9500000000003</v>
      </c>
    </row>
    <row r="153" spans="1:15">
      <c r="A153" s="24" t="s">
        <v>367</v>
      </c>
      <c r="B153" s="25" t="s">
        <v>42</v>
      </c>
      <c r="C153" s="25" t="s">
        <v>89</v>
      </c>
      <c r="D153" s="25" t="s">
        <v>19</v>
      </c>
      <c r="E153" s="25">
        <v>25</v>
      </c>
      <c r="F153" s="25" t="s">
        <v>29</v>
      </c>
      <c r="G153" s="25" t="s">
        <v>36</v>
      </c>
      <c r="H153" s="26">
        <v>43840</v>
      </c>
      <c r="I153" s="25">
        <v>94614</v>
      </c>
      <c r="J153" s="25" t="s">
        <v>37</v>
      </c>
      <c r="K153" s="25" t="s">
        <v>368</v>
      </c>
      <c r="L153" s="27" t="s">
        <v>24</v>
      </c>
      <c r="M153" s="28" t="str">
        <f>_xlfn.XLOOKUP(F153,Department!$A$2:$A$6,Department!$B$2:$B$6)</f>
        <v>IT</v>
      </c>
      <c r="N153" s="30">
        <f>_xlfn.XLOOKUP(A153,Performance!$A$2:$A$501,Performance!$C$2:$C$501)</f>
        <v>5</v>
      </c>
      <c r="O153" s="28" cm="1">
        <f t="array" ref="O153">_xlfn.IFS(N153=5,I153*15%,N153=4,I153*10%,N153=3,I153*7%,N153&lt;3,I153*5%)</f>
        <v>14192.1</v>
      </c>
    </row>
    <row r="154" spans="1:15">
      <c r="A154" s="24" t="s">
        <v>369</v>
      </c>
      <c r="B154" s="25" t="s">
        <v>34</v>
      </c>
      <c r="C154" s="25" t="s">
        <v>89</v>
      </c>
      <c r="D154" s="25" t="s">
        <v>28</v>
      </c>
      <c r="E154" s="25">
        <v>53</v>
      </c>
      <c r="F154" s="25" t="s">
        <v>35</v>
      </c>
      <c r="G154" s="25" t="s">
        <v>44</v>
      </c>
      <c r="H154" s="26">
        <v>44395</v>
      </c>
      <c r="I154" s="25">
        <v>102516</v>
      </c>
      <c r="J154" s="25" t="s">
        <v>37</v>
      </c>
      <c r="K154" s="25" t="s">
        <v>370</v>
      </c>
      <c r="L154" s="27" t="s">
        <v>24</v>
      </c>
      <c r="M154" s="28" t="str">
        <f>_xlfn.XLOOKUP(F154,Department!$A$2:$A$6,Department!$B$2:$B$6)</f>
        <v>Sales</v>
      </c>
      <c r="N154" s="30">
        <f>_xlfn.XLOOKUP(A154,Performance!$A$2:$A$501,Performance!$C$2:$C$501)</f>
        <v>5</v>
      </c>
      <c r="O154" s="28" cm="1">
        <f t="array" ref="O154">_xlfn.IFS(N154=5,I154*15%,N154=4,I154*10%,N154=3,I154*7%,N154&lt;3,I154*5%)</f>
        <v>15377.4</v>
      </c>
    </row>
    <row r="155" spans="1:15">
      <c r="A155" s="24" t="s">
        <v>371</v>
      </c>
      <c r="B155" s="25" t="s">
        <v>53</v>
      </c>
      <c r="C155" s="25" t="s">
        <v>89</v>
      </c>
      <c r="D155" s="25" t="s">
        <v>28</v>
      </c>
      <c r="E155" s="25">
        <v>48</v>
      </c>
      <c r="F155" s="25" t="s">
        <v>35</v>
      </c>
      <c r="G155" s="25" t="s">
        <v>21</v>
      </c>
      <c r="H155" s="26">
        <v>43319</v>
      </c>
      <c r="I155" s="25">
        <v>47666</v>
      </c>
      <c r="J155" s="25" t="s">
        <v>81</v>
      </c>
      <c r="K155" s="25" t="s">
        <v>372</v>
      </c>
      <c r="L155" s="27" t="s">
        <v>39</v>
      </c>
      <c r="M155" s="28" t="str">
        <f>_xlfn.XLOOKUP(F155,Department!$A$2:$A$6,Department!$B$2:$B$6)</f>
        <v>Sales</v>
      </c>
      <c r="N155" s="30">
        <f>_xlfn.XLOOKUP(A155,Performance!$A$2:$A$501,Performance!$C$2:$C$501)</f>
        <v>2</v>
      </c>
      <c r="O155" s="28" cm="1">
        <f t="array" ref="O155">_xlfn.IFS(N155=5,I155*15%,N155=4,I155*10%,N155=3,I155*7%,N155&lt;3,I155*5%)</f>
        <v>2383.3000000000002</v>
      </c>
    </row>
    <row r="156" spans="1:15">
      <c r="A156" s="24" t="s">
        <v>373</v>
      </c>
      <c r="B156" s="25" t="s">
        <v>58</v>
      </c>
      <c r="C156" s="25" t="s">
        <v>27</v>
      </c>
      <c r="D156" s="25" t="s">
        <v>19</v>
      </c>
      <c r="E156" s="25">
        <v>27</v>
      </c>
      <c r="F156" s="25" t="s">
        <v>20</v>
      </c>
      <c r="G156" s="25" t="s">
        <v>44</v>
      </c>
      <c r="H156" s="26">
        <v>44769</v>
      </c>
      <c r="I156" s="25">
        <v>72710</v>
      </c>
      <c r="J156" s="25" t="s">
        <v>81</v>
      </c>
      <c r="K156" s="25" t="s">
        <v>374</v>
      </c>
      <c r="L156" s="27" t="s">
        <v>39</v>
      </c>
      <c r="M156" s="28" t="str">
        <f>_xlfn.XLOOKUP(F156,Department!$A$2:$A$6,Department!$B$2:$B$6)</f>
        <v>HR</v>
      </c>
      <c r="N156" s="30">
        <f>_xlfn.XLOOKUP(A156,Performance!$A$2:$A$501,Performance!$C$2:$C$501)</f>
        <v>2</v>
      </c>
      <c r="O156" s="28" cm="1">
        <f t="array" ref="O156">_xlfn.IFS(N156=5,I156*15%,N156=4,I156*10%,N156=3,I156*7%,N156&lt;3,I156*5%)</f>
        <v>3635.5</v>
      </c>
    </row>
    <row r="157" spans="1:15">
      <c r="A157" s="24" t="s">
        <v>375</v>
      </c>
      <c r="B157" s="25" t="s">
        <v>74</v>
      </c>
      <c r="C157" s="25" t="s">
        <v>27</v>
      </c>
      <c r="D157" s="25" t="s">
        <v>28</v>
      </c>
      <c r="E157" s="25">
        <v>22</v>
      </c>
      <c r="F157" s="25" t="s">
        <v>29</v>
      </c>
      <c r="G157" s="25" t="s">
        <v>102</v>
      </c>
      <c r="H157" s="26">
        <v>44823</v>
      </c>
      <c r="I157" s="25">
        <v>60944</v>
      </c>
      <c r="J157" s="25" t="s">
        <v>67</v>
      </c>
      <c r="K157" s="25" t="s">
        <v>376</v>
      </c>
      <c r="L157" s="27" t="s">
        <v>39</v>
      </c>
      <c r="M157" s="28" t="str">
        <f>_xlfn.XLOOKUP(F157,Department!$A$2:$A$6,Department!$B$2:$B$6)</f>
        <v>IT</v>
      </c>
      <c r="N157" s="30">
        <f>_xlfn.XLOOKUP(A157,Performance!$A$2:$A$501,Performance!$C$2:$C$501)</f>
        <v>3</v>
      </c>
      <c r="O157" s="28" cm="1">
        <f t="array" ref="O157">_xlfn.IFS(N157=5,I157*15%,N157=4,I157*10%,N157=3,I157*7%,N157&lt;3,I157*5%)</f>
        <v>4266.0800000000008</v>
      </c>
    </row>
    <row r="158" spans="1:15">
      <c r="A158" s="24" t="s">
        <v>377</v>
      </c>
      <c r="B158" s="25" t="s">
        <v>58</v>
      </c>
      <c r="C158" s="25" t="s">
        <v>80</v>
      </c>
      <c r="D158" s="25" t="s">
        <v>19</v>
      </c>
      <c r="E158" s="25">
        <v>39</v>
      </c>
      <c r="F158" s="25" t="s">
        <v>54</v>
      </c>
      <c r="G158" s="25" t="s">
        <v>36</v>
      </c>
      <c r="H158" s="26">
        <v>43684</v>
      </c>
      <c r="I158" s="25">
        <v>87181</v>
      </c>
      <c r="J158" s="25" t="s">
        <v>62</v>
      </c>
      <c r="K158" s="25" t="s">
        <v>378</v>
      </c>
      <c r="L158" s="27" t="s">
        <v>24</v>
      </c>
      <c r="M158" s="28" t="str">
        <f>_xlfn.XLOOKUP(F158,Department!$A$2:$A$6,Department!$B$2:$B$6)</f>
        <v>Finance</v>
      </c>
      <c r="N158" s="30">
        <f>_xlfn.XLOOKUP(A158,Performance!$A$2:$A$501,Performance!$C$2:$C$501)</f>
        <v>5</v>
      </c>
      <c r="O158" s="28" cm="1">
        <f t="array" ref="O158">_xlfn.IFS(N158=5,I158*15%,N158=4,I158*10%,N158=3,I158*7%,N158&lt;3,I158*5%)</f>
        <v>13077.15</v>
      </c>
    </row>
    <row r="159" spans="1:15">
      <c r="A159" s="24" t="s">
        <v>379</v>
      </c>
      <c r="B159" s="25" t="s">
        <v>74</v>
      </c>
      <c r="C159" s="25" t="s">
        <v>66</v>
      </c>
      <c r="D159" s="25" t="s">
        <v>19</v>
      </c>
      <c r="E159" s="25">
        <v>42</v>
      </c>
      <c r="F159" s="25" t="s">
        <v>35</v>
      </c>
      <c r="G159" s="25" t="s">
        <v>36</v>
      </c>
      <c r="H159" s="26">
        <v>43484</v>
      </c>
      <c r="I159" s="25">
        <v>65659</v>
      </c>
      <c r="J159" s="25" t="s">
        <v>67</v>
      </c>
      <c r="K159" s="25" t="s">
        <v>380</v>
      </c>
      <c r="L159" s="27" t="s">
        <v>39</v>
      </c>
      <c r="M159" s="28" t="str">
        <f>_xlfn.XLOOKUP(F159,Department!$A$2:$A$6,Department!$B$2:$B$6)</f>
        <v>Sales</v>
      </c>
      <c r="N159" s="30">
        <f>_xlfn.XLOOKUP(A159,Performance!$A$2:$A$501,Performance!$C$2:$C$501)</f>
        <v>3</v>
      </c>
      <c r="O159" s="28" cm="1">
        <f t="array" ref="O159">_xlfn.IFS(N159=5,I159*15%,N159=4,I159*10%,N159=3,I159*7%,N159&lt;3,I159*5%)</f>
        <v>4596.13</v>
      </c>
    </row>
    <row r="160" spans="1:15">
      <c r="A160" s="24" t="s">
        <v>381</v>
      </c>
      <c r="B160" s="25" t="s">
        <v>53</v>
      </c>
      <c r="C160" s="25" t="s">
        <v>80</v>
      </c>
      <c r="D160" s="25" t="s">
        <v>28</v>
      </c>
      <c r="E160" s="25">
        <v>46</v>
      </c>
      <c r="F160" s="25" t="s">
        <v>54</v>
      </c>
      <c r="G160" s="25" t="s">
        <v>36</v>
      </c>
      <c r="H160" s="26">
        <v>44011</v>
      </c>
      <c r="I160" s="25">
        <v>100538</v>
      </c>
      <c r="J160" s="25" t="s">
        <v>67</v>
      </c>
      <c r="K160" s="25" t="s">
        <v>382</v>
      </c>
      <c r="L160" s="27" t="s">
        <v>24</v>
      </c>
      <c r="M160" s="28" t="str">
        <f>_xlfn.XLOOKUP(F160,Department!$A$2:$A$6,Department!$B$2:$B$6)</f>
        <v>Finance</v>
      </c>
      <c r="N160" s="30">
        <f>_xlfn.XLOOKUP(A160,Performance!$A$2:$A$501,Performance!$C$2:$C$501)</f>
        <v>5</v>
      </c>
      <c r="O160" s="28" cm="1">
        <f t="array" ref="O160">_xlfn.IFS(N160=5,I160*15%,N160=4,I160*10%,N160=3,I160*7%,N160&lt;3,I160*5%)</f>
        <v>15080.699999999999</v>
      </c>
    </row>
    <row r="161" spans="1:15">
      <c r="A161" s="24" t="s">
        <v>383</v>
      </c>
      <c r="B161" s="25" t="s">
        <v>74</v>
      </c>
      <c r="C161" s="25" t="s">
        <v>141</v>
      </c>
      <c r="D161" s="25" t="s">
        <v>28</v>
      </c>
      <c r="E161" s="25">
        <v>49</v>
      </c>
      <c r="F161" s="25" t="s">
        <v>54</v>
      </c>
      <c r="G161" s="25" t="s">
        <v>36</v>
      </c>
      <c r="H161" s="26">
        <v>43292</v>
      </c>
      <c r="I161" s="25">
        <v>109819</v>
      </c>
      <c r="J161" s="25" t="s">
        <v>22</v>
      </c>
      <c r="K161" s="25" t="s">
        <v>384</v>
      </c>
      <c r="L161" s="27" t="s">
        <v>24</v>
      </c>
      <c r="M161" s="28" t="str">
        <f>_xlfn.XLOOKUP(F161,Department!$A$2:$A$6,Department!$B$2:$B$6)</f>
        <v>Finance</v>
      </c>
      <c r="N161" s="30">
        <f>_xlfn.XLOOKUP(A161,Performance!$A$2:$A$501,Performance!$C$2:$C$501)</f>
        <v>4</v>
      </c>
      <c r="O161" s="28" cm="1">
        <f t="array" ref="O161">_xlfn.IFS(N161=5,I161*15%,N161=4,I161*10%,N161=3,I161*7%,N161&lt;3,I161*5%)</f>
        <v>10981.900000000001</v>
      </c>
    </row>
    <row r="162" spans="1:15">
      <c r="A162" s="24" t="s">
        <v>385</v>
      </c>
      <c r="B162" s="25" t="s">
        <v>42</v>
      </c>
      <c r="C162" s="25" t="s">
        <v>18</v>
      </c>
      <c r="D162" s="25" t="s">
        <v>19</v>
      </c>
      <c r="E162" s="25">
        <v>24</v>
      </c>
      <c r="F162" s="25" t="s">
        <v>35</v>
      </c>
      <c r="G162" s="25" t="s">
        <v>44</v>
      </c>
      <c r="H162" s="26">
        <v>43473</v>
      </c>
      <c r="I162" s="25">
        <v>113747</v>
      </c>
      <c r="J162" s="25" t="s">
        <v>62</v>
      </c>
      <c r="K162" s="25" t="s">
        <v>386</v>
      </c>
      <c r="L162" s="27" t="s">
        <v>24</v>
      </c>
      <c r="M162" s="28" t="str">
        <f>_xlfn.XLOOKUP(F162,Department!$A$2:$A$6,Department!$B$2:$B$6)</f>
        <v>Sales</v>
      </c>
      <c r="N162" s="30">
        <f>_xlfn.XLOOKUP(A162,Performance!$A$2:$A$501,Performance!$C$2:$C$501)</f>
        <v>3</v>
      </c>
      <c r="O162" s="28" cm="1">
        <f t="array" ref="O162">_xlfn.IFS(N162=5,I162*15%,N162=4,I162*10%,N162=3,I162*7%,N162&lt;3,I162*5%)</f>
        <v>7962.2900000000009</v>
      </c>
    </row>
    <row r="163" spans="1:15">
      <c r="A163" s="24" t="s">
        <v>387</v>
      </c>
      <c r="B163" s="25" t="s">
        <v>92</v>
      </c>
      <c r="C163" s="25" t="s">
        <v>49</v>
      </c>
      <c r="D163" s="25" t="s">
        <v>28</v>
      </c>
      <c r="E163" s="25">
        <v>51</v>
      </c>
      <c r="F163" s="25" t="s">
        <v>54</v>
      </c>
      <c r="G163" s="25" t="s">
        <v>30</v>
      </c>
      <c r="H163" s="26">
        <v>43930</v>
      </c>
      <c r="I163" s="25">
        <v>103468</v>
      </c>
      <c r="J163" s="25" t="s">
        <v>67</v>
      </c>
      <c r="K163" s="25" t="s">
        <v>388</v>
      </c>
      <c r="L163" s="27" t="s">
        <v>24</v>
      </c>
      <c r="M163" s="28" t="str">
        <f>_xlfn.XLOOKUP(F163,Department!$A$2:$A$6,Department!$B$2:$B$6)</f>
        <v>Finance</v>
      </c>
      <c r="N163" s="30">
        <f>_xlfn.XLOOKUP(A163,Performance!$A$2:$A$501,Performance!$C$2:$C$501)</f>
        <v>4</v>
      </c>
      <c r="O163" s="28" cm="1">
        <f t="array" ref="O163">_xlfn.IFS(N163=5,I163*15%,N163=4,I163*10%,N163=3,I163*7%,N163&lt;3,I163*5%)</f>
        <v>10346.800000000001</v>
      </c>
    </row>
    <row r="164" spans="1:15">
      <c r="A164" s="24" t="s">
        <v>389</v>
      </c>
      <c r="B164" s="25" t="s">
        <v>34</v>
      </c>
      <c r="C164" s="25" t="s">
        <v>89</v>
      </c>
      <c r="D164" s="25" t="s">
        <v>28</v>
      </c>
      <c r="E164" s="25">
        <v>22</v>
      </c>
      <c r="F164" s="25" t="s">
        <v>35</v>
      </c>
      <c r="G164" s="25" t="s">
        <v>36</v>
      </c>
      <c r="H164" s="26">
        <v>43275</v>
      </c>
      <c r="I164" s="25">
        <v>55327</v>
      </c>
      <c r="J164" s="25" t="s">
        <v>67</v>
      </c>
      <c r="K164" s="25" t="s">
        <v>390</v>
      </c>
      <c r="L164" s="27" t="s">
        <v>39</v>
      </c>
      <c r="M164" s="28" t="str">
        <f>_xlfn.XLOOKUP(F164,Department!$A$2:$A$6,Department!$B$2:$B$6)</f>
        <v>Sales</v>
      </c>
      <c r="N164" s="30">
        <f>_xlfn.XLOOKUP(A164,Performance!$A$2:$A$501,Performance!$C$2:$C$501)</f>
        <v>4</v>
      </c>
      <c r="O164" s="28" cm="1">
        <f t="array" ref="O164">_xlfn.IFS(N164=5,I164*15%,N164=4,I164*10%,N164=3,I164*7%,N164&lt;3,I164*5%)</f>
        <v>5532.7000000000007</v>
      </c>
    </row>
    <row r="165" spans="1:15">
      <c r="A165" s="24" t="s">
        <v>391</v>
      </c>
      <c r="B165" s="25" t="s">
        <v>53</v>
      </c>
      <c r="C165" s="25" t="s">
        <v>49</v>
      </c>
      <c r="D165" s="25" t="s">
        <v>28</v>
      </c>
      <c r="E165" s="25">
        <v>43</v>
      </c>
      <c r="F165" s="25" t="s">
        <v>35</v>
      </c>
      <c r="G165" s="25" t="s">
        <v>30</v>
      </c>
      <c r="H165" s="26">
        <v>44697</v>
      </c>
      <c r="I165" s="25">
        <v>89628</v>
      </c>
      <c r="J165" s="25" t="s">
        <v>62</v>
      </c>
      <c r="K165" s="25" t="s">
        <v>392</v>
      </c>
      <c r="L165" s="27" t="s">
        <v>24</v>
      </c>
      <c r="M165" s="28" t="str">
        <f>_xlfn.XLOOKUP(F165,Department!$A$2:$A$6,Department!$B$2:$B$6)</f>
        <v>Sales</v>
      </c>
      <c r="N165" s="30">
        <f>_xlfn.XLOOKUP(A165,Performance!$A$2:$A$501,Performance!$C$2:$C$501)</f>
        <v>3</v>
      </c>
      <c r="O165" s="28" cm="1">
        <f t="array" ref="O165">_xlfn.IFS(N165=5,I165*15%,N165=4,I165*10%,N165=3,I165*7%,N165&lt;3,I165*5%)</f>
        <v>6273.9600000000009</v>
      </c>
    </row>
    <row r="166" spans="1:15">
      <c r="A166" s="24" t="s">
        <v>393</v>
      </c>
      <c r="B166" s="25" t="s">
        <v>48</v>
      </c>
      <c r="C166" s="25" t="s">
        <v>80</v>
      </c>
      <c r="D166" s="25" t="s">
        <v>19</v>
      </c>
      <c r="E166" s="25">
        <v>25</v>
      </c>
      <c r="F166" s="25" t="s">
        <v>54</v>
      </c>
      <c r="G166" s="25" t="s">
        <v>102</v>
      </c>
      <c r="H166" s="26">
        <v>45294</v>
      </c>
      <c r="I166" s="25">
        <v>98304</v>
      </c>
      <c r="J166" s="25" t="s">
        <v>81</v>
      </c>
      <c r="K166" s="25" t="s">
        <v>394</v>
      </c>
      <c r="L166" s="27" t="s">
        <v>39</v>
      </c>
      <c r="M166" s="28" t="str">
        <f>_xlfn.XLOOKUP(F166,Department!$A$2:$A$6,Department!$B$2:$B$6)</f>
        <v>Finance</v>
      </c>
      <c r="N166" s="30">
        <f>_xlfn.XLOOKUP(A166,Performance!$A$2:$A$501,Performance!$C$2:$C$501)</f>
        <v>5</v>
      </c>
      <c r="O166" s="28" cm="1">
        <f t="array" ref="O166">_xlfn.IFS(N166=5,I166*15%,N166=4,I166*10%,N166=3,I166*7%,N166&lt;3,I166*5%)</f>
        <v>14745.599999999999</v>
      </c>
    </row>
    <row r="167" spans="1:15">
      <c r="A167" s="24" t="s">
        <v>395</v>
      </c>
      <c r="B167" s="25" t="s">
        <v>58</v>
      </c>
      <c r="C167" s="25" t="s">
        <v>89</v>
      </c>
      <c r="D167" s="25" t="s">
        <v>19</v>
      </c>
      <c r="E167" s="25">
        <v>50</v>
      </c>
      <c r="F167" s="25" t="s">
        <v>20</v>
      </c>
      <c r="G167" s="25" t="s">
        <v>30</v>
      </c>
      <c r="H167" s="26">
        <v>43951</v>
      </c>
      <c r="I167" s="25">
        <v>116611</v>
      </c>
      <c r="J167" s="25" t="s">
        <v>67</v>
      </c>
      <c r="K167" s="25" t="s">
        <v>396</v>
      </c>
      <c r="L167" s="27" t="s">
        <v>39</v>
      </c>
      <c r="M167" s="28" t="str">
        <f>_xlfn.XLOOKUP(F167,Department!$A$2:$A$6,Department!$B$2:$B$6)</f>
        <v>HR</v>
      </c>
      <c r="N167" s="30">
        <f>_xlfn.XLOOKUP(A167,Performance!$A$2:$A$501,Performance!$C$2:$C$501)</f>
        <v>2</v>
      </c>
      <c r="O167" s="28" cm="1">
        <f t="array" ref="O167">_xlfn.IFS(N167=5,I167*15%,N167=4,I167*10%,N167=3,I167*7%,N167&lt;3,I167*5%)</f>
        <v>5830.55</v>
      </c>
    </row>
    <row r="168" spans="1:15">
      <c r="A168" s="24" t="s">
        <v>397</v>
      </c>
      <c r="B168" s="25" t="s">
        <v>42</v>
      </c>
      <c r="C168" s="25" t="s">
        <v>80</v>
      </c>
      <c r="D168" s="25" t="s">
        <v>28</v>
      </c>
      <c r="E168" s="25">
        <v>41</v>
      </c>
      <c r="F168" s="25" t="s">
        <v>43</v>
      </c>
      <c r="G168" s="25" t="s">
        <v>21</v>
      </c>
      <c r="H168" s="26">
        <v>43425</v>
      </c>
      <c r="I168" s="25">
        <v>45748</v>
      </c>
      <c r="J168" s="25" t="s">
        <v>22</v>
      </c>
      <c r="K168" s="25" t="s">
        <v>398</v>
      </c>
      <c r="L168" s="27" t="s">
        <v>39</v>
      </c>
      <c r="M168" s="28" t="str">
        <f>_xlfn.XLOOKUP(F168,Department!$A$2:$A$6,Department!$B$2:$B$6)</f>
        <v>Marketing</v>
      </c>
      <c r="N168" s="30">
        <f>_xlfn.XLOOKUP(A168,Performance!$A$2:$A$501,Performance!$C$2:$C$501)</f>
        <v>1</v>
      </c>
      <c r="O168" s="28" cm="1">
        <f t="array" ref="O168">_xlfn.IFS(N168=5,I168*15%,N168=4,I168*10%,N168=3,I168*7%,N168&lt;3,I168*5%)</f>
        <v>2287.4</v>
      </c>
    </row>
    <row r="169" spans="1:15">
      <c r="A169" s="24" t="s">
        <v>399</v>
      </c>
      <c r="B169" s="25" t="s">
        <v>58</v>
      </c>
      <c r="C169" s="25" t="s">
        <v>84</v>
      </c>
      <c r="D169" s="25" t="s">
        <v>28</v>
      </c>
      <c r="E169" s="25">
        <v>48</v>
      </c>
      <c r="F169" s="25" t="s">
        <v>43</v>
      </c>
      <c r="G169" s="25" t="s">
        <v>36</v>
      </c>
      <c r="H169" s="26">
        <v>44997</v>
      </c>
      <c r="I169" s="25">
        <v>45767</v>
      </c>
      <c r="J169" s="25" t="s">
        <v>81</v>
      </c>
      <c r="K169" s="25" t="s">
        <v>400</v>
      </c>
      <c r="L169" s="27" t="s">
        <v>39</v>
      </c>
      <c r="M169" s="28" t="str">
        <f>_xlfn.XLOOKUP(F169,Department!$A$2:$A$6,Department!$B$2:$B$6)</f>
        <v>Marketing</v>
      </c>
      <c r="N169" s="30">
        <f>_xlfn.XLOOKUP(A169,Performance!$A$2:$A$501,Performance!$C$2:$C$501)</f>
        <v>2</v>
      </c>
      <c r="O169" s="28" cm="1">
        <f t="array" ref="O169">_xlfn.IFS(N169=5,I169*15%,N169=4,I169*10%,N169=3,I169*7%,N169&lt;3,I169*5%)</f>
        <v>2288.35</v>
      </c>
    </row>
    <row r="170" spans="1:15">
      <c r="A170" s="24" t="s">
        <v>401</v>
      </c>
      <c r="B170" s="25" t="s">
        <v>61</v>
      </c>
      <c r="C170" s="25" t="s">
        <v>49</v>
      </c>
      <c r="D170" s="25" t="s">
        <v>28</v>
      </c>
      <c r="E170" s="25">
        <v>49</v>
      </c>
      <c r="F170" s="25" t="s">
        <v>54</v>
      </c>
      <c r="G170" s="25" t="s">
        <v>102</v>
      </c>
      <c r="H170" s="26">
        <v>43741</v>
      </c>
      <c r="I170" s="25">
        <v>63927</v>
      </c>
      <c r="J170" s="25" t="s">
        <v>37</v>
      </c>
      <c r="K170" s="25" t="s">
        <v>402</v>
      </c>
      <c r="L170" s="27" t="s">
        <v>39</v>
      </c>
      <c r="M170" s="28" t="str">
        <f>_xlfn.XLOOKUP(F170,Department!$A$2:$A$6,Department!$B$2:$B$6)</f>
        <v>Finance</v>
      </c>
      <c r="N170" s="30">
        <f>_xlfn.XLOOKUP(A170,Performance!$A$2:$A$501,Performance!$C$2:$C$501)</f>
        <v>2</v>
      </c>
      <c r="O170" s="28" cm="1">
        <f t="array" ref="O170">_xlfn.IFS(N170=5,I170*15%,N170=4,I170*10%,N170=3,I170*7%,N170&lt;3,I170*5%)</f>
        <v>3196.3500000000004</v>
      </c>
    </row>
    <row r="171" spans="1:15">
      <c r="A171" s="24" t="s">
        <v>403</v>
      </c>
      <c r="B171" s="25" t="s">
        <v>74</v>
      </c>
      <c r="C171" s="25" t="s">
        <v>27</v>
      </c>
      <c r="D171" s="25" t="s">
        <v>28</v>
      </c>
      <c r="E171" s="25">
        <v>46</v>
      </c>
      <c r="F171" s="25" t="s">
        <v>20</v>
      </c>
      <c r="G171" s="25" t="s">
        <v>102</v>
      </c>
      <c r="H171" s="26">
        <v>44258</v>
      </c>
      <c r="I171" s="25">
        <v>116657</v>
      </c>
      <c r="J171" s="25" t="s">
        <v>62</v>
      </c>
      <c r="K171" s="25" t="s">
        <v>404</v>
      </c>
      <c r="L171" s="27" t="s">
        <v>39</v>
      </c>
      <c r="M171" s="28" t="str">
        <f>_xlfn.XLOOKUP(F171,Department!$A$2:$A$6,Department!$B$2:$B$6)</f>
        <v>HR</v>
      </c>
      <c r="N171" s="30">
        <f>_xlfn.XLOOKUP(A171,Performance!$A$2:$A$501,Performance!$C$2:$C$501)</f>
        <v>1</v>
      </c>
      <c r="O171" s="28" cm="1">
        <f t="array" ref="O171">_xlfn.IFS(N171=5,I171*15%,N171=4,I171*10%,N171=3,I171*7%,N171&lt;3,I171*5%)</f>
        <v>5832.85</v>
      </c>
    </row>
    <row r="172" spans="1:15">
      <c r="A172" s="24" t="s">
        <v>405</v>
      </c>
      <c r="B172" s="25" t="s">
        <v>17</v>
      </c>
      <c r="C172" s="25" t="s">
        <v>89</v>
      </c>
      <c r="D172" s="25" t="s">
        <v>28</v>
      </c>
      <c r="E172" s="25">
        <v>49</v>
      </c>
      <c r="F172" s="25" t="s">
        <v>29</v>
      </c>
      <c r="G172" s="25" t="s">
        <v>30</v>
      </c>
      <c r="H172" s="26">
        <v>43867</v>
      </c>
      <c r="I172" s="25">
        <v>35376</v>
      </c>
      <c r="J172" s="25" t="s">
        <v>37</v>
      </c>
      <c r="K172" s="25" t="s">
        <v>406</v>
      </c>
      <c r="L172" s="27" t="s">
        <v>39</v>
      </c>
      <c r="M172" s="28" t="str">
        <f>_xlfn.XLOOKUP(F172,Department!$A$2:$A$6,Department!$B$2:$B$6)</f>
        <v>IT</v>
      </c>
      <c r="N172" s="30">
        <f>_xlfn.XLOOKUP(A172,Performance!$A$2:$A$501,Performance!$C$2:$C$501)</f>
        <v>5</v>
      </c>
      <c r="O172" s="28" cm="1">
        <f t="array" ref="O172">_xlfn.IFS(N172=5,I172*15%,N172=4,I172*10%,N172=3,I172*7%,N172&lt;3,I172*5%)</f>
        <v>5306.4</v>
      </c>
    </row>
    <row r="173" spans="1:15">
      <c r="A173" s="24" t="s">
        <v>407</v>
      </c>
      <c r="B173" s="25" t="s">
        <v>126</v>
      </c>
      <c r="C173" s="25" t="s">
        <v>66</v>
      </c>
      <c r="D173" s="25" t="s">
        <v>28</v>
      </c>
      <c r="E173" s="25">
        <v>44</v>
      </c>
      <c r="F173" s="25" t="s">
        <v>29</v>
      </c>
      <c r="G173" s="25" t="s">
        <v>102</v>
      </c>
      <c r="H173" s="26">
        <v>43902</v>
      </c>
      <c r="I173" s="25">
        <v>37908</v>
      </c>
      <c r="J173" s="25" t="s">
        <v>67</v>
      </c>
      <c r="K173" s="25" t="s">
        <v>408</v>
      </c>
      <c r="L173" s="27" t="s">
        <v>24</v>
      </c>
      <c r="M173" s="28" t="str">
        <f>_xlfn.XLOOKUP(F173,Department!$A$2:$A$6,Department!$B$2:$B$6)</f>
        <v>IT</v>
      </c>
      <c r="N173" s="30">
        <f>_xlfn.XLOOKUP(A173,Performance!$A$2:$A$501,Performance!$C$2:$C$501)</f>
        <v>5</v>
      </c>
      <c r="O173" s="28" cm="1">
        <f t="array" ref="O173">_xlfn.IFS(N173=5,I173*15%,N173=4,I173*10%,N173=3,I173*7%,N173&lt;3,I173*5%)</f>
        <v>5686.2</v>
      </c>
    </row>
    <row r="174" spans="1:15">
      <c r="A174" s="24" t="s">
        <v>409</v>
      </c>
      <c r="B174" s="25" t="s">
        <v>61</v>
      </c>
      <c r="C174" s="25" t="s">
        <v>66</v>
      </c>
      <c r="D174" s="25" t="s">
        <v>28</v>
      </c>
      <c r="E174" s="25">
        <v>59</v>
      </c>
      <c r="F174" s="25" t="s">
        <v>20</v>
      </c>
      <c r="G174" s="25" t="s">
        <v>21</v>
      </c>
      <c r="H174" s="26">
        <v>43903</v>
      </c>
      <c r="I174" s="25">
        <v>106205</v>
      </c>
      <c r="J174" s="25" t="s">
        <v>37</v>
      </c>
      <c r="K174" s="25" t="s">
        <v>410</v>
      </c>
      <c r="L174" s="27" t="s">
        <v>24</v>
      </c>
      <c r="M174" s="28" t="str">
        <f>_xlfn.XLOOKUP(F174,Department!$A$2:$A$6,Department!$B$2:$B$6)</f>
        <v>HR</v>
      </c>
      <c r="N174" s="30">
        <f>_xlfn.XLOOKUP(A174,Performance!$A$2:$A$501,Performance!$C$2:$C$501)</f>
        <v>3</v>
      </c>
      <c r="O174" s="28" cm="1">
        <f t="array" ref="O174">_xlfn.IFS(N174=5,I174*15%,N174=4,I174*10%,N174=3,I174*7%,N174&lt;3,I174*5%)</f>
        <v>7434.35</v>
      </c>
    </row>
    <row r="175" spans="1:15">
      <c r="A175" s="24" t="s">
        <v>411</v>
      </c>
      <c r="B175" s="25" t="s">
        <v>92</v>
      </c>
      <c r="C175" s="25" t="s">
        <v>117</v>
      </c>
      <c r="D175" s="25" t="s">
        <v>19</v>
      </c>
      <c r="E175" s="25">
        <v>29</v>
      </c>
      <c r="F175" s="25" t="s">
        <v>43</v>
      </c>
      <c r="G175" s="25" t="s">
        <v>102</v>
      </c>
      <c r="H175" s="26">
        <v>43302</v>
      </c>
      <c r="I175" s="25">
        <v>101504</v>
      </c>
      <c r="J175" s="25" t="s">
        <v>81</v>
      </c>
      <c r="K175" s="25" t="s">
        <v>412</v>
      </c>
      <c r="L175" s="27" t="s">
        <v>24</v>
      </c>
      <c r="M175" s="28" t="str">
        <f>_xlfn.XLOOKUP(F175,Department!$A$2:$A$6,Department!$B$2:$B$6)</f>
        <v>Marketing</v>
      </c>
      <c r="N175" s="30">
        <f>_xlfn.XLOOKUP(A175,Performance!$A$2:$A$501,Performance!$C$2:$C$501)</f>
        <v>1</v>
      </c>
      <c r="O175" s="28" cm="1">
        <f t="array" ref="O175">_xlfn.IFS(N175=5,I175*15%,N175=4,I175*10%,N175=3,I175*7%,N175&lt;3,I175*5%)</f>
        <v>5075.2000000000007</v>
      </c>
    </row>
    <row r="176" spans="1:15">
      <c r="A176" s="24" t="s">
        <v>413</v>
      </c>
      <c r="B176" s="25" t="s">
        <v>58</v>
      </c>
      <c r="C176" s="25" t="s">
        <v>66</v>
      </c>
      <c r="D176" s="25" t="s">
        <v>19</v>
      </c>
      <c r="E176" s="25">
        <v>48</v>
      </c>
      <c r="F176" s="25" t="s">
        <v>20</v>
      </c>
      <c r="G176" s="25" t="s">
        <v>102</v>
      </c>
      <c r="H176" s="26">
        <v>43909</v>
      </c>
      <c r="I176" s="25">
        <v>36710</v>
      </c>
      <c r="J176" s="25" t="s">
        <v>37</v>
      </c>
      <c r="K176" s="25" t="s">
        <v>414</v>
      </c>
      <c r="L176" s="27" t="s">
        <v>24</v>
      </c>
      <c r="M176" s="28" t="str">
        <f>_xlfn.XLOOKUP(F176,Department!$A$2:$A$6,Department!$B$2:$B$6)</f>
        <v>HR</v>
      </c>
      <c r="N176" s="30">
        <f>_xlfn.XLOOKUP(A176,Performance!$A$2:$A$501,Performance!$C$2:$C$501)</f>
        <v>1</v>
      </c>
      <c r="O176" s="28" cm="1">
        <f t="array" ref="O176">_xlfn.IFS(N176=5,I176*15%,N176=4,I176*10%,N176=3,I176*7%,N176&lt;3,I176*5%)</f>
        <v>1835.5</v>
      </c>
    </row>
    <row r="177" spans="1:15">
      <c r="A177" s="24" t="s">
        <v>415</v>
      </c>
      <c r="B177" s="25" t="s">
        <v>126</v>
      </c>
      <c r="C177" s="25" t="s">
        <v>84</v>
      </c>
      <c r="D177" s="25" t="s">
        <v>19</v>
      </c>
      <c r="E177" s="25">
        <v>58</v>
      </c>
      <c r="F177" s="25" t="s">
        <v>20</v>
      </c>
      <c r="G177" s="25" t="s">
        <v>36</v>
      </c>
      <c r="H177" s="26">
        <v>44951</v>
      </c>
      <c r="I177" s="25">
        <v>78149</v>
      </c>
      <c r="J177" s="25" t="s">
        <v>22</v>
      </c>
      <c r="K177" s="25" t="s">
        <v>416</v>
      </c>
      <c r="L177" s="27" t="s">
        <v>39</v>
      </c>
      <c r="M177" s="28" t="str">
        <f>_xlfn.XLOOKUP(F177,Department!$A$2:$A$6,Department!$B$2:$B$6)</f>
        <v>HR</v>
      </c>
      <c r="N177" s="30">
        <f>_xlfn.XLOOKUP(A177,Performance!$A$2:$A$501,Performance!$C$2:$C$501)</f>
        <v>5</v>
      </c>
      <c r="O177" s="28" cm="1">
        <f t="array" ref="O177">_xlfn.IFS(N177=5,I177*15%,N177=4,I177*10%,N177=3,I177*7%,N177&lt;3,I177*5%)</f>
        <v>11722.35</v>
      </c>
    </row>
    <row r="178" spans="1:15">
      <c r="A178" s="24" t="s">
        <v>417</v>
      </c>
      <c r="B178" s="25" t="s">
        <v>58</v>
      </c>
      <c r="C178" s="25" t="s">
        <v>89</v>
      </c>
      <c r="D178" s="25" t="s">
        <v>19</v>
      </c>
      <c r="E178" s="25">
        <v>57</v>
      </c>
      <c r="F178" s="25" t="s">
        <v>35</v>
      </c>
      <c r="G178" s="25" t="s">
        <v>36</v>
      </c>
      <c r="H178" s="26">
        <v>44013</v>
      </c>
      <c r="I178" s="25">
        <v>93998</v>
      </c>
      <c r="J178" s="25" t="s">
        <v>22</v>
      </c>
      <c r="K178" s="25" t="s">
        <v>418</v>
      </c>
      <c r="L178" s="27" t="s">
        <v>39</v>
      </c>
      <c r="M178" s="28" t="str">
        <f>_xlfn.XLOOKUP(F178,Department!$A$2:$A$6,Department!$B$2:$B$6)</f>
        <v>Sales</v>
      </c>
      <c r="N178" s="30">
        <f>_xlfn.XLOOKUP(A178,Performance!$A$2:$A$501,Performance!$C$2:$C$501)</f>
        <v>4</v>
      </c>
      <c r="O178" s="28" cm="1">
        <f t="array" ref="O178">_xlfn.IFS(N178=5,I178*15%,N178=4,I178*10%,N178=3,I178*7%,N178&lt;3,I178*5%)</f>
        <v>9399.8000000000011</v>
      </c>
    </row>
    <row r="179" spans="1:15">
      <c r="A179" s="24" t="s">
        <v>419</v>
      </c>
      <c r="B179" s="25" t="s">
        <v>61</v>
      </c>
      <c r="C179" s="25" t="s">
        <v>80</v>
      </c>
      <c r="D179" s="25" t="s">
        <v>28</v>
      </c>
      <c r="E179" s="25">
        <v>50</v>
      </c>
      <c r="F179" s="25" t="s">
        <v>20</v>
      </c>
      <c r="G179" s="25" t="s">
        <v>44</v>
      </c>
      <c r="H179" s="26">
        <v>45371</v>
      </c>
      <c r="I179" s="25">
        <v>47599</v>
      </c>
      <c r="J179" s="25" t="s">
        <v>81</v>
      </c>
      <c r="K179" s="25" t="s">
        <v>420</v>
      </c>
      <c r="L179" s="27" t="s">
        <v>24</v>
      </c>
      <c r="M179" s="28" t="str">
        <f>_xlfn.XLOOKUP(F179,Department!$A$2:$A$6,Department!$B$2:$B$6)</f>
        <v>HR</v>
      </c>
      <c r="N179" s="30">
        <f>_xlfn.XLOOKUP(A179,Performance!$A$2:$A$501,Performance!$C$2:$C$501)</f>
        <v>3</v>
      </c>
      <c r="O179" s="28" cm="1">
        <f t="array" ref="O179">_xlfn.IFS(N179=5,I179*15%,N179=4,I179*10%,N179=3,I179*7%,N179&lt;3,I179*5%)</f>
        <v>3331.9300000000003</v>
      </c>
    </row>
    <row r="180" spans="1:15">
      <c r="A180" s="24" t="s">
        <v>421</v>
      </c>
      <c r="B180" s="25" t="s">
        <v>58</v>
      </c>
      <c r="C180" s="25" t="s">
        <v>49</v>
      </c>
      <c r="D180" s="25" t="s">
        <v>19</v>
      </c>
      <c r="E180" s="25">
        <v>32</v>
      </c>
      <c r="F180" s="25" t="s">
        <v>54</v>
      </c>
      <c r="G180" s="25" t="s">
        <v>30</v>
      </c>
      <c r="H180" s="26">
        <v>43309</v>
      </c>
      <c r="I180" s="25">
        <v>82412</v>
      </c>
      <c r="J180" s="25" t="s">
        <v>67</v>
      </c>
      <c r="K180" s="25" t="s">
        <v>422</v>
      </c>
      <c r="L180" s="27" t="s">
        <v>39</v>
      </c>
      <c r="M180" s="28" t="str">
        <f>_xlfn.XLOOKUP(F180,Department!$A$2:$A$6,Department!$B$2:$B$6)</f>
        <v>Finance</v>
      </c>
      <c r="N180" s="30">
        <f>_xlfn.XLOOKUP(A180,Performance!$A$2:$A$501,Performance!$C$2:$C$501)</f>
        <v>4</v>
      </c>
      <c r="O180" s="28" cm="1">
        <f t="array" ref="O180">_xlfn.IFS(N180=5,I180*15%,N180=4,I180*10%,N180=3,I180*7%,N180&lt;3,I180*5%)</f>
        <v>8241.2000000000007</v>
      </c>
    </row>
    <row r="181" spans="1:15">
      <c r="A181" s="24" t="s">
        <v>423</v>
      </c>
      <c r="B181" s="25" t="s">
        <v>34</v>
      </c>
      <c r="C181" s="25" t="s">
        <v>80</v>
      </c>
      <c r="D181" s="25" t="s">
        <v>28</v>
      </c>
      <c r="E181" s="25">
        <v>52</v>
      </c>
      <c r="F181" s="25" t="s">
        <v>35</v>
      </c>
      <c r="G181" s="25" t="s">
        <v>21</v>
      </c>
      <c r="H181" s="26">
        <v>43223</v>
      </c>
      <c r="I181" s="25">
        <v>82496</v>
      </c>
      <c r="J181" s="25" t="s">
        <v>67</v>
      </c>
      <c r="K181" s="25" t="s">
        <v>424</v>
      </c>
      <c r="L181" s="27" t="s">
        <v>24</v>
      </c>
      <c r="M181" s="28" t="str">
        <f>_xlfn.XLOOKUP(F181,Department!$A$2:$A$6,Department!$B$2:$B$6)</f>
        <v>Sales</v>
      </c>
      <c r="N181" s="30">
        <f>_xlfn.XLOOKUP(A181,Performance!$A$2:$A$501,Performance!$C$2:$C$501)</f>
        <v>2</v>
      </c>
      <c r="O181" s="28" cm="1">
        <f t="array" ref="O181">_xlfn.IFS(N181=5,I181*15%,N181=4,I181*10%,N181=3,I181*7%,N181&lt;3,I181*5%)</f>
        <v>4124.8</v>
      </c>
    </row>
    <row r="182" spans="1:15">
      <c r="A182" s="24" t="s">
        <v>425</v>
      </c>
      <c r="B182" s="25" t="s">
        <v>53</v>
      </c>
      <c r="C182" s="25" t="s">
        <v>117</v>
      </c>
      <c r="D182" s="25" t="s">
        <v>19</v>
      </c>
      <c r="E182" s="25">
        <v>60</v>
      </c>
      <c r="F182" s="25" t="s">
        <v>35</v>
      </c>
      <c r="G182" s="25" t="s">
        <v>30</v>
      </c>
      <c r="H182" s="26">
        <v>43727</v>
      </c>
      <c r="I182" s="25">
        <v>51231</v>
      </c>
      <c r="J182" s="25" t="s">
        <v>67</v>
      </c>
      <c r="K182" s="25" t="s">
        <v>426</v>
      </c>
      <c r="L182" s="27" t="s">
        <v>39</v>
      </c>
      <c r="M182" s="28" t="str">
        <f>_xlfn.XLOOKUP(F182,Department!$A$2:$A$6,Department!$B$2:$B$6)</f>
        <v>Sales</v>
      </c>
      <c r="N182" s="30">
        <f>_xlfn.XLOOKUP(A182,Performance!$A$2:$A$501,Performance!$C$2:$C$501)</f>
        <v>2</v>
      </c>
      <c r="O182" s="28" cm="1">
        <f t="array" ref="O182">_xlfn.IFS(N182=5,I182*15%,N182=4,I182*10%,N182=3,I182*7%,N182&lt;3,I182*5%)</f>
        <v>2561.5500000000002</v>
      </c>
    </row>
    <row r="183" spans="1:15">
      <c r="A183" s="24" t="s">
        <v>427</v>
      </c>
      <c r="B183" s="25" t="s">
        <v>126</v>
      </c>
      <c r="C183" s="25" t="s">
        <v>18</v>
      </c>
      <c r="D183" s="25" t="s">
        <v>19</v>
      </c>
      <c r="E183" s="25">
        <v>48</v>
      </c>
      <c r="F183" s="25" t="s">
        <v>54</v>
      </c>
      <c r="G183" s="25" t="s">
        <v>30</v>
      </c>
      <c r="H183" s="26">
        <v>43205</v>
      </c>
      <c r="I183" s="25">
        <v>119053</v>
      </c>
      <c r="J183" s="25" t="s">
        <v>22</v>
      </c>
      <c r="K183" s="25" t="s">
        <v>428</v>
      </c>
      <c r="L183" s="27" t="s">
        <v>24</v>
      </c>
      <c r="M183" s="28" t="str">
        <f>_xlfn.XLOOKUP(F183,Department!$A$2:$A$6,Department!$B$2:$B$6)</f>
        <v>Finance</v>
      </c>
      <c r="N183" s="30">
        <f>_xlfn.XLOOKUP(A183,Performance!$A$2:$A$501,Performance!$C$2:$C$501)</f>
        <v>4</v>
      </c>
      <c r="O183" s="28" cm="1">
        <f t="array" ref="O183">_xlfn.IFS(N183=5,I183*15%,N183=4,I183*10%,N183=3,I183*7%,N183&lt;3,I183*5%)</f>
        <v>11905.300000000001</v>
      </c>
    </row>
    <row r="184" spans="1:15">
      <c r="A184" s="24" t="s">
        <v>429</v>
      </c>
      <c r="B184" s="25" t="s">
        <v>74</v>
      </c>
      <c r="C184" s="25" t="s">
        <v>84</v>
      </c>
      <c r="D184" s="25" t="s">
        <v>28</v>
      </c>
      <c r="E184" s="25">
        <v>60</v>
      </c>
      <c r="F184" s="25" t="s">
        <v>35</v>
      </c>
      <c r="G184" s="25" t="s">
        <v>21</v>
      </c>
      <c r="H184" s="26">
        <v>45463</v>
      </c>
      <c r="I184" s="25">
        <v>111243</v>
      </c>
      <c r="J184" s="25" t="s">
        <v>22</v>
      </c>
      <c r="K184" s="25" t="s">
        <v>430</v>
      </c>
      <c r="L184" s="27" t="s">
        <v>24</v>
      </c>
      <c r="M184" s="28" t="str">
        <f>_xlfn.XLOOKUP(F184,Department!$A$2:$A$6,Department!$B$2:$B$6)</f>
        <v>Sales</v>
      </c>
      <c r="N184" s="30">
        <f>_xlfn.XLOOKUP(A184,Performance!$A$2:$A$501,Performance!$C$2:$C$501)</f>
        <v>4</v>
      </c>
      <c r="O184" s="28" cm="1">
        <f t="array" ref="O184">_xlfn.IFS(N184=5,I184*15%,N184=4,I184*10%,N184=3,I184*7%,N184&lt;3,I184*5%)</f>
        <v>11124.300000000001</v>
      </c>
    </row>
    <row r="185" spans="1:15">
      <c r="A185" s="24" t="s">
        <v>431</v>
      </c>
      <c r="B185" s="25" t="s">
        <v>126</v>
      </c>
      <c r="C185" s="25" t="s">
        <v>66</v>
      </c>
      <c r="D185" s="25" t="s">
        <v>19</v>
      </c>
      <c r="E185" s="25">
        <v>55</v>
      </c>
      <c r="F185" s="25" t="s">
        <v>29</v>
      </c>
      <c r="G185" s="25" t="s">
        <v>21</v>
      </c>
      <c r="H185" s="26">
        <v>44267</v>
      </c>
      <c r="I185" s="25">
        <v>73063</v>
      </c>
      <c r="J185" s="25" t="s">
        <v>81</v>
      </c>
      <c r="K185" s="25" t="s">
        <v>432</v>
      </c>
      <c r="L185" s="27" t="s">
        <v>24</v>
      </c>
      <c r="M185" s="28" t="str">
        <f>_xlfn.XLOOKUP(F185,Department!$A$2:$A$6,Department!$B$2:$B$6)</f>
        <v>IT</v>
      </c>
      <c r="N185" s="30">
        <f>_xlfn.XLOOKUP(A185,Performance!$A$2:$A$501,Performance!$C$2:$C$501)</f>
        <v>1</v>
      </c>
      <c r="O185" s="28" cm="1">
        <f t="array" ref="O185">_xlfn.IFS(N185=5,I185*15%,N185=4,I185*10%,N185=3,I185*7%,N185&lt;3,I185*5%)</f>
        <v>3653.15</v>
      </c>
    </row>
    <row r="186" spans="1:15">
      <c r="A186" s="24" t="s">
        <v>433</v>
      </c>
      <c r="B186" s="25" t="s">
        <v>126</v>
      </c>
      <c r="C186" s="25" t="s">
        <v>49</v>
      </c>
      <c r="D186" s="25" t="s">
        <v>28</v>
      </c>
      <c r="E186" s="25">
        <v>35</v>
      </c>
      <c r="F186" s="25" t="s">
        <v>43</v>
      </c>
      <c r="G186" s="25" t="s">
        <v>21</v>
      </c>
      <c r="H186" s="26">
        <v>45478</v>
      </c>
      <c r="I186" s="25">
        <v>71247</v>
      </c>
      <c r="J186" s="25" t="s">
        <v>22</v>
      </c>
      <c r="K186" s="25" t="s">
        <v>434</v>
      </c>
      <c r="L186" s="27" t="s">
        <v>39</v>
      </c>
      <c r="M186" s="28" t="str">
        <f>_xlfn.XLOOKUP(F186,Department!$A$2:$A$6,Department!$B$2:$B$6)</f>
        <v>Marketing</v>
      </c>
      <c r="N186" s="30">
        <f>_xlfn.XLOOKUP(A186,Performance!$A$2:$A$501,Performance!$C$2:$C$501)</f>
        <v>4</v>
      </c>
      <c r="O186" s="28" cm="1">
        <f t="array" ref="O186">_xlfn.IFS(N186=5,I186*15%,N186=4,I186*10%,N186=3,I186*7%,N186&lt;3,I186*5%)</f>
        <v>7124.7000000000007</v>
      </c>
    </row>
    <row r="187" spans="1:15">
      <c r="A187" s="24" t="s">
        <v>435</v>
      </c>
      <c r="B187" s="25" t="s">
        <v>42</v>
      </c>
      <c r="C187" s="25" t="s">
        <v>117</v>
      </c>
      <c r="D187" s="25" t="s">
        <v>28</v>
      </c>
      <c r="E187" s="25">
        <v>41</v>
      </c>
      <c r="F187" s="25" t="s">
        <v>35</v>
      </c>
      <c r="G187" s="25" t="s">
        <v>30</v>
      </c>
      <c r="H187" s="26">
        <v>43695</v>
      </c>
      <c r="I187" s="25">
        <v>67422</v>
      </c>
      <c r="J187" s="25" t="s">
        <v>67</v>
      </c>
      <c r="K187" s="25" t="s">
        <v>436</v>
      </c>
      <c r="L187" s="27" t="s">
        <v>39</v>
      </c>
      <c r="M187" s="28" t="str">
        <f>_xlfn.XLOOKUP(F187,Department!$A$2:$A$6,Department!$B$2:$B$6)</f>
        <v>Sales</v>
      </c>
      <c r="N187" s="30">
        <f>_xlfn.XLOOKUP(A187,Performance!$A$2:$A$501,Performance!$C$2:$C$501)</f>
        <v>2</v>
      </c>
      <c r="O187" s="28" cm="1">
        <f t="array" ref="O187">_xlfn.IFS(N187=5,I187*15%,N187=4,I187*10%,N187=3,I187*7%,N187&lt;3,I187*5%)</f>
        <v>3371.1000000000004</v>
      </c>
    </row>
    <row r="188" spans="1:15">
      <c r="A188" s="24" t="s">
        <v>437</v>
      </c>
      <c r="B188" s="25" t="s">
        <v>34</v>
      </c>
      <c r="C188" s="25" t="s">
        <v>66</v>
      </c>
      <c r="D188" s="25" t="s">
        <v>19</v>
      </c>
      <c r="E188" s="25">
        <v>26</v>
      </c>
      <c r="F188" s="25" t="s">
        <v>29</v>
      </c>
      <c r="G188" s="25" t="s">
        <v>36</v>
      </c>
      <c r="H188" s="26">
        <v>43514</v>
      </c>
      <c r="I188" s="25">
        <v>110628</v>
      </c>
      <c r="J188" s="25" t="s">
        <v>67</v>
      </c>
      <c r="K188" s="25" t="s">
        <v>438</v>
      </c>
      <c r="L188" s="27" t="s">
        <v>39</v>
      </c>
      <c r="M188" s="28" t="str">
        <f>_xlfn.XLOOKUP(F188,Department!$A$2:$A$6,Department!$B$2:$B$6)</f>
        <v>IT</v>
      </c>
      <c r="N188" s="30">
        <f>_xlfn.XLOOKUP(A188,Performance!$A$2:$A$501,Performance!$C$2:$C$501)</f>
        <v>3</v>
      </c>
      <c r="O188" s="28" cm="1">
        <f t="array" ref="O188">_xlfn.IFS(N188=5,I188*15%,N188=4,I188*10%,N188=3,I188*7%,N188&lt;3,I188*5%)</f>
        <v>7743.9600000000009</v>
      </c>
    </row>
    <row r="189" spans="1:15">
      <c r="A189" s="24" t="s">
        <v>439</v>
      </c>
      <c r="B189" s="25" t="s">
        <v>53</v>
      </c>
      <c r="C189" s="25" t="s">
        <v>141</v>
      </c>
      <c r="D189" s="25" t="s">
        <v>19</v>
      </c>
      <c r="E189" s="25">
        <v>48</v>
      </c>
      <c r="F189" s="25" t="s">
        <v>43</v>
      </c>
      <c r="G189" s="25" t="s">
        <v>21</v>
      </c>
      <c r="H189" s="26">
        <v>44431</v>
      </c>
      <c r="I189" s="25">
        <v>96540</v>
      </c>
      <c r="J189" s="25" t="s">
        <v>37</v>
      </c>
      <c r="K189" s="25" t="s">
        <v>440</v>
      </c>
      <c r="L189" s="27" t="s">
        <v>39</v>
      </c>
      <c r="M189" s="28" t="str">
        <f>_xlfn.XLOOKUP(F189,Department!$A$2:$A$6,Department!$B$2:$B$6)</f>
        <v>Marketing</v>
      </c>
      <c r="N189" s="30">
        <f>_xlfn.XLOOKUP(A189,Performance!$A$2:$A$501,Performance!$C$2:$C$501)</f>
        <v>3</v>
      </c>
      <c r="O189" s="28" cm="1">
        <f t="array" ref="O189">_xlfn.IFS(N189=5,I189*15%,N189=4,I189*10%,N189=3,I189*7%,N189&lt;3,I189*5%)</f>
        <v>6757.8000000000011</v>
      </c>
    </row>
    <row r="190" spans="1:15">
      <c r="A190" s="24" t="s">
        <v>441</v>
      </c>
      <c r="B190" s="25" t="s">
        <v>58</v>
      </c>
      <c r="C190" s="25" t="s">
        <v>80</v>
      </c>
      <c r="D190" s="25" t="s">
        <v>19</v>
      </c>
      <c r="E190" s="25">
        <v>49</v>
      </c>
      <c r="F190" s="25" t="s">
        <v>43</v>
      </c>
      <c r="G190" s="25" t="s">
        <v>21</v>
      </c>
      <c r="H190" s="26">
        <v>43418</v>
      </c>
      <c r="I190" s="25">
        <v>76991</v>
      </c>
      <c r="J190" s="25" t="s">
        <v>62</v>
      </c>
      <c r="K190" s="25" t="s">
        <v>442</v>
      </c>
      <c r="L190" s="27" t="s">
        <v>24</v>
      </c>
      <c r="M190" s="28" t="str">
        <f>_xlfn.XLOOKUP(F190,Department!$A$2:$A$6,Department!$B$2:$B$6)</f>
        <v>Marketing</v>
      </c>
      <c r="N190" s="30">
        <f>_xlfn.XLOOKUP(A190,Performance!$A$2:$A$501,Performance!$C$2:$C$501)</f>
        <v>5</v>
      </c>
      <c r="O190" s="28" cm="1">
        <f t="array" ref="O190">_xlfn.IFS(N190=5,I190*15%,N190=4,I190*10%,N190=3,I190*7%,N190&lt;3,I190*5%)</f>
        <v>11548.65</v>
      </c>
    </row>
    <row r="191" spans="1:15">
      <c r="A191" s="24" t="s">
        <v>443</v>
      </c>
      <c r="B191" s="25" t="s">
        <v>61</v>
      </c>
      <c r="C191" s="25" t="s">
        <v>117</v>
      </c>
      <c r="D191" s="25" t="s">
        <v>28</v>
      </c>
      <c r="E191" s="25">
        <v>26</v>
      </c>
      <c r="F191" s="25" t="s">
        <v>35</v>
      </c>
      <c r="G191" s="25" t="s">
        <v>21</v>
      </c>
      <c r="H191" s="26">
        <v>44300</v>
      </c>
      <c r="I191" s="25">
        <v>92562</v>
      </c>
      <c r="J191" s="25" t="s">
        <v>37</v>
      </c>
      <c r="K191" s="25" t="s">
        <v>444</v>
      </c>
      <c r="L191" s="27" t="s">
        <v>39</v>
      </c>
      <c r="M191" s="28" t="str">
        <f>_xlfn.XLOOKUP(F191,Department!$A$2:$A$6,Department!$B$2:$B$6)</f>
        <v>Sales</v>
      </c>
      <c r="N191" s="30">
        <f>_xlfn.XLOOKUP(A191,Performance!$A$2:$A$501,Performance!$C$2:$C$501)</f>
        <v>5</v>
      </c>
      <c r="O191" s="28" cm="1">
        <f t="array" ref="O191">_xlfn.IFS(N191=5,I191*15%,N191=4,I191*10%,N191=3,I191*7%,N191&lt;3,I191*5%)</f>
        <v>13884.3</v>
      </c>
    </row>
    <row r="192" spans="1:15">
      <c r="A192" s="24" t="s">
        <v>445</v>
      </c>
      <c r="B192" s="25" t="s">
        <v>126</v>
      </c>
      <c r="C192" s="25" t="s">
        <v>141</v>
      </c>
      <c r="D192" s="25" t="s">
        <v>19</v>
      </c>
      <c r="E192" s="25">
        <v>51</v>
      </c>
      <c r="F192" s="25" t="s">
        <v>35</v>
      </c>
      <c r="G192" s="25" t="s">
        <v>44</v>
      </c>
      <c r="H192" s="26">
        <v>43560</v>
      </c>
      <c r="I192" s="25">
        <v>102983</v>
      </c>
      <c r="J192" s="25" t="s">
        <v>37</v>
      </c>
      <c r="K192" s="25" t="s">
        <v>446</v>
      </c>
      <c r="L192" s="27" t="s">
        <v>39</v>
      </c>
      <c r="M192" s="28" t="str">
        <f>_xlfn.XLOOKUP(F192,Department!$A$2:$A$6,Department!$B$2:$B$6)</f>
        <v>Sales</v>
      </c>
      <c r="N192" s="30">
        <f>_xlfn.XLOOKUP(A192,Performance!$A$2:$A$501,Performance!$C$2:$C$501)</f>
        <v>2</v>
      </c>
      <c r="O192" s="28" cm="1">
        <f t="array" ref="O192">_xlfn.IFS(N192=5,I192*15%,N192=4,I192*10%,N192=3,I192*7%,N192&lt;3,I192*5%)</f>
        <v>5149.1500000000005</v>
      </c>
    </row>
    <row r="193" spans="1:15">
      <c r="A193" s="24" t="s">
        <v>447</v>
      </c>
      <c r="B193" s="25" t="s">
        <v>126</v>
      </c>
      <c r="C193" s="25" t="s">
        <v>93</v>
      </c>
      <c r="D193" s="25" t="s">
        <v>28</v>
      </c>
      <c r="E193" s="25">
        <v>23</v>
      </c>
      <c r="F193" s="25" t="s">
        <v>20</v>
      </c>
      <c r="G193" s="25" t="s">
        <v>36</v>
      </c>
      <c r="H193" s="26">
        <v>44828</v>
      </c>
      <c r="I193" s="25">
        <v>114420</v>
      </c>
      <c r="J193" s="25" t="s">
        <v>22</v>
      </c>
      <c r="K193" s="25" t="s">
        <v>448</v>
      </c>
      <c r="L193" s="27" t="s">
        <v>24</v>
      </c>
      <c r="M193" s="28" t="str">
        <f>_xlfn.XLOOKUP(F193,Department!$A$2:$A$6,Department!$B$2:$B$6)</f>
        <v>HR</v>
      </c>
      <c r="N193" s="30">
        <f>_xlfn.XLOOKUP(A193,Performance!$A$2:$A$501,Performance!$C$2:$C$501)</f>
        <v>3</v>
      </c>
      <c r="O193" s="28" cm="1">
        <f t="array" ref="O193">_xlfn.IFS(N193=5,I193*15%,N193=4,I193*10%,N193=3,I193*7%,N193&lt;3,I193*5%)</f>
        <v>8009.4000000000005</v>
      </c>
    </row>
    <row r="194" spans="1:15">
      <c r="A194" s="24" t="s">
        <v>449</v>
      </c>
      <c r="B194" s="25" t="s">
        <v>34</v>
      </c>
      <c r="C194" s="25" t="s">
        <v>141</v>
      </c>
      <c r="D194" s="25" t="s">
        <v>19</v>
      </c>
      <c r="E194" s="25">
        <v>58</v>
      </c>
      <c r="F194" s="25" t="s">
        <v>54</v>
      </c>
      <c r="G194" s="25" t="s">
        <v>36</v>
      </c>
      <c r="H194" s="26">
        <v>45303</v>
      </c>
      <c r="I194" s="25">
        <v>108419</v>
      </c>
      <c r="J194" s="25" t="s">
        <v>62</v>
      </c>
      <c r="K194" s="25" t="s">
        <v>450</v>
      </c>
      <c r="L194" s="27" t="s">
        <v>24</v>
      </c>
      <c r="M194" s="28" t="str">
        <f>_xlfn.XLOOKUP(F194,Department!$A$2:$A$6,Department!$B$2:$B$6)</f>
        <v>Finance</v>
      </c>
      <c r="N194" s="30">
        <f>_xlfn.XLOOKUP(A194,Performance!$A$2:$A$501,Performance!$C$2:$C$501)</f>
        <v>3</v>
      </c>
      <c r="O194" s="28" cm="1">
        <f t="array" ref="O194">_xlfn.IFS(N194=5,I194*15%,N194=4,I194*10%,N194=3,I194*7%,N194&lt;3,I194*5%)</f>
        <v>7589.3300000000008</v>
      </c>
    </row>
    <row r="195" spans="1:15">
      <c r="A195" s="24" t="s">
        <v>451</v>
      </c>
      <c r="B195" s="25" t="s">
        <v>92</v>
      </c>
      <c r="C195" s="25" t="s">
        <v>49</v>
      </c>
      <c r="D195" s="25" t="s">
        <v>28</v>
      </c>
      <c r="E195" s="25">
        <v>54</v>
      </c>
      <c r="F195" s="25" t="s">
        <v>35</v>
      </c>
      <c r="G195" s="25" t="s">
        <v>102</v>
      </c>
      <c r="H195" s="26">
        <v>43952</v>
      </c>
      <c r="I195" s="25">
        <v>100498</v>
      </c>
      <c r="J195" s="25" t="s">
        <v>67</v>
      </c>
      <c r="K195" s="25" t="s">
        <v>452</v>
      </c>
      <c r="L195" s="27" t="s">
        <v>39</v>
      </c>
      <c r="M195" s="28" t="str">
        <f>_xlfn.XLOOKUP(F195,Department!$A$2:$A$6,Department!$B$2:$B$6)</f>
        <v>Sales</v>
      </c>
      <c r="N195" s="30">
        <f>_xlfn.XLOOKUP(A195,Performance!$A$2:$A$501,Performance!$C$2:$C$501)</f>
        <v>3</v>
      </c>
      <c r="O195" s="28" cm="1">
        <f t="array" ref="O195">_xlfn.IFS(N195=5,I195*15%,N195=4,I195*10%,N195=3,I195*7%,N195&lt;3,I195*5%)</f>
        <v>7034.8600000000006</v>
      </c>
    </row>
    <row r="196" spans="1:15">
      <c r="A196" s="24" t="s">
        <v>453</v>
      </c>
      <c r="B196" s="25" t="s">
        <v>17</v>
      </c>
      <c r="C196" s="25" t="s">
        <v>141</v>
      </c>
      <c r="D196" s="25" t="s">
        <v>28</v>
      </c>
      <c r="E196" s="25">
        <v>48</v>
      </c>
      <c r="F196" s="25" t="s">
        <v>29</v>
      </c>
      <c r="G196" s="25" t="s">
        <v>21</v>
      </c>
      <c r="H196" s="26">
        <v>43700</v>
      </c>
      <c r="I196" s="25">
        <v>62004</v>
      </c>
      <c r="J196" s="25" t="s">
        <v>67</v>
      </c>
      <c r="K196" s="25" t="s">
        <v>454</v>
      </c>
      <c r="L196" s="27" t="s">
        <v>24</v>
      </c>
      <c r="M196" s="28" t="str">
        <f>_xlfn.XLOOKUP(F196,Department!$A$2:$A$6,Department!$B$2:$B$6)</f>
        <v>IT</v>
      </c>
      <c r="N196" s="30">
        <f>_xlfn.XLOOKUP(A196,Performance!$A$2:$A$501,Performance!$C$2:$C$501)</f>
        <v>2</v>
      </c>
      <c r="O196" s="28" cm="1">
        <f t="array" ref="O196">_xlfn.IFS(N196=5,I196*15%,N196=4,I196*10%,N196=3,I196*7%,N196&lt;3,I196*5%)</f>
        <v>3100.2000000000003</v>
      </c>
    </row>
    <row r="197" spans="1:15">
      <c r="A197" s="24" t="s">
        <v>455</v>
      </c>
      <c r="B197" s="25" t="s">
        <v>61</v>
      </c>
      <c r="C197" s="25" t="s">
        <v>84</v>
      </c>
      <c r="D197" s="25" t="s">
        <v>28</v>
      </c>
      <c r="E197" s="25">
        <v>46</v>
      </c>
      <c r="F197" s="25" t="s">
        <v>43</v>
      </c>
      <c r="G197" s="25" t="s">
        <v>30</v>
      </c>
      <c r="H197" s="26">
        <v>44576</v>
      </c>
      <c r="I197" s="25">
        <v>37033</v>
      </c>
      <c r="J197" s="25" t="s">
        <v>62</v>
      </c>
      <c r="K197" s="25" t="s">
        <v>456</v>
      </c>
      <c r="L197" s="27" t="s">
        <v>39</v>
      </c>
      <c r="M197" s="28" t="str">
        <f>_xlfn.XLOOKUP(F197,Department!$A$2:$A$6,Department!$B$2:$B$6)</f>
        <v>Marketing</v>
      </c>
      <c r="N197" s="30">
        <f>_xlfn.XLOOKUP(A197,Performance!$A$2:$A$501,Performance!$C$2:$C$501)</f>
        <v>3</v>
      </c>
      <c r="O197" s="28" cm="1">
        <f t="array" ref="O197">_xlfn.IFS(N197=5,I197*15%,N197=4,I197*10%,N197=3,I197*7%,N197&lt;3,I197*5%)</f>
        <v>2592.3100000000004</v>
      </c>
    </row>
    <row r="198" spans="1:15">
      <c r="A198" s="24" t="s">
        <v>457</v>
      </c>
      <c r="B198" s="25" t="s">
        <v>17</v>
      </c>
      <c r="C198" s="25" t="s">
        <v>66</v>
      </c>
      <c r="D198" s="25" t="s">
        <v>28</v>
      </c>
      <c r="E198" s="25">
        <v>25</v>
      </c>
      <c r="F198" s="25" t="s">
        <v>43</v>
      </c>
      <c r="G198" s="25" t="s">
        <v>102</v>
      </c>
      <c r="H198" s="26">
        <v>43247</v>
      </c>
      <c r="I198" s="25">
        <v>58062</v>
      </c>
      <c r="J198" s="25" t="s">
        <v>37</v>
      </c>
      <c r="K198" s="25" t="s">
        <v>458</v>
      </c>
      <c r="L198" s="27" t="s">
        <v>24</v>
      </c>
      <c r="M198" s="28" t="str">
        <f>_xlfn.XLOOKUP(F198,Department!$A$2:$A$6,Department!$B$2:$B$6)</f>
        <v>Marketing</v>
      </c>
      <c r="N198" s="30">
        <f>_xlfn.XLOOKUP(A198,Performance!$A$2:$A$501,Performance!$C$2:$C$501)</f>
        <v>2</v>
      </c>
      <c r="O198" s="28" cm="1">
        <f t="array" ref="O198">_xlfn.IFS(N198=5,I198*15%,N198=4,I198*10%,N198=3,I198*7%,N198&lt;3,I198*5%)</f>
        <v>2903.1000000000004</v>
      </c>
    </row>
    <row r="199" spans="1:15">
      <c r="A199" s="24" t="s">
        <v>459</v>
      </c>
      <c r="B199" s="25" t="s">
        <v>48</v>
      </c>
      <c r="C199" s="25" t="s">
        <v>117</v>
      </c>
      <c r="D199" s="25" t="s">
        <v>19</v>
      </c>
      <c r="E199" s="25">
        <v>29</v>
      </c>
      <c r="F199" s="25" t="s">
        <v>20</v>
      </c>
      <c r="G199" s="25" t="s">
        <v>44</v>
      </c>
      <c r="H199" s="26">
        <v>43950</v>
      </c>
      <c r="I199" s="25">
        <v>49357</v>
      </c>
      <c r="J199" s="25" t="s">
        <v>62</v>
      </c>
      <c r="K199" s="25" t="s">
        <v>460</v>
      </c>
      <c r="L199" s="27" t="s">
        <v>24</v>
      </c>
      <c r="M199" s="28" t="str">
        <f>_xlfn.XLOOKUP(F199,Department!$A$2:$A$6,Department!$B$2:$B$6)</f>
        <v>HR</v>
      </c>
      <c r="N199" s="30">
        <f>_xlfn.XLOOKUP(A199,Performance!$A$2:$A$501,Performance!$C$2:$C$501)</f>
        <v>2</v>
      </c>
      <c r="O199" s="28" cm="1">
        <f t="array" ref="O199">_xlfn.IFS(N199=5,I199*15%,N199=4,I199*10%,N199=3,I199*7%,N199&lt;3,I199*5%)</f>
        <v>2467.8500000000004</v>
      </c>
    </row>
    <row r="200" spans="1:15">
      <c r="A200" s="24" t="s">
        <v>461</v>
      </c>
      <c r="B200" s="25" t="s">
        <v>74</v>
      </c>
      <c r="C200" s="25" t="s">
        <v>89</v>
      </c>
      <c r="D200" s="25" t="s">
        <v>19</v>
      </c>
      <c r="E200" s="25">
        <v>54</v>
      </c>
      <c r="F200" s="25" t="s">
        <v>35</v>
      </c>
      <c r="G200" s="25" t="s">
        <v>30</v>
      </c>
      <c r="H200" s="26">
        <v>43148</v>
      </c>
      <c r="I200" s="25">
        <v>59758</v>
      </c>
      <c r="J200" s="25" t="s">
        <v>37</v>
      </c>
      <c r="K200" s="25" t="s">
        <v>462</v>
      </c>
      <c r="L200" s="27" t="s">
        <v>39</v>
      </c>
      <c r="M200" s="28" t="str">
        <f>_xlfn.XLOOKUP(F200,Department!$A$2:$A$6,Department!$B$2:$B$6)</f>
        <v>Sales</v>
      </c>
      <c r="N200" s="30">
        <f>_xlfn.XLOOKUP(A200,Performance!$A$2:$A$501,Performance!$C$2:$C$501)</f>
        <v>5</v>
      </c>
      <c r="O200" s="28" cm="1">
        <f t="array" ref="O200">_xlfn.IFS(N200=5,I200*15%,N200=4,I200*10%,N200=3,I200*7%,N200&lt;3,I200*5%)</f>
        <v>8963.6999999999989</v>
      </c>
    </row>
    <row r="201" spans="1:15">
      <c r="A201" s="24" t="s">
        <v>463</v>
      </c>
      <c r="B201" s="25" t="s">
        <v>92</v>
      </c>
      <c r="C201" s="25" t="s">
        <v>141</v>
      </c>
      <c r="D201" s="25" t="s">
        <v>28</v>
      </c>
      <c r="E201" s="25">
        <v>37</v>
      </c>
      <c r="F201" s="25" t="s">
        <v>54</v>
      </c>
      <c r="G201" s="25" t="s">
        <v>21</v>
      </c>
      <c r="H201" s="26">
        <v>45095</v>
      </c>
      <c r="I201" s="25">
        <v>45788</v>
      </c>
      <c r="J201" s="25" t="s">
        <v>81</v>
      </c>
      <c r="K201" s="25" t="s">
        <v>464</v>
      </c>
      <c r="L201" s="27" t="s">
        <v>39</v>
      </c>
      <c r="M201" s="28" t="str">
        <f>_xlfn.XLOOKUP(F201,Department!$A$2:$A$6,Department!$B$2:$B$6)</f>
        <v>Finance</v>
      </c>
      <c r="N201" s="30">
        <f>_xlfn.XLOOKUP(A201,Performance!$A$2:$A$501,Performance!$C$2:$C$501)</f>
        <v>1</v>
      </c>
      <c r="O201" s="28" cm="1">
        <f t="array" ref="O201">_xlfn.IFS(N201=5,I201*15%,N201=4,I201*10%,N201=3,I201*7%,N201&lt;3,I201*5%)</f>
        <v>2289.4</v>
      </c>
    </row>
    <row r="202" spans="1:15">
      <c r="A202" s="24" t="s">
        <v>465</v>
      </c>
      <c r="B202" s="25" t="s">
        <v>34</v>
      </c>
      <c r="C202" s="25" t="s">
        <v>27</v>
      </c>
      <c r="D202" s="25" t="s">
        <v>28</v>
      </c>
      <c r="E202" s="25">
        <v>28</v>
      </c>
      <c r="F202" s="25" t="s">
        <v>20</v>
      </c>
      <c r="G202" s="25" t="s">
        <v>36</v>
      </c>
      <c r="H202" s="26">
        <v>44674</v>
      </c>
      <c r="I202" s="25">
        <v>38862</v>
      </c>
      <c r="J202" s="25" t="s">
        <v>67</v>
      </c>
      <c r="K202" s="25" t="s">
        <v>466</v>
      </c>
      <c r="L202" s="27" t="s">
        <v>39</v>
      </c>
      <c r="M202" s="28" t="str">
        <f>_xlfn.XLOOKUP(F202,Department!$A$2:$A$6,Department!$B$2:$B$6)</f>
        <v>HR</v>
      </c>
      <c r="N202" s="30">
        <f>_xlfn.XLOOKUP(A202,Performance!$A$2:$A$501,Performance!$C$2:$C$501)</f>
        <v>3</v>
      </c>
      <c r="O202" s="28" cm="1">
        <f t="array" ref="O202">_xlfn.IFS(N202=5,I202*15%,N202=4,I202*10%,N202=3,I202*7%,N202&lt;3,I202*5%)</f>
        <v>2720.34</v>
      </c>
    </row>
    <row r="203" spans="1:15">
      <c r="A203" s="24" t="s">
        <v>467</v>
      </c>
      <c r="B203" s="25" t="s">
        <v>48</v>
      </c>
      <c r="C203" s="25" t="s">
        <v>141</v>
      </c>
      <c r="D203" s="25" t="s">
        <v>28</v>
      </c>
      <c r="E203" s="25">
        <v>48</v>
      </c>
      <c r="F203" s="25" t="s">
        <v>29</v>
      </c>
      <c r="G203" s="25" t="s">
        <v>44</v>
      </c>
      <c r="H203" s="26">
        <v>44394</v>
      </c>
      <c r="I203" s="25">
        <v>76132</v>
      </c>
      <c r="J203" s="25" t="s">
        <v>22</v>
      </c>
      <c r="K203" s="25" t="s">
        <v>468</v>
      </c>
      <c r="L203" s="27" t="s">
        <v>39</v>
      </c>
      <c r="M203" s="28" t="str">
        <f>_xlfn.XLOOKUP(F203,Department!$A$2:$A$6,Department!$B$2:$B$6)</f>
        <v>IT</v>
      </c>
      <c r="N203" s="30">
        <f>_xlfn.XLOOKUP(A203,Performance!$A$2:$A$501,Performance!$C$2:$C$501)</f>
        <v>2</v>
      </c>
      <c r="O203" s="28" cm="1">
        <f t="array" ref="O203">_xlfn.IFS(N203=5,I203*15%,N203=4,I203*10%,N203=3,I203*7%,N203&lt;3,I203*5%)</f>
        <v>3806.6000000000004</v>
      </c>
    </row>
    <row r="204" spans="1:15">
      <c r="A204" s="24" t="s">
        <v>469</v>
      </c>
      <c r="B204" s="25" t="s">
        <v>34</v>
      </c>
      <c r="C204" s="25" t="s">
        <v>80</v>
      </c>
      <c r="D204" s="25" t="s">
        <v>28</v>
      </c>
      <c r="E204" s="25">
        <v>49</v>
      </c>
      <c r="F204" s="25" t="s">
        <v>29</v>
      </c>
      <c r="G204" s="25" t="s">
        <v>21</v>
      </c>
      <c r="H204" s="26">
        <v>45032</v>
      </c>
      <c r="I204" s="25">
        <v>56773</v>
      </c>
      <c r="J204" s="25" t="s">
        <v>81</v>
      </c>
      <c r="K204" s="25" t="s">
        <v>470</v>
      </c>
      <c r="L204" s="27" t="s">
        <v>24</v>
      </c>
      <c r="M204" s="28" t="str">
        <f>_xlfn.XLOOKUP(F204,Department!$A$2:$A$6,Department!$B$2:$B$6)</f>
        <v>IT</v>
      </c>
      <c r="N204" s="30">
        <f>_xlfn.XLOOKUP(A204,Performance!$A$2:$A$501,Performance!$C$2:$C$501)</f>
        <v>2</v>
      </c>
      <c r="O204" s="28" cm="1">
        <f t="array" ref="O204">_xlfn.IFS(N204=5,I204*15%,N204=4,I204*10%,N204=3,I204*7%,N204&lt;3,I204*5%)</f>
        <v>2838.65</v>
      </c>
    </row>
    <row r="205" spans="1:15">
      <c r="A205" s="24" t="s">
        <v>471</v>
      </c>
      <c r="B205" s="25" t="s">
        <v>34</v>
      </c>
      <c r="C205" s="25" t="s">
        <v>27</v>
      </c>
      <c r="D205" s="25" t="s">
        <v>19</v>
      </c>
      <c r="E205" s="25">
        <v>25</v>
      </c>
      <c r="F205" s="25" t="s">
        <v>20</v>
      </c>
      <c r="G205" s="25" t="s">
        <v>44</v>
      </c>
      <c r="H205" s="26">
        <v>43515</v>
      </c>
      <c r="I205" s="25">
        <v>84117</v>
      </c>
      <c r="J205" s="25" t="s">
        <v>81</v>
      </c>
      <c r="K205" s="25" t="s">
        <v>472</v>
      </c>
      <c r="L205" s="27" t="s">
        <v>39</v>
      </c>
      <c r="M205" s="28" t="str">
        <f>_xlfn.XLOOKUP(F205,Department!$A$2:$A$6,Department!$B$2:$B$6)</f>
        <v>HR</v>
      </c>
      <c r="N205" s="30">
        <f>_xlfn.XLOOKUP(A205,Performance!$A$2:$A$501,Performance!$C$2:$C$501)</f>
        <v>4</v>
      </c>
      <c r="O205" s="28" cm="1">
        <f t="array" ref="O205">_xlfn.IFS(N205=5,I205*15%,N205=4,I205*10%,N205=3,I205*7%,N205&lt;3,I205*5%)</f>
        <v>8411.7000000000007</v>
      </c>
    </row>
    <row r="206" spans="1:15">
      <c r="A206" s="24" t="s">
        <v>473</v>
      </c>
      <c r="B206" s="25" t="s">
        <v>61</v>
      </c>
      <c r="C206" s="25" t="s">
        <v>49</v>
      </c>
      <c r="D206" s="25" t="s">
        <v>28</v>
      </c>
      <c r="E206" s="25">
        <v>41</v>
      </c>
      <c r="F206" s="25" t="s">
        <v>20</v>
      </c>
      <c r="G206" s="25" t="s">
        <v>30</v>
      </c>
      <c r="H206" s="26">
        <v>43405</v>
      </c>
      <c r="I206" s="25">
        <v>111999</v>
      </c>
      <c r="J206" s="25" t="s">
        <v>81</v>
      </c>
      <c r="K206" s="25" t="s">
        <v>474</v>
      </c>
      <c r="L206" s="27" t="s">
        <v>39</v>
      </c>
      <c r="M206" s="28" t="str">
        <f>_xlfn.XLOOKUP(F206,Department!$A$2:$A$6,Department!$B$2:$B$6)</f>
        <v>HR</v>
      </c>
      <c r="N206" s="30">
        <f>_xlfn.XLOOKUP(A206,Performance!$A$2:$A$501,Performance!$C$2:$C$501)</f>
        <v>4</v>
      </c>
      <c r="O206" s="28" cm="1">
        <f t="array" ref="O206">_xlfn.IFS(N206=5,I206*15%,N206=4,I206*10%,N206=3,I206*7%,N206&lt;3,I206*5%)</f>
        <v>11199.900000000001</v>
      </c>
    </row>
    <row r="207" spans="1:15">
      <c r="A207" s="24" t="s">
        <v>475</v>
      </c>
      <c r="B207" s="25" t="s">
        <v>17</v>
      </c>
      <c r="C207" s="25" t="s">
        <v>49</v>
      </c>
      <c r="D207" s="25" t="s">
        <v>19</v>
      </c>
      <c r="E207" s="25">
        <v>23</v>
      </c>
      <c r="F207" s="25" t="s">
        <v>20</v>
      </c>
      <c r="G207" s="25" t="s">
        <v>44</v>
      </c>
      <c r="H207" s="26">
        <v>43547</v>
      </c>
      <c r="I207" s="25">
        <v>93395</v>
      </c>
      <c r="J207" s="25" t="s">
        <v>67</v>
      </c>
      <c r="K207" s="25" t="s">
        <v>476</v>
      </c>
      <c r="L207" s="27" t="s">
        <v>24</v>
      </c>
      <c r="M207" s="28" t="str">
        <f>_xlfn.XLOOKUP(F207,Department!$A$2:$A$6,Department!$B$2:$B$6)</f>
        <v>HR</v>
      </c>
      <c r="N207" s="30">
        <f>_xlfn.XLOOKUP(A207,Performance!$A$2:$A$501,Performance!$C$2:$C$501)</f>
        <v>1</v>
      </c>
      <c r="O207" s="28" cm="1">
        <f t="array" ref="O207">_xlfn.IFS(N207=5,I207*15%,N207=4,I207*10%,N207=3,I207*7%,N207&lt;3,I207*5%)</f>
        <v>4669.75</v>
      </c>
    </row>
    <row r="208" spans="1:15">
      <c r="A208" s="24" t="s">
        <v>477</v>
      </c>
      <c r="B208" s="25" t="s">
        <v>17</v>
      </c>
      <c r="C208" s="25" t="s">
        <v>18</v>
      </c>
      <c r="D208" s="25" t="s">
        <v>19</v>
      </c>
      <c r="E208" s="25">
        <v>42</v>
      </c>
      <c r="F208" s="25" t="s">
        <v>35</v>
      </c>
      <c r="G208" s="25" t="s">
        <v>102</v>
      </c>
      <c r="H208" s="26">
        <v>44036</v>
      </c>
      <c r="I208" s="25">
        <v>91944</v>
      </c>
      <c r="J208" s="25" t="s">
        <v>62</v>
      </c>
      <c r="K208" s="25" t="s">
        <v>478</v>
      </c>
      <c r="L208" s="27" t="s">
        <v>24</v>
      </c>
      <c r="M208" s="28" t="str">
        <f>_xlfn.XLOOKUP(F208,Department!$A$2:$A$6,Department!$B$2:$B$6)</f>
        <v>Sales</v>
      </c>
      <c r="N208" s="30">
        <f>_xlfn.XLOOKUP(A208,Performance!$A$2:$A$501,Performance!$C$2:$C$501)</f>
        <v>3</v>
      </c>
      <c r="O208" s="28" cm="1">
        <f t="array" ref="O208">_xlfn.IFS(N208=5,I208*15%,N208=4,I208*10%,N208=3,I208*7%,N208&lt;3,I208*5%)</f>
        <v>6436.0800000000008</v>
      </c>
    </row>
    <row r="209" spans="1:15">
      <c r="A209" s="24" t="s">
        <v>479</v>
      </c>
      <c r="B209" s="25" t="s">
        <v>74</v>
      </c>
      <c r="C209" s="25" t="s">
        <v>66</v>
      </c>
      <c r="D209" s="25" t="s">
        <v>28</v>
      </c>
      <c r="E209" s="25">
        <v>33</v>
      </c>
      <c r="F209" s="25" t="s">
        <v>43</v>
      </c>
      <c r="G209" s="25" t="s">
        <v>44</v>
      </c>
      <c r="H209" s="26">
        <v>45224</v>
      </c>
      <c r="I209" s="25">
        <v>115357</v>
      </c>
      <c r="J209" s="25" t="s">
        <v>22</v>
      </c>
      <c r="K209" s="25" t="s">
        <v>480</v>
      </c>
      <c r="L209" s="27" t="s">
        <v>39</v>
      </c>
      <c r="M209" s="28" t="str">
        <f>_xlfn.XLOOKUP(F209,Department!$A$2:$A$6,Department!$B$2:$B$6)</f>
        <v>Marketing</v>
      </c>
      <c r="N209" s="30">
        <f>_xlfn.XLOOKUP(A209,Performance!$A$2:$A$501,Performance!$C$2:$C$501)</f>
        <v>3</v>
      </c>
      <c r="O209" s="28" cm="1">
        <f t="array" ref="O209">_xlfn.IFS(N209=5,I209*15%,N209=4,I209*10%,N209=3,I209*7%,N209&lt;3,I209*5%)</f>
        <v>8074.9900000000007</v>
      </c>
    </row>
    <row r="210" spans="1:15">
      <c r="A210" s="24" t="s">
        <v>481</v>
      </c>
      <c r="B210" s="25" t="s">
        <v>34</v>
      </c>
      <c r="C210" s="25" t="s">
        <v>18</v>
      </c>
      <c r="D210" s="25" t="s">
        <v>19</v>
      </c>
      <c r="E210" s="25">
        <v>40</v>
      </c>
      <c r="F210" s="25" t="s">
        <v>20</v>
      </c>
      <c r="G210" s="25" t="s">
        <v>102</v>
      </c>
      <c r="H210" s="26">
        <v>43247</v>
      </c>
      <c r="I210" s="25">
        <v>103876</v>
      </c>
      <c r="J210" s="25" t="s">
        <v>81</v>
      </c>
      <c r="K210" s="25" t="s">
        <v>482</v>
      </c>
      <c r="L210" s="27" t="s">
        <v>39</v>
      </c>
      <c r="M210" s="28" t="str">
        <f>_xlfn.XLOOKUP(F210,Department!$A$2:$A$6,Department!$B$2:$B$6)</f>
        <v>HR</v>
      </c>
      <c r="N210" s="30">
        <f>_xlfn.XLOOKUP(A210,Performance!$A$2:$A$501,Performance!$C$2:$C$501)</f>
        <v>2</v>
      </c>
      <c r="O210" s="28" cm="1">
        <f t="array" ref="O210">_xlfn.IFS(N210=5,I210*15%,N210=4,I210*10%,N210=3,I210*7%,N210&lt;3,I210*5%)</f>
        <v>5193.8</v>
      </c>
    </row>
    <row r="211" spans="1:15">
      <c r="A211" s="24" t="s">
        <v>483</v>
      </c>
      <c r="B211" s="25" t="s">
        <v>42</v>
      </c>
      <c r="C211" s="25" t="s">
        <v>141</v>
      </c>
      <c r="D211" s="25" t="s">
        <v>19</v>
      </c>
      <c r="E211" s="25">
        <v>42</v>
      </c>
      <c r="F211" s="25" t="s">
        <v>20</v>
      </c>
      <c r="G211" s="25" t="s">
        <v>102</v>
      </c>
      <c r="H211" s="26">
        <v>44642</v>
      </c>
      <c r="I211" s="25">
        <v>106174</v>
      </c>
      <c r="J211" s="25" t="s">
        <v>67</v>
      </c>
      <c r="K211" s="25" t="s">
        <v>484</v>
      </c>
      <c r="L211" s="27" t="s">
        <v>24</v>
      </c>
      <c r="M211" s="28" t="str">
        <f>_xlfn.XLOOKUP(F211,Department!$A$2:$A$6,Department!$B$2:$B$6)</f>
        <v>HR</v>
      </c>
      <c r="N211" s="30">
        <f>_xlfn.XLOOKUP(A211,Performance!$A$2:$A$501,Performance!$C$2:$C$501)</f>
        <v>5</v>
      </c>
      <c r="O211" s="28" cm="1">
        <f t="array" ref="O211">_xlfn.IFS(N211=5,I211*15%,N211=4,I211*10%,N211=3,I211*7%,N211&lt;3,I211*5%)</f>
        <v>15926.099999999999</v>
      </c>
    </row>
    <row r="212" spans="1:15">
      <c r="A212" s="24" t="s">
        <v>485</v>
      </c>
      <c r="B212" s="25" t="s">
        <v>92</v>
      </c>
      <c r="C212" s="25" t="s">
        <v>49</v>
      </c>
      <c r="D212" s="25" t="s">
        <v>19</v>
      </c>
      <c r="E212" s="25">
        <v>29</v>
      </c>
      <c r="F212" s="25" t="s">
        <v>35</v>
      </c>
      <c r="G212" s="25" t="s">
        <v>44</v>
      </c>
      <c r="H212" s="26">
        <v>43345</v>
      </c>
      <c r="I212" s="25">
        <v>80612</v>
      </c>
      <c r="J212" s="25" t="s">
        <v>67</v>
      </c>
      <c r="K212" s="25" t="s">
        <v>486</v>
      </c>
      <c r="L212" s="27" t="s">
        <v>24</v>
      </c>
      <c r="M212" s="28" t="str">
        <f>_xlfn.XLOOKUP(F212,Department!$A$2:$A$6,Department!$B$2:$B$6)</f>
        <v>Sales</v>
      </c>
      <c r="N212" s="30">
        <f>_xlfn.XLOOKUP(A212,Performance!$A$2:$A$501,Performance!$C$2:$C$501)</f>
        <v>1</v>
      </c>
      <c r="O212" s="28" cm="1">
        <f t="array" ref="O212">_xlfn.IFS(N212=5,I212*15%,N212=4,I212*10%,N212=3,I212*7%,N212&lt;3,I212*5%)</f>
        <v>4030.6000000000004</v>
      </c>
    </row>
    <row r="213" spans="1:15">
      <c r="A213" s="24" t="s">
        <v>487</v>
      </c>
      <c r="B213" s="25" t="s">
        <v>126</v>
      </c>
      <c r="C213" s="25" t="s">
        <v>27</v>
      </c>
      <c r="D213" s="25" t="s">
        <v>19</v>
      </c>
      <c r="E213" s="25">
        <v>55</v>
      </c>
      <c r="F213" s="25" t="s">
        <v>35</v>
      </c>
      <c r="G213" s="25" t="s">
        <v>44</v>
      </c>
      <c r="H213" s="26">
        <v>44342</v>
      </c>
      <c r="I213" s="25">
        <v>103478</v>
      </c>
      <c r="J213" s="25" t="s">
        <v>67</v>
      </c>
      <c r="K213" s="25" t="s">
        <v>488</v>
      </c>
      <c r="L213" s="27" t="s">
        <v>24</v>
      </c>
      <c r="M213" s="28" t="str">
        <f>_xlfn.XLOOKUP(F213,Department!$A$2:$A$6,Department!$B$2:$B$6)</f>
        <v>Sales</v>
      </c>
      <c r="N213" s="30">
        <f>_xlfn.XLOOKUP(A213,Performance!$A$2:$A$501,Performance!$C$2:$C$501)</f>
        <v>4</v>
      </c>
      <c r="O213" s="28" cm="1">
        <f t="array" ref="O213">_xlfn.IFS(N213=5,I213*15%,N213=4,I213*10%,N213=3,I213*7%,N213&lt;3,I213*5%)</f>
        <v>10347.800000000001</v>
      </c>
    </row>
    <row r="214" spans="1:15">
      <c r="A214" s="24" t="s">
        <v>489</v>
      </c>
      <c r="B214" s="25" t="s">
        <v>34</v>
      </c>
      <c r="C214" s="25" t="s">
        <v>80</v>
      </c>
      <c r="D214" s="25" t="s">
        <v>19</v>
      </c>
      <c r="E214" s="25">
        <v>59</v>
      </c>
      <c r="F214" s="25" t="s">
        <v>20</v>
      </c>
      <c r="G214" s="25" t="s">
        <v>36</v>
      </c>
      <c r="H214" s="26">
        <v>44130</v>
      </c>
      <c r="I214" s="25">
        <v>38205</v>
      </c>
      <c r="J214" s="25" t="s">
        <v>81</v>
      </c>
      <c r="K214" s="25" t="s">
        <v>490</v>
      </c>
      <c r="L214" s="27" t="s">
        <v>39</v>
      </c>
      <c r="M214" s="28" t="str">
        <f>_xlfn.XLOOKUP(F214,Department!$A$2:$A$6,Department!$B$2:$B$6)</f>
        <v>HR</v>
      </c>
      <c r="N214" s="30">
        <f>_xlfn.XLOOKUP(A214,Performance!$A$2:$A$501,Performance!$C$2:$C$501)</f>
        <v>3</v>
      </c>
      <c r="O214" s="28" cm="1">
        <f t="array" ref="O214">_xlfn.IFS(N214=5,I214*15%,N214=4,I214*10%,N214=3,I214*7%,N214&lt;3,I214*5%)</f>
        <v>2674.3500000000004</v>
      </c>
    </row>
    <row r="215" spans="1:15">
      <c r="A215" s="24" t="s">
        <v>491</v>
      </c>
      <c r="B215" s="25" t="s">
        <v>53</v>
      </c>
      <c r="C215" s="25" t="s">
        <v>117</v>
      </c>
      <c r="D215" s="25" t="s">
        <v>19</v>
      </c>
      <c r="E215" s="25">
        <v>46</v>
      </c>
      <c r="F215" s="25" t="s">
        <v>29</v>
      </c>
      <c r="G215" s="25" t="s">
        <v>102</v>
      </c>
      <c r="H215" s="26">
        <v>45273</v>
      </c>
      <c r="I215" s="25">
        <v>53141</v>
      </c>
      <c r="J215" s="25" t="s">
        <v>37</v>
      </c>
      <c r="K215" s="25" t="s">
        <v>492</v>
      </c>
      <c r="L215" s="27" t="s">
        <v>39</v>
      </c>
      <c r="M215" s="28" t="str">
        <f>_xlfn.XLOOKUP(F215,Department!$A$2:$A$6,Department!$B$2:$B$6)</f>
        <v>IT</v>
      </c>
      <c r="N215" s="30">
        <f>_xlfn.XLOOKUP(A215,Performance!$A$2:$A$501,Performance!$C$2:$C$501)</f>
        <v>3</v>
      </c>
      <c r="O215" s="28" cm="1">
        <f t="array" ref="O215">_xlfn.IFS(N215=5,I215*15%,N215=4,I215*10%,N215=3,I215*7%,N215&lt;3,I215*5%)</f>
        <v>3719.8700000000003</v>
      </c>
    </row>
    <row r="216" spans="1:15">
      <c r="A216" s="24" t="s">
        <v>493</v>
      </c>
      <c r="B216" s="25" t="s">
        <v>42</v>
      </c>
      <c r="C216" s="25" t="s">
        <v>66</v>
      </c>
      <c r="D216" s="25" t="s">
        <v>28</v>
      </c>
      <c r="E216" s="25">
        <v>27</v>
      </c>
      <c r="F216" s="25" t="s">
        <v>29</v>
      </c>
      <c r="G216" s="25" t="s">
        <v>102</v>
      </c>
      <c r="H216" s="26">
        <v>44396</v>
      </c>
      <c r="I216" s="25">
        <v>70180</v>
      </c>
      <c r="J216" s="25" t="s">
        <v>37</v>
      </c>
      <c r="K216" s="25" t="s">
        <v>494</v>
      </c>
      <c r="L216" s="27" t="s">
        <v>24</v>
      </c>
      <c r="M216" s="28" t="str">
        <f>_xlfn.XLOOKUP(F216,Department!$A$2:$A$6,Department!$B$2:$B$6)</f>
        <v>IT</v>
      </c>
      <c r="N216" s="30">
        <f>_xlfn.XLOOKUP(A216,Performance!$A$2:$A$501,Performance!$C$2:$C$501)</f>
        <v>5</v>
      </c>
      <c r="O216" s="28" cm="1">
        <f t="array" ref="O216">_xlfn.IFS(N216=5,I216*15%,N216=4,I216*10%,N216=3,I216*7%,N216&lt;3,I216*5%)</f>
        <v>10527</v>
      </c>
    </row>
    <row r="217" spans="1:15">
      <c r="A217" s="24" t="s">
        <v>495</v>
      </c>
      <c r="B217" s="25" t="s">
        <v>42</v>
      </c>
      <c r="C217" s="25" t="s">
        <v>49</v>
      </c>
      <c r="D217" s="25" t="s">
        <v>19</v>
      </c>
      <c r="E217" s="25">
        <v>29</v>
      </c>
      <c r="F217" s="25" t="s">
        <v>54</v>
      </c>
      <c r="G217" s="25" t="s">
        <v>30</v>
      </c>
      <c r="H217" s="26">
        <v>44878</v>
      </c>
      <c r="I217" s="25">
        <v>48946</v>
      </c>
      <c r="J217" s="25" t="s">
        <v>62</v>
      </c>
      <c r="K217" s="25" t="s">
        <v>496</v>
      </c>
      <c r="L217" s="27" t="s">
        <v>39</v>
      </c>
      <c r="M217" s="28" t="str">
        <f>_xlfn.XLOOKUP(F217,Department!$A$2:$A$6,Department!$B$2:$B$6)</f>
        <v>Finance</v>
      </c>
      <c r="N217" s="30">
        <f>_xlfn.XLOOKUP(A217,Performance!$A$2:$A$501,Performance!$C$2:$C$501)</f>
        <v>3</v>
      </c>
      <c r="O217" s="28" cm="1">
        <f t="array" ref="O217">_xlfn.IFS(N217=5,I217*15%,N217=4,I217*10%,N217=3,I217*7%,N217&lt;3,I217*5%)</f>
        <v>3426.2200000000003</v>
      </c>
    </row>
    <row r="218" spans="1:15">
      <c r="A218" s="24" t="s">
        <v>497</v>
      </c>
      <c r="B218" s="25" t="s">
        <v>92</v>
      </c>
      <c r="C218" s="25" t="s">
        <v>80</v>
      </c>
      <c r="D218" s="25" t="s">
        <v>28</v>
      </c>
      <c r="E218" s="25">
        <v>38</v>
      </c>
      <c r="F218" s="25" t="s">
        <v>35</v>
      </c>
      <c r="G218" s="25" t="s">
        <v>36</v>
      </c>
      <c r="H218" s="26">
        <v>43116</v>
      </c>
      <c r="I218" s="25">
        <v>107342</v>
      </c>
      <c r="J218" s="25" t="s">
        <v>81</v>
      </c>
      <c r="K218" s="25" t="s">
        <v>498</v>
      </c>
      <c r="L218" s="27" t="s">
        <v>24</v>
      </c>
      <c r="M218" s="28" t="str">
        <f>_xlfn.XLOOKUP(F218,Department!$A$2:$A$6,Department!$B$2:$B$6)</f>
        <v>Sales</v>
      </c>
      <c r="N218" s="30">
        <f>_xlfn.XLOOKUP(A218,Performance!$A$2:$A$501,Performance!$C$2:$C$501)</f>
        <v>1</v>
      </c>
      <c r="O218" s="28" cm="1">
        <f t="array" ref="O218">_xlfn.IFS(N218=5,I218*15%,N218=4,I218*10%,N218=3,I218*7%,N218&lt;3,I218*5%)</f>
        <v>5367.1</v>
      </c>
    </row>
    <row r="219" spans="1:15">
      <c r="A219" s="24" t="s">
        <v>499</v>
      </c>
      <c r="B219" s="25" t="s">
        <v>34</v>
      </c>
      <c r="C219" s="25" t="s">
        <v>117</v>
      </c>
      <c r="D219" s="25" t="s">
        <v>28</v>
      </c>
      <c r="E219" s="25">
        <v>58</v>
      </c>
      <c r="F219" s="25" t="s">
        <v>35</v>
      </c>
      <c r="G219" s="25" t="s">
        <v>102</v>
      </c>
      <c r="H219" s="26">
        <v>43654</v>
      </c>
      <c r="I219" s="25">
        <v>45973</v>
      </c>
      <c r="J219" s="25" t="s">
        <v>67</v>
      </c>
      <c r="K219" s="25" t="s">
        <v>500</v>
      </c>
      <c r="L219" s="27" t="s">
        <v>39</v>
      </c>
      <c r="M219" s="28" t="str">
        <f>_xlfn.XLOOKUP(F219,Department!$A$2:$A$6,Department!$B$2:$B$6)</f>
        <v>Sales</v>
      </c>
      <c r="N219" s="30">
        <f>_xlfn.XLOOKUP(A219,Performance!$A$2:$A$501,Performance!$C$2:$C$501)</f>
        <v>3</v>
      </c>
      <c r="O219" s="28" cm="1">
        <f t="array" ref="O219">_xlfn.IFS(N219=5,I219*15%,N219=4,I219*10%,N219=3,I219*7%,N219&lt;3,I219*5%)</f>
        <v>3218.11</v>
      </c>
    </row>
    <row r="220" spans="1:15">
      <c r="A220" s="24" t="s">
        <v>501</v>
      </c>
      <c r="B220" s="25" t="s">
        <v>42</v>
      </c>
      <c r="C220" s="25" t="s">
        <v>84</v>
      </c>
      <c r="D220" s="25" t="s">
        <v>19</v>
      </c>
      <c r="E220" s="25">
        <v>26</v>
      </c>
      <c r="F220" s="25" t="s">
        <v>43</v>
      </c>
      <c r="G220" s="25" t="s">
        <v>30</v>
      </c>
      <c r="H220" s="26">
        <v>43259</v>
      </c>
      <c r="I220" s="25">
        <v>49800</v>
      </c>
      <c r="J220" s="25" t="s">
        <v>62</v>
      </c>
      <c r="K220" s="25" t="s">
        <v>502</v>
      </c>
      <c r="L220" s="27" t="s">
        <v>39</v>
      </c>
      <c r="M220" s="28" t="str">
        <f>_xlfn.XLOOKUP(F220,Department!$A$2:$A$6,Department!$B$2:$B$6)</f>
        <v>Marketing</v>
      </c>
      <c r="N220" s="30">
        <f>_xlfn.XLOOKUP(A220,Performance!$A$2:$A$501,Performance!$C$2:$C$501)</f>
        <v>5</v>
      </c>
      <c r="O220" s="28" cm="1">
        <f t="array" ref="O220">_xlfn.IFS(N220=5,I220*15%,N220=4,I220*10%,N220=3,I220*7%,N220&lt;3,I220*5%)</f>
        <v>7470</v>
      </c>
    </row>
    <row r="221" spans="1:15">
      <c r="A221" s="24" t="s">
        <v>503</v>
      </c>
      <c r="B221" s="25" t="s">
        <v>126</v>
      </c>
      <c r="C221" s="25" t="s">
        <v>27</v>
      </c>
      <c r="D221" s="25" t="s">
        <v>28</v>
      </c>
      <c r="E221" s="25">
        <v>25</v>
      </c>
      <c r="F221" s="25" t="s">
        <v>54</v>
      </c>
      <c r="G221" s="25" t="s">
        <v>36</v>
      </c>
      <c r="H221" s="26">
        <v>43301</v>
      </c>
      <c r="I221" s="25">
        <v>39237</v>
      </c>
      <c r="J221" s="25" t="s">
        <v>37</v>
      </c>
      <c r="K221" s="25" t="s">
        <v>504</v>
      </c>
      <c r="L221" s="27" t="s">
        <v>39</v>
      </c>
      <c r="M221" s="28" t="str">
        <f>_xlfn.XLOOKUP(F221,Department!$A$2:$A$6,Department!$B$2:$B$6)</f>
        <v>Finance</v>
      </c>
      <c r="N221" s="30">
        <f>_xlfn.XLOOKUP(A221,Performance!$A$2:$A$501,Performance!$C$2:$C$501)</f>
        <v>2</v>
      </c>
      <c r="O221" s="28" cm="1">
        <f t="array" ref="O221">_xlfn.IFS(N221=5,I221*15%,N221=4,I221*10%,N221=3,I221*7%,N221&lt;3,I221*5%)</f>
        <v>1961.8500000000001</v>
      </c>
    </row>
    <row r="222" spans="1:15">
      <c r="A222" s="24" t="s">
        <v>505</v>
      </c>
      <c r="B222" s="25" t="s">
        <v>17</v>
      </c>
      <c r="C222" s="25" t="s">
        <v>89</v>
      </c>
      <c r="D222" s="25" t="s">
        <v>19</v>
      </c>
      <c r="E222" s="25">
        <v>54</v>
      </c>
      <c r="F222" s="25" t="s">
        <v>43</v>
      </c>
      <c r="G222" s="25" t="s">
        <v>36</v>
      </c>
      <c r="H222" s="26">
        <v>44828</v>
      </c>
      <c r="I222" s="25">
        <v>69777</v>
      </c>
      <c r="J222" s="25" t="s">
        <v>22</v>
      </c>
      <c r="K222" s="25" t="s">
        <v>506</v>
      </c>
      <c r="L222" s="27" t="s">
        <v>24</v>
      </c>
      <c r="M222" s="28" t="str">
        <f>_xlfn.XLOOKUP(F222,Department!$A$2:$A$6,Department!$B$2:$B$6)</f>
        <v>Marketing</v>
      </c>
      <c r="N222" s="30">
        <f>_xlfn.XLOOKUP(A222,Performance!$A$2:$A$501,Performance!$C$2:$C$501)</f>
        <v>5</v>
      </c>
      <c r="O222" s="28" cm="1">
        <f t="array" ref="O222">_xlfn.IFS(N222=5,I222*15%,N222=4,I222*10%,N222=3,I222*7%,N222&lt;3,I222*5%)</f>
        <v>10466.549999999999</v>
      </c>
    </row>
    <row r="223" spans="1:15">
      <c r="A223" s="24" t="s">
        <v>507</v>
      </c>
      <c r="B223" s="25" t="s">
        <v>17</v>
      </c>
      <c r="C223" s="25" t="s">
        <v>84</v>
      </c>
      <c r="D223" s="25" t="s">
        <v>28</v>
      </c>
      <c r="E223" s="25">
        <v>24</v>
      </c>
      <c r="F223" s="25" t="s">
        <v>54</v>
      </c>
      <c r="G223" s="25" t="s">
        <v>30</v>
      </c>
      <c r="H223" s="26">
        <v>44783</v>
      </c>
      <c r="I223" s="25">
        <v>45012</v>
      </c>
      <c r="J223" s="25" t="s">
        <v>37</v>
      </c>
      <c r="K223" s="25" t="s">
        <v>508</v>
      </c>
      <c r="L223" s="27" t="s">
        <v>39</v>
      </c>
      <c r="M223" s="28" t="str">
        <f>_xlfn.XLOOKUP(F223,Department!$A$2:$A$6,Department!$B$2:$B$6)</f>
        <v>Finance</v>
      </c>
      <c r="N223" s="30">
        <f>_xlfn.XLOOKUP(A223,Performance!$A$2:$A$501,Performance!$C$2:$C$501)</f>
        <v>5</v>
      </c>
      <c r="O223" s="28" cm="1">
        <f t="array" ref="O223">_xlfn.IFS(N223=5,I223*15%,N223=4,I223*10%,N223=3,I223*7%,N223&lt;3,I223*5%)</f>
        <v>6751.8</v>
      </c>
    </row>
    <row r="224" spans="1:15">
      <c r="A224" s="24" t="s">
        <v>509</v>
      </c>
      <c r="B224" s="25" t="s">
        <v>61</v>
      </c>
      <c r="C224" s="25" t="s">
        <v>49</v>
      </c>
      <c r="D224" s="25" t="s">
        <v>28</v>
      </c>
      <c r="E224" s="25">
        <v>56</v>
      </c>
      <c r="F224" s="25" t="s">
        <v>54</v>
      </c>
      <c r="G224" s="25" t="s">
        <v>30</v>
      </c>
      <c r="H224" s="26">
        <v>43220</v>
      </c>
      <c r="I224" s="25">
        <v>99157</v>
      </c>
      <c r="J224" s="25" t="s">
        <v>62</v>
      </c>
      <c r="K224" s="25" t="s">
        <v>510</v>
      </c>
      <c r="L224" s="27" t="s">
        <v>39</v>
      </c>
      <c r="M224" s="28" t="str">
        <f>_xlfn.XLOOKUP(F224,Department!$A$2:$A$6,Department!$B$2:$B$6)</f>
        <v>Finance</v>
      </c>
      <c r="N224" s="30">
        <f>_xlfn.XLOOKUP(A224,Performance!$A$2:$A$501,Performance!$C$2:$C$501)</f>
        <v>5</v>
      </c>
      <c r="O224" s="28" cm="1">
        <f t="array" ref="O224">_xlfn.IFS(N224=5,I224*15%,N224=4,I224*10%,N224=3,I224*7%,N224&lt;3,I224*5%)</f>
        <v>14873.55</v>
      </c>
    </row>
    <row r="225" spans="1:15">
      <c r="A225" s="24" t="s">
        <v>511</v>
      </c>
      <c r="B225" s="25" t="s">
        <v>61</v>
      </c>
      <c r="C225" s="25" t="s">
        <v>141</v>
      </c>
      <c r="D225" s="25" t="s">
        <v>28</v>
      </c>
      <c r="E225" s="25">
        <v>42</v>
      </c>
      <c r="F225" s="25" t="s">
        <v>43</v>
      </c>
      <c r="G225" s="25" t="s">
        <v>44</v>
      </c>
      <c r="H225" s="26">
        <v>44012</v>
      </c>
      <c r="I225" s="25">
        <v>81470</v>
      </c>
      <c r="J225" s="25" t="s">
        <v>37</v>
      </c>
      <c r="K225" s="25" t="s">
        <v>512</v>
      </c>
      <c r="L225" s="27" t="s">
        <v>24</v>
      </c>
      <c r="M225" s="28" t="str">
        <f>_xlfn.XLOOKUP(F225,Department!$A$2:$A$6,Department!$B$2:$B$6)</f>
        <v>Marketing</v>
      </c>
      <c r="N225" s="30">
        <f>_xlfn.XLOOKUP(A225,Performance!$A$2:$A$501,Performance!$C$2:$C$501)</f>
        <v>1</v>
      </c>
      <c r="O225" s="28" cm="1">
        <f t="array" ref="O225">_xlfn.IFS(N225=5,I225*15%,N225=4,I225*10%,N225=3,I225*7%,N225&lt;3,I225*5%)</f>
        <v>4073.5</v>
      </c>
    </row>
    <row r="226" spans="1:15">
      <c r="A226" s="24" t="s">
        <v>513</v>
      </c>
      <c r="B226" s="25" t="s">
        <v>42</v>
      </c>
      <c r="C226" s="25" t="s">
        <v>84</v>
      </c>
      <c r="D226" s="25" t="s">
        <v>28</v>
      </c>
      <c r="E226" s="25">
        <v>23</v>
      </c>
      <c r="F226" s="25" t="s">
        <v>35</v>
      </c>
      <c r="G226" s="25" t="s">
        <v>44</v>
      </c>
      <c r="H226" s="26">
        <v>45450</v>
      </c>
      <c r="I226" s="25">
        <v>98738</v>
      </c>
      <c r="J226" s="25" t="s">
        <v>67</v>
      </c>
      <c r="K226" s="25" t="s">
        <v>514</v>
      </c>
      <c r="L226" s="27" t="s">
        <v>39</v>
      </c>
      <c r="M226" s="28" t="str">
        <f>_xlfn.XLOOKUP(F226,Department!$A$2:$A$6,Department!$B$2:$B$6)</f>
        <v>Sales</v>
      </c>
      <c r="N226" s="30">
        <f>_xlfn.XLOOKUP(A226,Performance!$A$2:$A$501,Performance!$C$2:$C$501)</f>
        <v>5</v>
      </c>
      <c r="O226" s="28" cm="1">
        <f t="array" ref="O226">_xlfn.IFS(N226=5,I226*15%,N226=4,I226*10%,N226=3,I226*7%,N226&lt;3,I226*5%)</f>
        <v>14810.699999999999</v>
      </c>
    </row>
    <row r="227" spans="1:15">
      <c r="A227" s="24" t="s">
        <v>515</v>
      </c>
      <c r="B227" s="25" t="s">
        <v>34</v>
      </c>
      <c r="C227" s="25" t="s">
        <v>49</v>
      </c>
      <c r="D227" s="25" t="s">
        <v>19</v>
      </c>
      <c r="E227" s="25">
        <v>45</v>
      </c>
      <c r="F227" s="25" t="s">
        <v>29</v>
      </c>
      <c r="G227" s="25" t="s">
        <v>36</v>
      </c>
      <c r="H227" s="26">
        <v>44423</v>
      </c>
      <c r="I227" s="25">
        <v>69768</v>
      </c>
      <c r="J227" s="25" t="s">
        <v>22</v>
      </c>
      <c r="K227" s="25" t="s">
        <v>516</v>
      </c>
      <c r="L227" s="27" t="s">
        <v>39</v>
      </c>
      <c r="M227" s="28" t="str">
        <f>_xlfn.XLOOKUP(F227,Department!$A$2:$A$6,Department!$B$2:$B$6)</f>
        <v>IT</v>
      </c>
      <c r="N227" s="30">
        <f>_xlfn.XLOOKUP(A227,Performance!$A$2:$A$501,Performance!$C$2:$C$501)</f>
        <v>2</v>
      </c>
      <c r="O227" s="28" cm="1">
        <f t="array" ref="O227">_xlfn.IFS(N227=5,I227*15%,N227=4,I227*10%,N227=3,I227*7%,N227&lt;3,I227*5%)</f>
        <v>3488.4</v>
      </c>
    </row>
    <row r="228" spans="1:15">
      <c r="A228" s="24" t="s">
        <v>517</v>
      </c>
      <c r="B228" s="25" t="s">
        <v>92</v>
      </c>
      <c r="C228" s="25" t="s">
        <v>80</v>
      </c>
      <c r="D228" s="25" t="s">
        <v>28</v>
      </c>
      <c r="E228" s="25">
        <v>47</v>
      </c>
      <c r="F228" s="25" t="s">
        <v>43</v>
      </c>
      <c r="G228" s="25" t="s">
        <v>36</v>
      </c>
      <c r="H228" s="26">
        <v>44063</v>
      </c>
      <c r="I228" s="25">
        <v>78816</v>
      </c>
      <c r="J228" s="25" t="s">
        <v>37</v>
      </c>
      <c r="K228" s="25" t="s">
        <v>518</v>
      </c>
      <c r="L228" s="27" t="s">
        <v>39</v>
      </c>
      <c r="M228" s="28" t="str">
        <f>_xlfn.XLOOKUP(F228,Department!$A$2:$A$6,Department!$B$2:$B$6)</f>
        <v>Marketing</v>
      </c>
      <c r="N228" s="30">
        <f>_xlfn.XLOOKUP(A228,Performance!$A$2:$A$501,Performance!$C$2:$C$501)</f>
        <v>4</v>
      </c>
      <c r="O228" s="28" cm="1">
        <f t="array" ref="O228">_xlfn.IFS(N228=5,I228*15%,N228=4,I228*10%,N228=3,I228*7%,N228&lt;3,I228*5%)</f>
        <v>7881.6</v>
      </c>
    </row>
    <row r="229" spans="1:15">
      <c r="A229" s="24" t="s">
        <v>519</v>
      </c>
      <c r="B229" s="25" t="s">
        <v>126</v>
      </c>
      <c r="C229" s="25" t="s">
        <v>141</v>
      </c>
      <c r="D229" s="25" t="s">
        <v>28</v>
      </c>
      <c r="E229" s="25">
        <v>30</v>
      </c>
      <c r="F229" s="25" t="s">
        <v>35</v>
      </c>
      <c r="G229" s="25" t="s">
        <v>102</v>
      </c>
      <c r="H229" s="26">
        <v>43540</v>
      </c>
      <c r="I229" s="25">
        <v>39186</v>
      </c>
      <c r="J229" s="25" t="s">
        <v>22</v>
      </c>
      <c r="K229" s="25" t="s">
        <v>520</v>
      </c>
      <c r="L229" s="27" t="s">
        <v>24</v>
      </c>
      <c r="M229" s="28" t="str">
        <f>_xlfn.XLOOKUP(F229,Department!$A$2:$A$6,Department!$B$2:$B$6)</f>
        <v>Sales</v>
      </c>
      <c r="N229" s="30">
        <f>_xlfn.XLOOKUP(A229,Performance!$A$2:$A$501,Performance!$C$2:$C$501)</f>
        <v>5</v>
      </c>
      <c r="O229" s="28" cm="1">
        <f t="array" ref="O229">_xlfn.IFS(N229=5,I229*15%,N229=4,I229*10%,N229=3,I229*7%,N229&lt;3,I229*5%)</f>
        <v>5877.9</v>
      </c>
    </row>
    <row r="230" spans="1:15">
      <c r="A230" s="24" t="s">
        <v>521</v>
      </c>
      <c r="B230" s="25" t="s">
        <v>48</v>
      </c>
      <c r="C230" s="25" t="s">
        <v>141</v>
      </c>
      <c r="D230" s="25" t="s">
        <v>19</v>
      </c>
      <c r="E230" s="25">
        <v>57</v>
      </c>
      <c r="F230" s="25" t="s">
        <v>20</v>
      </c>
      <c r="G230" s="25" t="s">
        <v>44</v>
      </c>
      <c r="H230" s="26">
        <v>44082</v>
      </c>
      <c r="I230" s="25">
        <v>90363</v>
      </c>
      <c r="J230" s="25" t="s">
        <v>62</v>
      </c>
      <c r="K230" s="25" t="s">
        <v>522</v>
      </c>
      <c r="L230" s="27" t="s">
        <v>39</v>
      </c>
      <c r="M230" s="28" t="str">
        <f>_xlfn.XLOOKUP(F230,Department!$A$2:$A$6,Department!$B$2:$B$6)</f>
        <v>HR</v>
      </c>
      <c r="N230" s="30">
        <f>_xlfn.XLOOKUP(A230,Performance!$A$2:$A$501,Performance!$C$2:$C$501)</f>
        <v>4</v>
      </c>
      <c r="O230" s="28" cm="1">
        <f t="array" ref="O230">_xlfn.IFS(N230=5,I230*15%,N230=4,I230*10%,N230=3,I230*7%,N230&lt;3,I230*5%)</f>
        <v>9036.3000000000011</v>
      </c>
    </row>
    <row r="231" spans="1:15">
      <c r="A231" s="24" t="s">
        <v>523</v>
      </c>
      <c r="B231" s="25" t="s">
        <v>42</v>
      </c>
      <c r="C231" s="25" t="s">
        <v>80</v>
      </c>
      <c r="D231" s="25" t="s">
        <v>19</v>
      </c>
      <c r="E231" s="25">
        <v>56</v>
      </c>
      <c r="F231" s="25" t="s">
        <v>20</v>
      </c>
      <c r="G231" s="25" t="s">
        <v>30</v>
      </c>
      <c r="H231" s="26">
        <v>43282</v>
      </c>
      <c r="I231" s="25">
        <v>86374</v>
      </c>
      <c r="J231" s="25" t="s">
        <v>22</v>
      </c>
      <c r="K231" s="25" t="s">
        <v>524</v>
      </c>
      <c r="L231" s="27" t="s">
        <v>39</v>
      </c>
      <c r="M231" s="28" t="str">
        <f>_xlfn.XLOOKUP(F231,Department!$A$2:$A$6,Department!$B$2:$B$6)</f>
        <v>HR</v>
      </c>
      <c r="N231" s="30">
        <f>_xlfn.XLOOKUP(A231,Performance!$A$2:$A$501,Performance!$C$2:$C$501)</f>
        <v>5</v>
      </c>
      <c r="O231" s="28" cm="1">
        <f t="array" ref="O231">_xlfn.IFS(N231=5,I231*15%,N231=4,I231*10%,N231=3,I231*7%,N231&lt;3,I231*5%)</f>
        <v>12956.1</v>
      </c>
    </row>
    <row r="232" spans="1:15">
      <c r="A232" s="24" t="s">
        <v>525</v>
      </c>
      <c r="B232" s="25" t="s">
        <v>92</v>
      </c>
      <c r="C232" s="25" t="s">
        <v>27</v>
      </c>
      <c r="D232" s="25" t="s">
        <v>19</v>
      </c>
      <c r="E232" s="25">
        <v>28</v>
      </c>
      <c r="F232" s="25" t="s">
        <v>29</v>
      </c>
      <c r="G232" s="25" t="s">
        <v>102</v>
      </c>
      <c r="H232" s="26">
        <v>43334</v>
      </c>
      <c r="I232" s="25">
        <v>51057</v>
      </c>
      <c r="J232" s="25" t="s">
        <v>37</v>
      </c>
      <c r="K232" s="25" t="s">
        <v>526</v>
      </c>
      <c r="L232" s="27" t="s">
        <v>24</v>
      </c>
      <c r="M232" s="28" t="str">
        <f>_xlfn.XLOOKUP(F232,Department!$A$2:$A$6,Department!$B$2:$B$6)</f>
        <v>IT</v>
      </c>
      <c r="N232" s="30">
        <f>_xlfn.XLOOKUP(A232,Performance!$A$2:$A$501,Performance!$C$2:$C$501)</f>
        <v>2</v>
      </c>
      <c r="O232" s="28" cm="1">
        <f t="array" ref="O232">_xlfn.IFS(N232=5,I232*15%,N232=4,I232*10%,N232=3,I232*7%,N232&lt;3,I232*5%)</f>
        <v>2552.8500000000004</v>
      </c>
    </row>
    <row r="233" spans="1:15">
      <c r="A233" s="24" t="s">
        <v>527</v>
      </c>
      <c r="B233" s="25" t="s">
        <v>17</v>
      </c>
      <c r="C233" s="25" t="s">
        <v>84</v>
      </c>
      <c r="D233" s="25" t="s">
        <v>19</v>
      </c>
      <c r="E233" s="25">
        <v>55</v>
      </c>
      <c r="F233" s="25" t="s">
        <v>54</v>
      </c>
      <c r="G233" s="25" t="s">
        <v>21</v>
      </c>
      <c r="H233" s="26">
        <v>44521</v>
      </c>
      <c r="I233" s="25">
        <v>94146</v>
      </c>
      <c r="J233" s="25" t="s">
        <v>62</v>
      </c>
      <c r="K233" s="25" t="s">
        <v>528</v>
      </c>
      <c r="L233" s="27" t="s">
        <v>39</v>
      </c>
      <c r="M233" s="28" t="str">
        <f>_xlfn.XLOOKUP(F233,Department!$A$2:$A$6,Department!$B$2:$B$6)</f>
        <v>Finance</v>
      </c>
      <c r="N233" s="30">
        <f>_xlfn.XLOOKUP(A233,Performance!$A$2:$A$501,Performance!$C$2:$C$501)</f>
        <v>2</v>
      </c>
      <c r="O233" s="28" cm="1">
        <f t="array" ref="O233">_xlfn.IFS(N233=5,I233*15%,N233=4,I233*10%,N233=3,I233*7%,N233&lt;3,I233*5%)</f>
        <v>4707.3</v>
      </c>
    </row>
    <row r="234" spans="1:15">
      <c r="A234" s="24" t="s">
        <v>529</v>
      </c>
      <c r="B234" s="25" t="s">
        <v>42</v>
      </c>
      <c r="C234" s="25" t="s">
        <v>18</v>
      </c>
      <c r="D234" s="25" t="s">
        <v>28</v>
      </c>
      <c r="E234" s="25">
        <v>33</v>
      </c>
      <c r="F234" s="25" t="s">
        <v>54</v>
      </c>
      <c r="G234" s="25" t="s">
        <v>102</v>
      </c>
      <c r="H234" s="26">
        <v>45289</v>
      </c>
      <c r="I234" s="25">
        <v>102836</v>
      </c>
      <c r="J234" s="25" t="s">
        <v>62</v>
      </c>
      <c r="K234" s="25" t="s">
        <v>530</v>
      </c>
      <c r="L234" s="27" t="s">
        <v>24</v>
      </c>
      <c r="M234" s="28" t="str">
        <f>_xlfn.XLOOKUP(F234,Department!$A$2:$A$6,Department!$B$2:$B$6)</f>
        <v>Finance</v>
      </c>
      <c r="N234" s="30">
        <f>_xlfn.XLOOKUP(A234,Performance!$A$2:$A$501,Performance!$C$2:$C$501)</f>
        <v>2</v>
      </c>
      <c r="O234" s="28" cm="1">
        <f t="array" ref="O234">_xlfn.IFS(N234=5,I234*15%,N234=4,I234*10%,N234=3,I234*7%,N234&lt;3,I234*5%)</f>
        <v>5141.8</v>
      </c>
    </row>
    <row r="235" spans="1:15">
      <c r="A235" s="24" t="s">
        <v>531</v>
      </c>
      <c r="B235" s="25" t="s">
        <v>92</v>
      </c>
      <c r="C235" s="25" t="s">
        <v>27</v>
      </c>
      <c r="D235" s="25" t="s">
        <v>28</v>
      </c>
      <c r="E235" s="25">
        <v>28</v>
      </c>
      <c r="F235" s="25" t="s">
        <v>54</v>
      </c>
      <c r="G235" s="25" t="s">
        <v>30</v>
      </c>
      <c r="H235" s="26">
        <v>44213</v>
      </c>
      <c r="I235" s="25">
        <v>56052</v>
      </c>
      <c r="J235" s="25" t="s">
        <v>67</v>
      </c>
      <c r="K235" s="25" t="s">
        <v>532</v>
      </c>
      <c r="L235" s="27" t="s">
        <v>39</v>
      </c>
      <c r="M235" s="28" t="str">
        <f>_xlfn.XLOOKUP(F235,Department!$A$2:$A$6,Department!$B$2:$B$6)</f>
        <v>Finance</v>
      </c>
      <c r="N235" s="30">
        <f>_xlfn.XLOOKUP(A235,Performance!$A$2:$A$501,Performance!$C$2:$C$501)</f>
        <v>4</v>
      </c>
      <c r="O235" s="28" cm="1">
        <f t="array" ref="O235">_xlfn.IFS(N235=5,I235*15%,N235=4,I235*10%,N235=3,I235*7%,N235&lt;3,I235*5%)</f>
        <v>5605.2000000000007</v>
      </c>
    </row>
    <row r="236" spans="1:15">
      <c r="A236" s="24" t="s">
        <v>533</v>
      </c>
      <c r="B236" s="25" t="s">
        <v>48</v>
      </c>
      <c r="C236" s="25" t="s">
        <v>49</v>
      </c>
      <c r="D236" s="25" t="s">
        <v>19</v>
      </c>
      <c r="E236" s="25">
        <v>56</v>
      </c>
      <c r="F236" s="25" t="s">
        <v>29</v>
      </c>
      <c r="G236" s="25" t="s">
        <v>102</v>
      </c>
      <c r="H236" s="26">
        <v>44202</v>
      </c>
      <c r="I236" s="25">
        <v>106491</v>
      </c>
      <c r="J236" s="25" t="s">
        <v>22</v>
      </c>
      <c r="K236" s="25" t="s">
        <v>534</v>
      </c>
      <c r="L236" s="27" t="s">
        <v>39</v>
      </c>
      <c r="M236" s="28" t="str">
        <f>_xlfn.XLOOKUP(F236,Department!$A$2:$A$6,Department!$B$2:$B$6)</f>
        <v>IT</v>
      </c>
      <c r="N236" s="30">
        <f>_xlfn.XLOOKUP(A236,Performance!$A$2:$A$501,Performance!$C$2:$C$501)</f>
        <v>5</v>
      </c>
      <c r="O236" s="28" cm="1">
        <f t="array" ref="O236">_xlfn.IFS(N236=5,I236*15%,N236=4,I236*10%,N236=3,I236*7%,N236&lt;3,I236*5%)</f>
        <v>15973.65</v>
      </c>
    </row>
    <row r="237" spans="1:15">
      <c r="A237" s="24" t="s">
        <v>535</v>
      </c>
      <c r="B237" s="25" t="s">
        <v>61</v>
      </c>
      <c r="C237" s="25" t="s">
        <v>141</v>
      </c>
      <c r="D237" s="25" t="s">
        <v>28</v>
      </c>
      <c r="E237" s="25">
        <v>48</v>
      </c>
      <c r="F237" s="25" t="s">
        <v>35</v>
      </c>
      <c r="G237" s="25" t="s">
        <v>102</v>
      </c>
      <c r="H237" s="26">
        <v>44348</v>
      </c>
      <c r="I237" s="25">
        <v>36633</v>
      </c>
      <c r="J237" s="25" t="s">
        <v>62</v>
      </c>
      <c r="K237" s="25" t="s">
        <v>536</v>
      </c>
      <c r="L237" s="27" t="s">
        <v>39</v>
      </c>
      <c r="M237" s="28" t="str">
        <f>_xlfn.XLOOKUP(F237,Department!$A$2:$A$6,Department!$B$2:$B$6)</f>
        <v>Sales</v>
      </c>
      <c r="N237" s="30">
        <f>_xlfn.XLOOKUP(A237,Performance!$A$2:$A$501,Performance!$C$2:$C$501)</f>
        <v>4</v>
      </c>
      <c r="O237" s="28" cm="1">
        <f t="array" ref="O237">_xlfn.IFS(N237=5,I237*15%,N237=4,I237*10%,N237=3,I237*7%,N237&lt;3,I237*5%)</f>
        <v>3663.3</v>
      </c>
    </row>
    <row r="238" spans="1:15">
      <c r="A238" s="24" t="s">
        <v>537</v>
      </c>
      <c r="B238" s="25" t="s">
        <v>34</v>
      </c>
      <c r="C238" s="25" t="s">
        <v>49</v>
      </c>
      <c r="D238" s="25" t="s">
        <v>19</v>
      </c>
      <c r="E238" s="25">
        <v>50</v>
      </c>
      <c r="F238" s="25" t="s">
        <v>29</v>
      </c>
      <c r="G238" s="25" t="s">
        <v>30</v>
      </c>
      <c r="H238" s="26">
        <v>44632</v>
      </c>
      <c r="I238" s="25">
        <v>109744</v>
      </c>
      <c r="J238" s="25" t="s">
        <v>22</v>
      </c>
      <c r="K238" s="25" t="s">
        <v>538</v>
      </c>
      <c r="L238" s="27" t="s">
        <v>39</v>
      </c>
      <c r="M238" s="28" t="str">
        <f>_xlfn.XLOOKUP(F238,Department!$A$2:$A$6,Department!$B$2:$B$6)</f>
        <v>IT</v>
      </c>
      <c r="N238" s="30">
        <f>_xlfn.XLOOKUP(A238,Performance!$A$2:$A$501,Performance!$C$2:$C$501)</f>
        <v>4</v>
      </c>
      <c r="O238" s="28" cm="1">
        <f t="array" ref="O238">_xlfn.IFS(N238=5,I238*15%,N238=4,I238*10%,N238=3,I238*7%,N238&lt;3,I238*5%)</f>
        <v>10974.400000000001</v>
      </c>
    </row>
    <row r="239" spans="1:15">
      <c r="A239" s="24" t="s">
        <v>539</v>
      </c>
      <c r="B239" s="25" t="s">
        <v>17</v>
      </c>
      <c r="C239" s="25" t="s">
        <v>141</v>
      </c>
      <c r="D239" s="25" t="s">
        <v>19</v>
      </c>
      <c r="E239" s="25">
        <v>57</v>
      </c>
      <c r="F239" s="25" t="s">
        <v>35</v>
      </c>
      <c r="G239" s="25" t="s">
        <v>44</v>
      </c>
      <c r="H239" s="26">
        <v>44680</v>
      </c>
      <c r="I239" s="25">
        <v>44217</v>
      </c>
      <c r="J239" s="25" t="s">
        <v>22</v>
      </c>
      <c r="K239" s="25" t="s">
        <v>540</v>
      </c>
      <c r="L239" s="27" t="s">
        <v>39</v>
      </c>
      <c r="M239" s="28" t="str">
        <f>_xlfn.XLOOKUP(F239,Department!$A$2:$A$6,Department!$B$2:$B$6)</f>
        <v>Sales</v>
      </c>
      <c r="N239" s="30">
        <f>_xlfn.XLOOKUP(A239,Performance!$A$2:$A$501,Performance!$C$2:$C$501)</f>
        <v>4</v>
      </c>
      <c r="O239" s="28" cm="1">
        <f t="array" ref="O239">_xlfn.IFS(N239=5,I239*15%,N239=4,I239*10%,N239=3,I239*7%,N239&lt;3,I239*5%)</f>
        <v>4421.7</v>
      </c>
    </row>
    <row r="240" spans="1:15">
      <c r="A240" s="24" t="s">
        <v>541</v>
      </c>
      <c r="B240" s="25" t="s">
        <v>126</v>
      </c>
      <c r="C240" s="25" t="s">
        <v>89</v>
      </c>
      <c r="D240" s="25" t="s">
        <v>28</v>
      </c>
      <c r="E240" s="25">
        <v>28</v>
      </c>
      <c r="F240" s="25" t="s">
        <v>54</v>
      </c>
      <c r="G240" s="25" t="s">
        <v>21</v>
      </c>
      <c r="H240" s="26">
        <v>44724</v>
      </c>
      <c r="I240" s="25">
        <v>40758</v>
      </c>
      <c r="J240" s="25" t="s">
        <v>81</v>
      </c>
      <c r="K240" s="25" t="s">
        <v>542</v>
      </c>
      <c r="L240" s="27" t="s">
        <v>24</v>
      </c>
      <c r="M240" s="28" t="str">
        <f>_xlfn.XLOOKUP(F240,Department!$A$2:$A$6,Department!$B$2:$B$6)</f>
        <v>Finance</v>
      </c>
      <c r="N240" s="30">
        <f>_xlfn.XLOOKUP(A240,Performance!$A$2:$A$501,Performance!$C$2:$C$501)</f>
        <v>2</v>
      </c>
      <c r="O240" s="28" cm="1">
        <f t="array" ref="O240">_xlfn.IFS(N240=5,I240*15%,N240=4,I240*10%,N240=3,I240*7%,N240&lt;3,I240*5%)</f>
        <v>2037.9</v>
      </c>
    </row>
    <row r="241" spans="1:15">
      <c r="A241" s="24" t="s">
        <v>543</v>
      </c>
      <c r="B241" s="25" t="s">
        <v>34</v>
      </c>
      <c r="C241" s="25" t="s">
        <v>93</v>
      </c>
      <c r="D241" s="25" t="s">
        <v>19</v>
      </c>
      <c r="E241" s="25">
        <v>59</v>
      </c>
      <c r="F241" s="25" t="s">
        <v>54</v>
      </c>
      <c r="G241" s="25" t="s">
        <v>44</v>
      </c>
      <c r="H241" s="26">
        <v>45023</v>
      </c>
      <c r="I241" s="25">
        <v>49878</v>
      </c>
      <c r="J241" s="25" t="s">
        <v>67</v>
      </c>
      <c r="K241" s="25" t="s">
        <v>544</v>
      </c>
      <c r="L241" s="27" t="s">
        <v>24</v>
      </c>
      <c r="M241" s="28" t="str">
        <f>_xlfn.XLOOKUP(F241,Department!$A$2:$A$6,Department!$B$2:$B$6)</f>
        <v>Finance</v>
      </c>
      <c r="N241" s="30">
        <f>_xlfn.XLOOKUP(A241,Performance!$A$2:$A$501,Performance!$C$2:$C$501)</f>
        <v>2</v>
      </c>
      <c r="O241" s="28" cm="1">
        <f t="array" ref="O241">_xlfn.IFS(N241=5,I241*15%,N241=4,I241*10%,N241=3,I241*7%,N241&lt;3,I241*5%)</f>
        <v>2493.9</v>
      </c>
    </row>
    <row r="242" spans="1:15">
      <c r="A242" s="24" t="s">
        <v>545</v>
      </c>
      <c r="B242" s="25" t="s">
        <v>58</v>
      </c>
      <c r="C242" s="25" t="s">
        <v>117</v>
      </c>
      <c r="D242" s="25" t="s">
        <v>19</v>
      </c>
      <c r="E242" s="25">
        <v>48</v>
      </c>
      <c r="F242" s="25" t="s">
        <v>35</v>
      </c>
      <c r="G242" s="25" t="s">
        <v>102</v>
      </c>
      <c r="H242" s="26">
        <v>45115</v>
      </c>
      <c r="I242" s="25">
        <v>95831</v>
      </c>
      <c r="J242" s="25" t="s">
        <v>62</v>
      </c>
      <c r="K242" s="25" t="s">
        <v>546</v>
      </c>
      <c r="L242" s="27" t="s">
        <v>39</v>
      </c>
      <c r="M242" s="28" t="str">
        <f>_xlfn.XLOOKUP(F242,Department!$A$2:$A$6,Department!$B$2:$B$6)</f>
        <v>Sales</v>
      </c>
      <c r="N242" s="30">
        <f>_xlfn.XLOOKUP(A242,Performance!$A$2:$A$501,Performance!$C$2:$C$501)</f>
        <v>2</v>
      </c>
      <c r="O242" s="28" cm="1">
        <f t="array" ref="O242">_xlfn.IFS(N242=5,I242*15%,N242=4,I242*10%,N242=3,I242*7%,N242&lt;3,I242*5%)</f>
        <v>4791.55</v>
      </c>
    </row>
    <row r="243" spans="1:15">
      <c r="A243" s="24" t="s">
        <v>547</v>
      </c>
      <c r="B243" s="25" t="s">
        <v>92</v>
      </c>
      <c r="C243" s="25" t="s">
        <v>18</v>
      </c>
      <c r="D243" s="25" t="s">
        <v>19</v>
      </c>
      <c r="E243" s="25">
        <v>22</v>
      </c>
      <c r="F243" s="25" t="s">
        <v>29</v>
      </c>
      <c r="G243" s="25" t="s">
        <v>30</v>
      </c>
      <c r="H243" s="26">
        <v>45490</v>
      </c>
      <c r="I243" s="25">
        <v>106015</v>
      </c>
      <c r="J243" s="25" t="s">
        <v>22</v>
      </c>
      <c r="K243" s="25" t="s">
        <v>548</v>
      </c>
      <c r="L243" s="27" t="s">
        <v>24</v>
      </c>
      <c r="M243" s="28" t="str">
        <f>_xlfn.XLOOKUP(F243,Department!$A$2:$A$6,Department!$B$2:$B$6)</f>
        <v>IT</v>
      </c>
      <c r="N243" s="30">
        <f>_xlfn.XLOOKUP(A243,Performance!$A$2:$A$501,Performance!$C$2:$C$501)</f>
        <v>2</v>
      </c>
      <c r="O243" s="28" cm="1">
        <f t="array" ref="O243">_xlfn.IFS(N243=5,I243*15%,N243=4,I243*10%,N243=3,I243*7%,N243&lt;3,I243*5%)</f>
        <v>5300.75</v>
      </c>
    </row>
    <row r="244" spans="1:15">
      <c r="A244" s="24" t="s">
        <v>549</v>
      </c>
      <c r="B244" s="25" t="s">
        <v>42</v>
      </c>
      <c r="C244" s="25" t="s">
        <v>49</v>
      </c>
      <c r="D244" s="25" t="s">
        <v>19</v>
      </c>
      <c r="E244" s="25">
        <v>28</v>
      </c>
      <c r="F244" s="25" t="s">
        <v>20</v>
      </c>
      <c r="G244" s="25" t="s">
        <v>21</v>
      </c>
      <c r="H244" s="26">
        <v>43985</v>
      </c>
      <c r="I244" s="25">
        <v>100388</v>
      </c>
      <c r="J244" s="25" t="s">
        <v>81</v>
      </c>
      <c r="K244" s="25" t="s">
        <v>550</v>
      </c>
      <c r="L244" s="27" t="s">
        <v>24</v>
      </c>
      <c r="M244" s="28" t="str">
        <f>_xlfn.XLOOKUP(F244,Department!$A$2:$A$6,Department!$B$2:$B$6)</f>
        <v>HR</v>
      </c>
      <c r="N244" s="30">
        <f>_xlfn.XLOOKUP(A244,Performance!$A$2:$A$501,Performance!$C$2:$C$501)</f>
        <v>1</v>
      </c>
      <c r="O244" s="28" cm="1">
        <f t="array" ref="O244">_xlfn.IFS(N244=5,I244*15%,N244=4,I244*10%,N244=3,I244*7%,N244&lt;3,I244*5%)</f>
        <v>5019.4000000000005</v>
      </c>
    </row>
    <row r="245" spans="1:15">
      <c r="A245" s="24" t="s">
        <v>551</v>
      </c>
      <c r="B245" s="25" t="s">
        <v>34</v>
      </c>
      <c r="C245" s="25" t="s">
        <v>89</v>
      </c>
      <c r="D245" s="25" t="s">
        <v>28</v>
      </c>
      <c r="E245" s="25">
        <v>47</v>
      </c>
      <c r="F245" s="25" t="s">
        <v>43</v>
      </c>
      <c r="G245" s="25" t="s">
        <v>30</v>
      </c>
      <c r="H245" s="26">
        <v>43271</v>
      </c>
      <c r="I245" s="25">
        <v>60932</v>
      </c>
      <c r="J245" s="25" t="s">
        <v>81</v>
      </c>
      <c r="K245" s="25" t="s">
        <v>552</v>
      </c>
      <c r="L245" s="27" t="s">
        <v>39</v>
      </c>
      <c r="M245" s="28" t="str">
        <f>_xlfn.XLOOKUP(F245,Department!$A$2:$A$6,Department!$B$2:$B$6)</f>
        <v>Marketing</v>
      </c>
      <c r="N245" s="30">
        <f>_xlfn.XLOOKUP(A245,Performance!$A$2:$A$501,Performance!$C$2:$C$501)</f>
        <v>4</v>
      </c>
      <c r="O245" s="28" cm="1">
        <f t="array" ref="O245">_xlfn.IFS(N245=5,I245*15%,N245=4,I245*10%,N245=3,I245*7%,N245&lt;3,I245*5%)</f>
        <v>6093.2000000000007</v>
      </c>
    </row>
    <row r="246" spans="1:15">
      <c r="A246" s="24" t="s">
        <v>553</v>
      </c>
      <c r="B246" s="25" t="s">
        <v>53</v>
      </c>
      <c r="C246" s="25" t="s">
        <v>84</v>
      </c>
      <c r="D246" s="25" t="s">
        <v>19</v>
      </c>
      <c r="E246" s="25">
        <v>36</v>
      </c>
      <c r="F246" s="25" t="s">
        <v>43</v>
      </c>
      <c r="G246" s="25" t="s">
        <v>36</v>
      </c>
      <c r="H246" s="26">
        <v>44284</v>
      </c>
      <c r="I246" s="25">
        <v>107818</v>
      </c>
      <c r="J246" s="25" t="s">
        <v>37</v>
      </c>
      <c r="K246" s="25" t="s">
        <v>554</v>
      </c>
      <c r="L246" s="27" t="s">
        <v>24</v>
      </c>
      <c r="M246" s="28" t="str">
        <f>_xlfn.XLOOKUP(F246,Department!$A$2:$A$6,Department!$B$2:$B$6)</f>
        <v>Marketing</v>
      </c>
      <c r="N246" s="30">
        <f>_xlfn.XLOOKUP(A246,Performance!$A$2:$A$501,Performance!$C$2:$C$501)</f>
        <v>1</v>
      </c>
      <c r="O246" s="28" cm="1">
        <f t="array" ref="O246">_xlfn.IFS(N246=5,I246*15%,N246=4,I246*10%,N246=3,I246*7%,N246&lt;3,I246*5%)</f>
        <v>5390.9000000000005</v>
      </c>
    </row>
    <row r="247" spans="1:15">
      <c r="A247" s="24" t="s">
        <v>555</v>
      </c>
      <c r="B247" s="25" t="s">
        <v>17</v>
      </c>
      <c r="C247" s="25" t="s">
        <v>49</v>
      </c>
      <c r="D247" s="25" t="s">
        <v>28</v>
      </c>
      <c r="E247" s="25">
        <v>49</v>
      </c>
      <c r="F247" s="25" t="s">
        <v>54</v>
      </c>
      <c r="G247" s="25" t="s">
        <v>36</v>
      </c>
      <c r="H247" s="26">
        <v>45139</v>
      </c>
      <c r="I247" s="25">
        <v>95198</v>
      </c>
      <c r="J247" s="25" t="s">
        <v>37</v>
      </c>
      <c r="K247" s="25" t="s">
        <v>556</v>
      </c>
      <c r="L247" s="27" t="s">
        <v>24</v>
      </c>
      <c r="M247" s="28" t="str">
        <f>_xlfn.XLOOKUP(F247,Department!$A$2:$A$6,Department!$B$2:$B$6)</f>
        <v>Finance</v>
      </c>
      <c r="N247" s="30">
        <f>_xlfn.XLOOKUP(A247,Performance!$A$2:$A$501,Performance!$C$2:$C$501)</f>
        <v>4</v>
      </c>
      <c r="O247" s="28" cm="1">
        <f t="array" ref="O247">_xlfn.IFS(N247=5,I247*15%,N247=4,I247*10%,N247=3,I247*7%,N247&lt;3,I247*5%)</f>
        <v>9519.8000000000011</v>
      </c>
    </row>
    <row r="248" spans="1:15">
      <c r="A248" s="24" t="s">
        <v>557</v>
      </c>
      <c r="B248" s="25" t="s">
        <v>126</v>
      </c>
      <c r="C248" s="25" t="s">
        <v>117</v>
      </c>
      <c r="D248" s="25" t="s">
        <v>19</v>
      </c>
      <c r="E248" s="25">
        <v>43</v>
      </c>
      <c r="F248" s="25" t="s">
        <v>29</v>
      </c>
      <c r="G248" s="25" t="s">
        <v>44</v>
      </c>
      <c r="H248" s="26">
        <v>44067</v>
      </c>
      <c r="I248" s="25">
        <v>42635</v>
      </c>
      <c r="J248" s="25" t="s">
        <v>22</v>
      </c>
      <c r="K248" s="25" t="s">
        <v>558</v>
      </c>
      <c r="L248" s="27" t="s">
        <v>24</v>
      </c>
      <c r="M248" s="28" t="str">
        <f>_xlfn.XLOOKUP(F248,Department!$A$2:$A$6,Department!$B$2:$B$6)</f>
        <v>IT</v>
      </c>
      <c r="N248" s="30">
        <f>_xlfn.XLOOKUP(A248,Performance!$A$2:$A$501,Performance!$C$2:$C$501)</f>
        <v>3</v>
      </c>
      <c r="O248" s="28" cm="1">
        <f t="array" ref="O248">_xlfn.IFS(N248=5,I248*15%,N248=4,I248*10%,N248=3,I248*7%,N248&lt;3,I248*5%)</f>
        <v>2984.4500000000003</v>
      </c>
    </row>
    <row r="249" spans="1:15">
      <c r="A249" s="24" t="s">
        <v>559</v>
      </c>
      <c r="B249" s="25" t="s">
        <v>48</v>
      </c>
      <c r="C249" s="25" t="s">
        <v>18</v>
      </c>
      <c r="D249" s="25" t="s">
        <v>19</v>
      </c>
      <c r="E249" s="25">
        <v>48</v>
      </c>
      <c r="F249" s="25" t="s">
        <v>20</v>
      </c>
      <c r="G249" s="25" t="s">
        <v>36</v>
      </c>
      <c r="H249" s="26">
        <v>43497</v>
      </c>
      <c r="I249" s="25">
        <v>48738</v>
      </c>
      <c r="J249" s="25" t="s">
        <v>62</v>
      </c>
      <c r="K249" s="25" t="s">
        <v>560</v>
      </c>
      <c r="L249" s="27" t="s">
        <v>24</v>
      </c>
      <c r="M249" s="28" t="str">
        <f>_xlfn.XLOOKUP(F249,Department!$A$2:$A$6,Department!$B$2:$B$6)</f>
        <v>HR</v>
      </c>
      <c r="N249" s="30">
        <f>_xlfn.XLOOKUP(A249,Performance!$A$2:$A$501,Performance!$C$2:$C$501)</f>
        <v>5</v>
      </c>
      <c r="O249" s="28" cm="1">
        <f t="array" ref="O249">_xlfn.IFS(N249=5,I249*15%,N249=4,I249*10%,N249=3,I249*7%,N249&lt;3,I249*5%)</f>
        <v>7310.7</v>
      </c>
    </row>
    <row r="250" spans="1:15">
      <c r="A250" s="24" t="s">
        <v>561</v>
      </c>
      <c r="B250" s="25" t="s">
        <v>48</v>
      </c>
      <c r="C250" s="25" t="s">
        <v>66</v>
      </c>
      <c r="D250" s="25" t="s">
        <v>19</v>
      </c>
      <c r="E250" s="25">
        <v>23</v>
      </c>
      <c r="F250" s="25" t="s">
        <v>20</v>
      </c>
      <c r="G250" s="25" t="s">
        <v>21</v>
      </c>
      <c r="H250" s="26">
        <v>44978</v>
      </c>
      <c r="I250" s="25">
        <v>64435</v>
      </c>
      <c r="J250" s="25" t="s">
        <v>81</v>
      </c>
      <c r="K250" s="25" t="s">
        <v>562</v>
      </c>
      <c r="L250" s="27" t="s">
        <v>24</v>
      </c>
      <c r="M250" s="28" t="str">
        <f>_xlfn.XLOOKUP(F250,Department!$A$2:$A$6,Department!$B$2:$B$6)</f>
        <v>HR</v>
      </c>
      <c r="N250" s="30">
        <f>_xlfn.XLOOKUP(A250,Performance!$A$2:$A$501,Performance!$C$2:$C$501)</f>
        <v>5</v>
      </c>
      <c r="O250" s="28" cm="1">
        <f t="array" ref="O250">_xlfn.IFS(N250=5,I250*15%,N250=4,I250*10%,N250=3,I250*7%,N250&lt;3,I250*5%)</f>
        <v>9665.25</v>
      </c>
    </row>
    <row r="251" spans="1:15">
      <c r="A251" s="24" t="s">
        <v>563</v>
      </c>
      <c r="B251" s="25" t="s">
        <v>74</v>
      </c>
      <c r="C251" s="25" t="s">
        <v>27</v>
      </c>
      <c r="D251" s="25" t="s">
        <v>28</v>
      </c>
      <c r="E251" s="25">
        <v>55</v>
      </c>
      <c r="F251" s="25" t="s">
        <v>20</v>
      </c>
      <c r="G251" s="25" t="s">
        <v>21</v>
      </c>
      <c r="H251" s="26">
        <v>45037</v>
      </c>
      <c r="I251" s="25">
        <v>116007</v>
      </c>
      <c r="J251" s="25" t="s">
        <v>67</v>
      </c>
      <c r="K251" s="25" t="s">
        <v>564</v>
      </c>
      <c r="L251" s="27" t="s">
        <v>24</v>
      </c>
      <c r="M251" s="28" t="str">
        <f>_xlfn.XLOOKUP(F251,Department!$A$2:$A$6,Department!$B$2:$B$6)</f>
        <v>HR</v>
      </c>
      <c r="N251" s="30">
        <f>_xlfn.XLOOKUP(A251,Performance!$A$2:$A$501,Performance!$C$2:$C$501)</f>
        <v>5</v>
      </c>
      <c r="O251" s="28" cm="1">
        <f t="array" ref="O251">_xlfn.IFS(N251=5,I251*15%,N251=4,I251*10%,N251=3,I251*7%,N251&lt;3,I251*5%)</f>
        <v>17401.05</v>
      </c>
    </row>
    <row r="252" spans="1:15">
      <c r="A252" s="24" t="s">
        <v>565</v>
      </c>
      <c r="B252" s="25" t="s">
        <v>53</v>
      </c>
      <c r="C252" s="25" t="s">
        <v>89</v>
      </c>
      <c r="D252" s="25" t="s">
        <v>28</v>
      </c>
      <c r="E252" s="25">
        <v>38</v>
      </c>
      <c r="F252" s="25" t="s">
        <v>29</v>
      </c>
      <c r="G252" s="25" t="s">
        <v>30</v>
      </c>
      <c r="H252" s="26">
        <v>43892</v>
      </c>
      <c r="I252" s="25">
        <v>60256</v>
      </c>
      <c r="J252" s="25" t="s">
        <v>62</v>
      </c>
      <c r="K252" s="25" t="s">
        <v>566</v>
      </c>
      <c r="L252" s="27" t="s">
        <v>24</v>
      </c>
      <c r="M252" s="28" t="str">
        <f>_xlfn.XLOOKUP(F252,Department!$A$2:$A$6,Department!$B$2:$B$6)</f>
        <v>IT</v>
      </c>
      <c r="N252" s="30">
        <f>_xlfn.XLOOKUP(A252,Performance!$A$2:$A$501,Performance!$C$2:$C$501)</f>
        <v>4</v>
      </c>
      <c r="O252" s="28" cm="1">
        <f t="array" ref="O252">_xlfn.IFS(N252=5,I252*15%,N252=4,I252*10%,N252=3,I252*7%,N252&lt;3,I252*5%)</f>
        <v>6025.6</v>
      </c>
    </row>
    <row r="253" spans="1:15">
      <c r="A253" s="24" t="s">
        <v>567</v>
      </c>
      <c r="B253" s="25" t="s">
        <v>58</v>
      </c>
      <c r="C253" s="25" t="s">
        <v>141</v>
      </c>
      <c r="D253" s="25" t="s">
        <v>19</v>
      </c>
      <c r="E253" s="25">
        <v>52</v>
      </c>
      <c r="F253" s="25" t="s">
        <v>35</v>
      </c>
      <c r="G253" s="25" t="s">
        <v>44</v>
      </c>
      <c r="H253" s="26">
        <v>45101</v>
      </c>
      <c r="I253" s="25">
        <v>79852</v>
      </c>
      <c r="J253" s="25" t="s">
        <v>37</v>
      </c>
      <c r="K253" s="25" t="s">
        <v>568</v>
      </c>
      <c r="L253" s="27" t="s">
        <v>39</v>
      </c>
      <c r="M253" s="28" t="str">
        <f>_xlfn.XLOOKUP(F253,Department!$A$2:$A$6,Department!$B$2:$B$6)</f>
        <v>Sales</v>
      </c>
      <c r="N253" s="30">
        <f>_xlfn.XLOOKUP(A253,Performance!$A$2:$A$501,Performance!$C$2:$C$501)</f>
        <v>3</v>
      </c>
      <c r="O253" s="28" cm="1">
        <f t="array" ref="O253">_xlfn.IFS(N253=5,I253*15%,N253=4,I253*10%,N253=3,I253*7%,N253&lt;3,I253*5%)</f>
        <v>5589.64</v>
      </c>
    </row>
    <row r="254" spans="1:15">
      <c r="A254" s="24" t="s">
        <v>569</v>
      </c>
      <c r="B254" s="25" t="s">
        <v>42</v>
      </c>
      <c r="C254" s="25" t="s">
        <v>93</v>
      </c>
      <c r="D254" s="25" t="s">
        <v>28</v>
      </c>
      <c r="E254" s="25">
        <v>25</v>
      </c>
      <c r="F254" s="25" t="s">
        <v>43</v>
      </c>
      <c r="G254" s="25" t="s">
        <v>30</v>
      </c>
      <c r="H254" s="26">
        <v>45576</v>
      </c>
      <c r="I254" s="25">
        <v>94875</v>
      </c>
      <c r="J254" s="25" t="s">
        <v>62</v>
      </c>
      <c r="K254" s="25" t="s">
        <v>570</v>
      </c>
      <c r="L254" s="27" t="s">
        <v>24</v>
      </c>
      <c r="M254" s="28" t="str">
        <f>_xlfn.XLOOKUP(F254,Department!$A$2:$A$6,Department!$B$2:$B$6)</f>
        <v>Marketing</v>
      </c>
      <c r="N254" s="30">
        <f>_xlfn.XLOOKUP(A254,Performance!$A$2:$A$501,Performance!$C$2:$C$501)</f>
        <v>1</v>
      </c>
      <c r="O254" s="28" cm="1">
        <f t="array" ref="O254">_xlfn.IFS(N254=5,I254*15%,N254=4,I254*10%,N254=3,I254*7%,N254&lt;3,I254*5%)</f>
        <v>4743.75</v>
      </c>
    </row>
    <row r="255" spans="1:15">
      <c r="A255" s="24" t="s">
        <v>571</v>
      </c>
      <c r="B255" s="25" t="s">
        <v>42</v>
      </c>
      <c r="C255" s="25" t="s">
        <v>49</v>
      </c>
      <c r="D255" s="25" t="s">
        <v>19</v>
      </c>
      <c r="E255" s="25">
        <v>42</v>
      </c>
      <c r="F255" s="25" t="s">
        <v>29</v>
      </c>
      <c r="G255" s="25" t="s">
        <v>36</v>
      </c>
      <c r="H255" s="26">
        <v>43268</v>
      </c>
      <c r="I255" s="25">
        <v>43197</v>
      </c>
      <c r="J255" s="25" t="s">
        <v>22</v>
      </c>
      <c r="K255" s="25" t="s">
        <v>572</v>
      </c>
      <c r="L255" s="27" t="s">
        <v>39</v>
      </c>
      <c r="M255" s="28" t="str">
        <f>_xlfn.XLOOKUP(F255,Department!$A$2:$A$6,Department!$B$2:$B$6)</f>
        <v>IT</v>
      </c>
      <c r="N255" s="30">
        <f>_xlfn.XLOOKUP(A255,Performance!$A$2:$A$501,Performance!$C$2:$C$501)</f>
        <v>5</v>
      </c>
      <c r="O255" s="28" cm="1">
        <f t="array" ref="O255">_xlfn.IFS(N255=5,I255*15%,N255=4,I255*10%,N255=3,I255*7%,N255&lt;3,I255*5%)</f>
        <v>6479.55</v>
      </c>
    </row>
    <row r="256" spans="1:15">
      <c r="A256" s="24" t="s">
        <v>573</v>
      </c>
      <c r="B256" s="25" t="s">
        <v>53</v>
      </c>
      <c r="C256" s="25" t="s">
        <v>89</v>
      </c>
      <c r="D256" s="25" t="s">
        <v>28</v>
      </c>
      <c r="E256" s="25">
        <v>32</v>
      </c>
      <c r="F256" s="25" t="s">
        <v>54</v>
      </c>
      <c r="G256" s="25" t="s">
        <v>44</v>
      </c>
      <c r="H256" s="26">
        <v>44468</v>
      </c>
      <c r="I256" s="25">
        <v>117451</v>
      </c>
      <c r="J256" s="25" t="s">
        <v>67</v>
      </c>
      <c r="K256" s="25" t="s">
        <v>574</v>
      </c>
      <c r="L256" s="27" t="s">
        <v>24</v>
      </c>
      <c r="M256" s="28" t="str">
        <f>_xlfn.XLOOKUP(F256,Department!$A$2:$A$6,Department!$B$2:$B$6)</f>
        <v>Finance</v>
      </c>
      <c r="N256" s="30">
        <f>_xlfn.XLOOKUP(A256,Performance!$A$2:$A$501,Performance!$C$2:$C$501)</f>
        <v>1</v>
      </c>
      <c r="O256" s="28" cm="1">
        <f t="array" ref="O256">_xlfn.IFS(N256=5,I256*15%,N256=4,I256*10%,N256=3,I256*7%,N256&lt;3,I256*5%)</f>
        <v>5872.55</v>
      </c>
    </row>
    <row r="257" spans="1:15">
      <c r="A257" s="24" t="s">
        <v>575</v>
      </c>
      <c r="B257" s="25" t="s">
        <v>126</v>
      </c>
      <c r="C257" s="25" t="s">
        <v>117</v>
      </c>
      <c r="D257" s="25" t="s">
        <v>28</v>
      </c>
      <c r="E257" s="25">
        <v>28</v>
      </c>
      <c r="F257" s="25" t="s">
        <v>43</v>
      </c>
      <c r="G257" s="25" t="s">
        <v>44</v>
      </c>
      <c r="H257" s="26">
        <v>45096</v>
      </c>
      <c r="I257" s="25">
        <v>54493</v>
      </c>
      <c r="J257" s="25" t="s">
        <v>67</v>
      </c>
      <c r="K257" s="25" t="s">
        <v>576</v>
      </c>
      <c r="L257" s="27" t="s">
        <v>24</v>
      </c>
      <c r="M257" s="28" t="str">
        <f>_xlfn.XLOOKUP(F257,Department!$A$2:$A$6,Department!$B$2:$B$6)</f>
        <v>Marketing</v>
      </c>
      <c r="N257" s="30">
        <f>_xlfn.XLOOKUP(A257,Performance!$A$2:$A$501,Performance!$C$2:$C$501)</f>
        <v>4</v>
      </c>
      <c r="O257" s="28" cm="1">
        <f t="array" ref="O257">_xlfn.IFS(N257=5,I257*15%,N257=4,I257*10%,N257=3,I257*7%,N257&lt;3,I257*5%)</f>
        <v>5449.3</v>
      </c>
    </row>
    <row r="258" spans="1:15">
      <c r="A258" s="24" t="s">
        <v>577</v>
      </c>
      <c r="B258" s="25" t="s">
        <v>126</v>
      </c>
      <c r="C258" s="25" t="s">
        <v>80</v>
      </c>
      <c r="D258" s="25" t="s">
        <v>19</v>
      </c>
      <c r="E258" s="25">
        <v>55</v>
      </c>
      <c r="F258" s="25" t="s">
        <v>43</v>
      </c>
      <c r="G258" s="25" t="s">
        <v>36</v>
      </c>
      <c r="H258" s="26">
        <v>45122</v>
      </c>
      <c r="I258" s="25">
        <v>68822</v>
      </c>
      <c r="J258" s="25" t="s">
        <v>37</v>
      </c>
      <c r="K258" s="25" t="s">
        <v>578</v>
      </c>
      <c r="L258" s="27" t="s">
        <v>39</v>
      </c>
      <c r="M258" s="28" t="str">
        <f>_xlfn.XLOOKUP(F258,Department!$A$2:$A$6,Department!$B$2:$B$6)</f>
        <v>Marketing</v>
      </c>
      <c r="N258" s="30">
        <f>_xlfn.XLOOKUP(A258,Performance!$A$2:$A$501,Performance!$C$2:$C$501)</f>
        <v>3</v>
      </c>
      <c r="O258" s="28" cm="1">
        <f t="array" ref="O258">_xlfn.IFS(N258=5,I258*15%,N258=4,I258*10%,N258=3,I258*7%,N258&lt;3,I258*5%)</f>
        <v>4817.5400000000009</v>
      </c>
    </row>
    <row r="259" spans="1:15">
      <c r="A259" s="24" t="s">
        <v>579</v>
      </c>
      <c r="B259" s="25" t="s">
        <v>48</v>
      </c>
      <c r="C259" s="25" t="s">
        <v>93</v>
      </c>
      <c r="D259" s="25" t="s">
        <v>28</v>
      </c>
      <c r="E259" s="25">
        <v>27</v>
      </c>
      <c r="F259" s="25" t="s">
        <v>54</v>
      </c>
      <c r="G259" s="25" t="s">
        <v>30</v>
      </c>
      <c r="H259" s="26">
        <v>43410</v>
      </c>
      <c r="I259" s="25">
        <v>96058</v>
      </c>
      <c r="J259" s="25" t="s">
        <v>22</v>
      </c>
      <c r="K259" s="25" t="s">
        <v>580</v>
      </c>
      <c r="L259" s="27" t="s">
        <v>39</v>
      </c>
      <c r="M259" s="28" t="str">
        <f>_xlfn.XLOOKUP(F259,Department!$A$2:$A$6,Department!$B$2:$B$6)</f>
        <v>Finance</v>
      </c>
      <c r="N259" s="30">
        <f>_xlfn.XLOOKUP(A259,Performance!$A$2:$A$501,Performance!$C$2:$C$501)</f>
        <v>2</v>
      </c>
      <c r="O259" s="28" cm="1">
        <f t="array" ref="O259">_xlfn.IFS(N259=5,I259*15%,N259=4,I259*10%,N259=3,I259*7%,N259&lt;3,I259*5%)</f>
        <v>4802.9000000000005</v>
      </c>
    </row>
    <row r="260" spans="1:15">
      <c r="A260" s="24" t="s">
        <v>581</v>
      </c>
      <c r="B260" s="25" t="s">
        <v>126</v>
      </c>
      <c r="C260" s="25" t="s">
        <v>141</v>
      </c>
      <c r="D260" s="25" t="s">
        <v>28</v>
      </c>
      <c r="E260" s="25">
        <v>26</v>
      </c>
      <c r="F260" s="25" t="s">
        <v>20</v>
      </c>
      <c r="G260" s="25" t="s">
        <v>21</v>
      </c>
      <c r="H260" s="26">
        <v>43954</v>
      </c>
      <c r="I260" s="25">
        <v>109724</v>
      </c>
      <c r="J260" s="25" t="s">
        <v>62</v>
      </c>
      <c r="K260" s="25" t="s">
        <v>582</v>
      </c>
      <c r="L260" s="27" t="s">
        <v>24</v>
      </c>
      <c r="M260" s="28" t="str">
        <f>_xlfn.XLOOKUP(F260,Department!$A$2:$A$6,Department!$B$2:$B$6)</f>
        <v>HR</v>
      </c>
      <c r="N260" s="30">
        <f>_xlfn.XLOOKUP(A260,Performance!$A$2:$A$501,Performance!$C$2:$C$501)</f>
        <v>1</v>
      </c>
      <c r="O260" s="28" cm="1">
        <f t="array" ref="O260">_xlfn.IFS(N260=5,I260*15%,N260=4,I260*10%,N260=3,I260*7%,N260&lt;3,I260*5%)</f>
        <v>5486.2000000000007</v>
      </c>
    </row>
    <row r="261" spans="1:15">
      <c r="A261" s="24" t="s">
        <v>583</v>
      </c>
      <c r="B261" s="25" t="s">
        <v>48</v>
      </c>
      <c r="C261" s="25" t="s">
        <v>49</v>
      </c>
      <c r="D261" s="25" t="s">
        <v>28</v>
      </c>
      <c r="E261" s="25">
        <v>35</v>
      </c>
      <c r="F261" s="25" t="s">
        <v>20</v>
      </c>
      <c r="G261" s="25" t="s">
        <v>30</v>
      </c>
      <c r="H261" s="26">
        <v>44217</v>
      </c>
      <c r="I261" s="25">
        <v>69243</v>
      </c>
      <c r="J261" s="25" t="s">
        <v>67</v>
      </c>
      <c r="K261" s="25" t="s">
        <v>584</v>
      </c>
      <c r="L261" s="27" t="s">
        <v>39</v>
      </c>
      <c r="M261" s="28" t="str">
        <f>_xlfn.XLOOKUP(F261,Department!$A$2:$A$6,Department!$B$2:$B$6)</f>
        <v>HR</v>
      </c>
      <c r="N261" s="30">
        <f>_xlfn.XLOOKUP(A261,Performance!$A$2:$A$501,Performance!$C$2:$C$501)</f>
        <v>3</v>
      </c>
      <c r="O261" s="28" cm="1">
        <f t="array" ref="O261">_xlfn.IFS(N261=5,I261*15%,N261=4,I261*10%,N261=3,I261*7%,N261&lt;3,I261*5%)</f>
        <v>4847.01</v>
      </c>
    </row>
    <row r="262" spans="1:15">
      <c r="A262" s="24" t="s">
        <v>585</v>
      </c>
      <c r="B262" s="25" t="s">
        <v>58</v>
      </c>
      <c r="C262" s="25" t="s">
        <v>49</v>
      </c>
      <c r="D262" s="25" t="s">
        <v>19</v>
      </c>
      <c r="E262" s="25">
        <v>22</v>
      </c>
      <c r="F262" s="25" t="s">
        <v>29</v>
      </c>
      <c r="G262" s="25" t="s">
        <v>30</v>
      </c>
      <c r="H262" s="26">
        <v>45027</v>
      </c>
      <c r="I262" s="25">
        <v>46775</v>
      </c>
      <c r="J262" s="25" t="s">
        <v>22</v>
      </c>
      <c r="K262" s="25" t="s">
        <v>586</v>
      </c>
      <c r="L262" s="27" t="s">
        <v>39</v>
      </c>
      <c r="M262" s="28" t="str">
        <f>_xlfn.XLOOKUP(F262,Department!$A$2:$A$6,Department!$B$2:$B$6)</f>
        <v>IT</v>
      </c>
      <c r="N262" s="30">
        <f>_xlfn.XLOOKUP(A262,Performance!$A$2:$A$501,Performance!$C$2:$C$501)</f>
        <v>4</v>
      </c>
      <c r="O262" s="28" cm="1">
        <f t="array" ref="O262">_xlfn.IFS(N262=5,I262*15%,N262=4,I262*10%,N262=3,I262*7%,N262&lt;3,I262*5%)</f>
        <v>4677.5</v>
      </c>
    </row>
    <row r="263" spans="1:15">
      <c r="A263" s="24" t="s">
        <v>587</v>
      </c>
      <c r="B263" s="25" t="s">
        <v>58</v>
      </c>
      <c r="C263" s="25" t="s">
        <v>117</v>
      </c>
      <c r="D263" s="25" t="s">
        <v>19</v>
      </c>
      <c r="E263" s="25">
        <v>37</v>
      </c>
      <c r="F263" s="25" t="s">
        <v>20</v>
      </c>
      <c r="G263" s="25" t="s">
        <v>44</v>
      </c>
      <c r="H263" s="26">
        <v>44348</v>
      </c>
      <c r="I263" s="25">
        <v>86841</v>
      </c>
      <c r="J263" s="25" t="s">
        <v>62</v>
      </c>
      <c r="K263" s="25" t="s">
        <v>588</v>
      </c>
      <c r="L263" s="27" t="s">
        <v>39</v>
      </c>
      <c r="M263" s="28" t="str">
        <f>_xlfn.XLOOKUP(F263,Department!$A$2:$A$6,Department!$B$2:$B$6)</f>
        <v>HR</v>
      </c>
      <c r="N263" s="30">
        <f>_xlfn.XLOOKUP(A263,Performance!$A$2:$A$501,Performance!$C$2:$C$501)</f>
        <v>2</v>
      </c>
      <c r="O263" s="28" cm="1">
        <f t="array" ref="O263">_xlfn.IFS(N263=5,I263*15%,N263=4,I263*10%,N263=3,I263*7%,N263&lt;3,I263*5%)</f>
        <v>4342.05</v>
      </c>
    </row>
    <row r="264" spans="1:15">
      <c r="A264" s="24" t="s">
        <v>589</v>
      </c>
      <c r="B264" s="25" t="s">
        <v>34</v>
      </c>
      <c r="C264" s="25" t="s">
        <v>89</v>
      </c>
      <c r="D264" s="25" t="s">
        <v>28</v>
      </c>
      <c r="E264" s="25">
        <v>59</v>
      </c>
      <c r="F264" s="25" t="s">
        <v>20</v>
      </c>
      <c r="G264" s="25" t="s">
        <v>102</v>
      </c>
      <c r="H264" s="26">
        <v>44131</v>
      </c>
      <c r="I264" s="25">
        <v>91520</v>
      </c>
      <c r="J264" s="25" t="s">
        <v>81</v>
      </c>
      <c r="K264" s="25" t="s">
        <v>590</v>
      </c>
      <c r="L264" s="27" t="s">
        <v>39</v>
      </c>
      <c r="M264" s="28" t="str">
        <f>_xlfn.XLOOKUP(F264,Department!$A$2:$A$6,Department!$B$2:$B$6)</f>
        <v>HR</v>
      </c>
      <c r="N264" s="30">
        <f>_xlfn.XLOOKUP(A264,Performance!$A$2:$A$501,Performance!$C$2:$C$501)</f>
        <v>5</v>
      </c>
      <c r="O264" s="28" cm="1">
        <f t="array" ref="O264">_xlfn.IFS(N264=5,I264*15%,N264=4,I264*10%,N264=3,I264*7%,N264&lt;3,I264*5%)</f>
        <v>13728</v>
      </c>
    </row>
    <row r="265" spans="1:15">
      <c r="A265" s="24" t="s">
        <v>591</v>
      </c>
      <c r="B265" s="25" t="s">
        <v>92</v>
      </c>
      <c r="C265" s="25" t="s">
        <v>117</v>
      </c>
      <c r="D265" s="25" t="s">
        <v>19</v>
      </c>
      <c r="E265" s="25">
        <v>44</v>
      </c>
      <c r="F265" s="25" t="s">
        <v>29</v>
      </c>
      <c r="G265" s="25" t="s">
        <v>21</v>
      </c>
      <c r="H265" s="26">
        <v>43183</v>
      </c>
      <c r="I265" s="25">
        <v>97265</v>
      </c>
      <c r="J265" s="25" t="s">
        <v>22</v>
      </c>
      <c r="K265" s="25" t="s">
        <v>592</v>
      </c>
      <c r="L265" s="27" t="s">
        <v>24</v>
      </c>
      <c r="M265" s="28" t="str">
        <f>_xlfn.XLOOKUP(F265,Department!$A$2:$A$6,Department!$B$2:$B$6)</f>
        <v>IT</v>
      </c>
      <c r="N265" s="30">
        <f>_xlfn.XLOOKUP(A265,Performance!$A$2:$A$501,Performance!$C$2:$C$501)</f>
        <v>2</v>
      </c>
      <c r="O265" s="28" cm="1">
        <f t="array" ref="O265">_xlfn.IFS(N265=5,I265*15%,N265=4,I265*10%,N265=3,I265*7%,N265&lt;3,I265*5%)</f>
        <v>4863.25</v>
      </c>
    </row>
    <row r="266" spans="1:15">
      <c r="A266" s="24" t="s">
        <v>593</v>
      </c>
      <c r="B266" s="25" t="s">
        <v>34</v>
      </c>
      <c r="C266" s="25" t="s">
        <v>80</v>
      </c>
      <c r="D266" s="25" t="s">
        <v>28</v>
      </c>
      <c r="E266" s="25">
        <v>60</v>
      </c>
      <c r="F266" s="25" t="s">
        <v>20</v>
      </c>
      <c r="G266" s="25" t="s">
        <v>36</v>
      </c>
      <c r="H266" s="26">
        <v>44264</v>
      </c>
      <c r="I266" s="25">
        <v>76450</v>
      </c>
      <c r="J266" s="25" t="s">
        <v>62</v>
      </c>
      <c r="K266" s="25" t="s">
        <v>594</v>
      </c>
      <c r="L266" s="27" t="s">
        <v>24</v>
      </c>
      <c r="M266" s="28" t="str">
        <f>_xlfn.XLOOKUP(F266,Department!$A$2:$A$6,Department!$B$2:$B$6)</f>
        <v>HR</v>
      </c>
      <c r="N266" s="30">
        <f>_xlfn.XLOOKUP(A266,Performance!$A$2:$A$501,Performance!$C$2:$C$501)</f>
        <v>2</v>
      </c>
      <c r="O266" s="28" cm="1">
        <f t="array" ref="O266">_xlfn.IFS(N266=5,I266*15%,N266=4,I266*10%,N266=3,I266*7%,N266&lt;3,I266*5%)</f>
        <v>3822.5</v>
      </c>
    </row>
    <row r="267" spans="1:15">
      <c r="A267" s="24" t="s">
        <v>595</v>
      </c>
      <c r="B267" s="25" t="s">
        <v>61</v>
      </c>
      <c r="C267" s="25" t="s">
        <v>18</v>
      </c>
      <c r="D267" s="25" t="s">
        <v>28</v>
      </c>
      <c r="E267" s="25">
        <v>45</v>
      </c>
      <c r="F267" s="25" t="s">
        <v>29</v>
      </c>
      <c r="G267" s="25" t="s">
        <v>21</v>
      </c>
      <c r="H267" s="26">
        <v>43670</v>
      </c>
      <c r="I267" s="25">
        <v>85702</v>
      </c>
      <c r="J267" s="25" t="s">
        <v>37</v>
      </c>
      <c r="K267" s="25" t="s">
        <v>596</v>
      </c>
      <c r="L267" s="27" t="s">
        <v>39</v>
      </c>
      <c r="M267" s="28" t="str">
        <f>_xlfn.XLOOKUP(F267,Department!$A$2:$A$6,Department!$B$2:$B$6)</f>
        <v>IT</v>
      </c>
      <c r="N267" s="30">
        <f>_xlfn.XLOOKUP(A267,Performance!$A$2:$A$501,Performance!$C$2:$C$501)</f>
        <v>4</v>
      </c>
      <c r="O267" s="28" cm="1">
        <f t="array" ref="O267">_xlfn.IFS(N267=5,I267*15%,N267=4,I267*10%,N267=3,I267*7%,N267&lt;3,I267*5%)</f>
        <v>8570.2000000000007</v>
      </c>
    </row>
    <row r="268" spans="1:15">
      <c r="A268" s="24" t="s">
        <v>597</v>
      </c>
      <c r="B268" s="25" t="s">
        <v>74</v>
      </c>
      <c r="C268" s="25" t="s">
        <v>141</v>
      </c>
      <c r="D268" s="25" t="s">
        <v>19</v>
      </c>
      <c r="E268" s="25">
        <v>52</v>
      </c>
      <c r="F268" s="25" t="s">
        <v>35</v>
      </c>
      <c r="G268" s="25" t="s">
        <v>44</v>
      </c>
      <c r="H268" s="26">
        <v>44909</v>
      </c>
      <c r="I268" s="25">
        <v>94043</v>
      </c>
      <c r="J268" s="25" t="s">
        <v>67</v>
      </c>
      <c r="K268" s="25" t="s">
        <v>598</v>
      </c>
      <c r="L268" s="27" t="s">
        <v>39</v>
      </c>
      <c r="M268" s="28" t="str">
        <f>_xlfn.XLOOKUP(F268,Department!$A$2:$A$6,Department!$B$2:$B$6)</f>
        <v>Sales</v>
      </c>
      <c r="N268" s="30">
        <f>_xlfn.XLOOKUP(A268,Performance!$A$2:$A$501,Performance!$C$2:$C$501)</f>
        <v>4</v>
      </c>
      <c r="O268" s="28" cm="1">
        <f t="array" ref="O268">_xlfn.IFS(N268=5,I268*15%,N268=4,I268*10%,N268=3,I268*7%,N268&lt;3,I268*5%)</f>
        <v>9404.3000000000011</v>
      </c>
    </row>
    <row r="269" spans="1:15">
      <c r="A269" s="24" t="s">
        <v>599</v>
      </c>
      <c r="B269" s="25" t="s">
        <v>48</v>
      </c>
      <c r="C269" s="25" t="s">
        <v>80</v>
      </c>
      <c r="D269" s="25" t="s">
        <v>19</v>
      </c>
      <c r="E269" s="25">
        <v>26</v>
      </c>
      <c r="F269" s="25" t="s">
        <v>35</v>
      </c>
      <c r="G269" s="25" t="s">
        <v>102</v>
      </c>
      <c r="H269" s="26">
        <v>43145</v>
      </c>
      <c r="I269" s="25">
        <v>59385</v>
      </c>
      <c r="J269" s="25" t="s">
        <v>37</v>
      </c>
      <c r="K269" s="25" t="s">
        <v>600</v>
      </c>
      <c r="L269" s="27" t="s">
        <v>24</v>
      </c>
      <c r="M269" s="28" t="str">
        <f>_xlfn.XLOOKUP(F269,Department!$A$2:$A$6,Department!$B$2:$B$6)</f>
        <v>Sales</v>
      </c>
      <c r="N269" s="30">
        <f>_xlfn.XLOOKUP(A269,Performance!$A$2:$A$501,Performance!$C$2:$C$501)</f>
        <v>2</v>
      </c>
      <c r="O269" s="28" cm="1">
        <f t="array" ref="O269">_xlfn.IFS(N269=5,I269*15%,N269=4,I269*10%,N269=3,I269*7%,N269&lt;3,I269*5%)</f>
        <v>2969.25</v>
      </c>
    </row>
    <row r="270" spans="1:15">
      <c r="A270" s="24" t="s">
        <v>601</v>
      </c>
      <c r="B270" s="25" t="s">
        <v>58</v>
      </c>
      <c r="C270" s="25" t="s">
        <v>66</v>
      </c>
      <c r="D270" s="25" t="s">
        <v>19</v>
      </c>
      <c r="E270" s="25">
        <v>43</v>
      </c>
      <c r="F270" s="25" t="s">
        <v>54</v>
      </c>
      <c r="G270" s="25" t="s">
        <v>44</v>
      </c>
      <c r="H270" s="26">
        <v>44780</v>
      </c>
      <c r="I270" s="25">
        <v>114243</v>
      </c>
      <c r="J270" s="25" t="s">
        <v>67</v>
      </c>
      <c r="K270" s="25" t="s">
        <v>602</v>
      </c>
      <c r="L270" s="27" t="s">
        <v>24</v>
      </c>
      <c r="M270" s="28" t="str">
        <f>_xlfn.XLOOKUP(F270,Department!$A$2:$A$6,Department!$B$2:$B$6)</f>
        <v>Finance</v>
      </c>
      <c r="N270" s="30">
        <f>_xlfn.XLOOKUP(A270,Performance!$A$2:$A$501,Performance!$C$2:$C$501)</f>
        <v>1</v>
      </c>
      <c r="O270" s="28" cm="1">
        <f t="array" ref="O270">_xlfn.IFS(N270=5,I270*15%,N270=4,I270*10%,N270=3,I270*7%,N270&lt;3,I270*5%)</f>
        <v>5712.1500000000005</v>
      </c>
    </row>
    <row r="271" spans="1:15">
      <c r="A271" s="24" t="s">
        <v>603</v>
      </c>
      <c r="B271" s="25" t="s">
        <v>17</v>
      </c>
      <c r="C271" s="25" t="s">
        <v>84</v>
      </c>
      <c r="D271" s="25" t="s">
        <v>19</v>
      </c>
      <c r="E271" s="25">
        <v>38</v>
      </c>
      <c r="F271" s="25" t="s">
        <v>20</v>
      </c>
      <c r="G271" s="25" t="s">
        <v>21</v>
      </c>
      <c r="H271" s="26">
        <v>43844</v>
      </c>
      <c r="I271" s="25">
        <v>108702</v>
      </c>
      <c r="J271" s="25" t="s">
        <v>62</v>
      </c>
      <c r="K271" s="25" t="s">
        <v>604</v>
      </c>
      <c r="L271" s="27" t="s">
        <v>24</v>
      </c>
      <c r="M271" s="28" t="str">
        <f>_xlfn.XLOOKUP(F271,Department!$A$2:$A$6,Department!$B$2:$B$6)</f>
        <v>HR</v>
      </c>
      <c r="N271" s="30">
        <f>_xlfn.XLOOKUP(A271,Performance!$A$2:$A$501,Performance!$C$2:$C$501)</f>
        <v>4</v>
      </c>
      <c r="O271" s="28" cm="1">
        <f t="array" ref="O271">_xlfn.IFS(N271=5,I271*15%,N271=4,I271*10%,N271=3,I271*7%,N271&lt;3,I271*5%)</f>
        <v>10870.2</v>
      </c>
    </row>
    <row r="272" spans="1:15">
      <c r="A272" s="24" t="s">
        <v>605</v>
      </c>
      <c r="B272" s="25" t="s">
        <v>17</v>
      </c>
      <c r="C272" s="25" t="s">
        <v>80</v>
      </c>
      <c r="D272" s="25" t="s">
        <v>28</v>
      </c>
      <c r="E272" s="25">
        <v>54</v>
      </c>
      <c r="F272" s="25" t="s">
        <v>20</v>
      </c>
      <c r="G272" s="25" t="s">
        <v>44</v>
      </c>
      <c r="H272" s="26">
        <v>44723</v>
      </c>
      <c r="I272" s="25">
        <v>103130</v>
      </c>
      <c r="J272" s="25" t="s">
        <v>22</v>
      </c>
      <c r="K272" s="25" t="s">
        <v>606</v>
      </c>
      <c r="L272" s="27" t="s">
        <v>24</v>
      </c>
      <c r="M272" s="28" t="str">
        <f>_xlfn.XLOOKUP(F272,Department!$A$2:$A$6,Department!$B$2:$B$6)</f>
        <v>HR</v>
      </c>
      <c r="N272" s="30">
        <f>_xlfn.XLOOKUP(A272,Performance!$A$2:$A$501,Performance!$C$2:$C$501)</f>
        <v>5</v>
      </c>
      <c r="O272" s="28" cm="1">
        <f t="array" ref="O272">_xlfn.IFS(N272=5,I272*15%,N272=4,I272*10%,N272=3,I272*7%,N272&lt;3,I272*5%)</f>
        <v>15469.5</v>
      </c>
    </row>
    <row r="273" spans="1:15">
      <c r="A273" s="24" t="s">
        <v>607</v>
      </c>
      <c r="B273" s="25" t="s">
        <v>34</v>
      </c>
      <c r="C273" s="25" t="s">
        <v>49</v>
      </c>
      <c r="D273" s="25" t="s">
        <v>28</v>
      </c>
      <c r="E273" s="25">
        <v>44</v>
      </c>
      <c r="F273" s="25" t="s">
        <v>35</v>
      </c>
      <c r="G273" s="25" t="s">
        <v>21</v>
      </c>
      <c r="H273" s="26">
        <v>44768</v>
      </c>
      <c r="I273" s="25">
        <v>71195</v>
      </c>
      <c r="J273" s="25" t="s">
        <v>81</v>
      </c>
      <c r="K273" s="25" t="s">
        <v>608</v>
      </c>
      <c r="L273" s="27" t="s">
        <v>24</v>
      </c>
      <c r="M273" s="28" t="str">
        <f>_xlfn.XLOOKUP(F273,Department!$A$2:$A$6,Department!$B$2:$B$6)</f>
        <v>Sales</v>
      </c>
      <c r="N273" s="30">
        <f>_xlfn.XLOOKUP(A273,Performance!$A$2:$A$501,Performance!$C$2:$C$501)</f>
        <v>4</v>
      </c>
      <c r="O273" s="28" cm="1">
        <f t="array" ref="O273">_xlfn.IFS(N273=5,I273*15%,N273=4,I273*10%,N273=3,I273*7%,N273&lt;3,I273*5%)</f>
        <v>7119.5</v>
      </c>
    </row>
    <row r="274" spans="1:15">
      <c r="A274" s="24" t="s">
        <v>609</v>
      </c>
      <c r="B274" s="25" t="s">
        <v>126</v>
      </c>
      <c r="C274" s="25" t="s">
        <v>84</v>
      </c>
      <c r="D274" s="25" t="s">
        <v>19</v>
      </c>
      <c r="E274" s="25">
        <v>55</v>
      </c>
      <c r="F274" s="25" t="s">
        <v>20</v>
      </c>
      <c r="G274" s="25" t="s">
        <v>30</v>
      </c>
      <c r="H274" s="26">
        <v>45160</v>
      </c>
      <c r="I274" s="25">
        <v>40336</v>
      </c>
      <c r="J274" s="25" t="s">
        <v>81</v>
      </c>
      <c r="K274" s="25" t="s">
        <v>610</v>
      </c>
      <c r="L274" s="27" t="s">
        <v>39</v>
      </c>
      <c r="M274" s="28" t="str">
        <f>_xlfn.XLOOKUP(F274,Department!$A$2:$A$6,Department!$B$2:$B$6)</f>
        <v>HR</v>
      </c>
      <c r="N274" s="30">
        <f>_xlfn.XLOOKUP(A274,Performance!$A$2:$A$501,Performance!$C$2:$C$501)</f>
        <v>2</v>
      </c>
      <c r="O274" s="28" cm="1">
        <f t="array" ref="O274">_xlfn.IFS(N274=5,I274*15%,N274=4,I274*10%,N274=3,I274*7%,N274&lt;3,I274*5%)</f>
        <v>2016.8000000000002</v>
      </c>
    </row>
    <row r="275" spans="1:15">
      <c r="A275" s="24" t="s">
        <v>611</v>
      </c>
      <c r="B275" s="25" t="s">
        <v>92</v>
      </c>
      <c r="C275" s="25" t="s">
        <v>27</v>
      </c>
      <c r="D275" s="25" t="s">
        <v>28</v>
      </c>
      <c r="E275" s="25">
        <v>52</v>
      </c>
      <c r="F275" s="25" t="s">
        <v>54</v>
      </c>
      <c r="G275" s="25" t="s">
        <v>44</v>
      </c>
      <c r="H275" s="26">
        <v>43277</v>
      </c>
      <c r="I275" s="25">
        <v>107267</v>
      </c>
      <c r="J275" s="25" t="s">
        <v>67</v>
      </c>
      <c r="K275" s="25" t="s">
        <v>612</v>
      </c>
      <c r="L275" s="27" t="s">
        <v>39</v>
      </c>
      <c r="M275" s="28" t="str">
        <f>_xlfn.XLOOKUP(F275,Department!$A$2:$A$6,Department!$B$2:$B$6)</f>
        <v>Finance</v>
      </c>
      <c r="N275" s="30">
        <f>_xlfn.XLOOKUP(A275,Performance!$A$2:$A$501,Performance!$C$2:$C$501)</f>
        <v>4</v>
      </c>
      <c r="O275" s="28" cm="1">
        <f t="array" ref="O275">_xlfn.IFS(N275=5,I275*15%,N275=4,I275*10%,N275=3,I275*7%,N275&lt;3,I275*5%)</f>
        <v>10726.7</v>
      </c>
    </row>
    <row r="276" spans="1:15">
      <c r="A276" s="24" t="s">
        <v>613</v>
      </c>
      <c r="B276" s="25" t="s">
        <v>17</v>
      </c>
      <c r="C276" s="25" t="s">
        <v>89</v>
      </c>
      <c r="D276" s="25" t="s">
        <v>19</v>
      </c>
      <c r="E276" s="25">
        <v>43</v>
      </c>
      <c r="F276" s="25" t="s">
        <v>35</v>
      </c>
      <c r="G276" s="25" t="s">
        <v>36</v>
      </c>
      <c r="H276" s="26">
        <v>45117</v>
      </c>
      <c r="I276" s="25">
        <v>89633</v>
      </c>
      <c r="J276" s="25" t="s">
        <v>67</v>
      </c>
      <c r="K276" s="25" t="s">
        <v>614</v>
      </c>
      <c r="L276" s="27" t="s">
        <v>39</v>
      </c>
      <c r="M276" s="28" t="str">
        <f>_xlfn.XLOOKUP(F276,Department!$A$2:$A$6,Department!$B$2:$B$6)</f>
        <v>Sales</v>
      </c>
      <c r="N276" s="30">
        <f>_xlfn.XLOOKUP(A276,Performance!$A$2:$A$501,Performance!$C$2:$C$501)</f>
        <v>4</v>
      </c>
      <c r="O276" s="28" cm="1">
        <f t="array" ref="O276">_xlfn.IFS(N276=5,I276*15%,N276=4,I276*10%,N276=3,I276*7%,N276&lt;3,I276*5%)</f>
        <v>8963.3000000000011</v>
      </c>
    </row>
    <row r="277" spans="1:15">
      <c r="A277" s="24" t="s">
        <v>615</v>
      </c>
      <c r="B277" s="25" t="s">
        <v>58</v>
      </c>
      <c r="C277" s="25" t="s">
        <v>27</v>
      </c>
      <c r="D277" s="25" t="s">
        <v>28</v>
      </c>
      <c r="E277" s="25">
        <v>51</v>
      </c>
      <c r="F277" s="25" t="s">
        <v>35</v>
      </c>
      <c r="G277" s="25" t="s">
        <v>44</v>
      </c>
      <c r="H277" s="26">
        <v>44803</v>
      </c>
      <c r="I277" s="25">
        <v>76409</v>
      </c>
      <c r="J277" s="25" t="s">
        <v>37</v>
      </c>
      <c r="K277" s="25" t="s">
        <v>616</v>
      </c>
      <c r="L277" s="27" t="s">
        <v>39</v>
      </c>
      <c r="M277" s="28" t="str">
        <f>_xlfn.XLOOKUP(F277,Department!$A$2:$A$6,Department!$B$2:$B$6)</f>
        <v>Sales</v>
      </c>
      <c r="N277" s="30">
        <f>_xlfn.XLOOKUP(A277,Performance!$A$2:$A$501,Performance!$C$2:$C$501)</f>
        <v>2</v>
      </c>
      <c r="O277" s="28" cm="1">
        <f t="array" ref="O277">_xlfn.IFS(N277=5,I277*15%,N277=4,I277*10%,N277=3,I277*7%,N277&lt;3,I277*5%)</f>
        <v>3820.4500000000003</v>
      </c>
    </row>
    <row r="278" spans="1:15">
      <c r="A278" s="24" t="s">
        <v>617</v>
      </c>
      <c r="B278" s="25" t="s">
        <v>92</v>
      </c>
      <c r="C278" s="25" t="s">
        <v>49</v>
      </c>
      <c r="D278" s="25" t="s">
        <v>19</v>
      </c>
      <c r="E278" s="25">
        <v>22</v>
      </c>
      <c r="F278" s="25" t="s">
        <v>35</v>
      </c>
      <c r="G278" s="25" t="s">
        <v>30</v>
      </c>
      <c r="H278" s="26">
        <v>45546</v>
      </c>
      <c r="I278" s="25">
        <v>79899</v>
      </c>
      <c r="J278" s="25" t="s">
        <v>67</v>
      </c>
      <c r="K278" s="25" t="s">
        <v>618</v>
      </c>
      <c r="L278" s="27" t="s">
        <v>39</v>
      </c>
      <c r="M278" s="28" t="str">
        <f>_xlfn.XLOOKUP(F278,Department!$A$2:$A$6,Department!$B$2:$B$6)</f>
        <v>Sales</v>
      </c>
      <c r="N278" s="30">
        <f>_xlfn.XLOOKUP(A278,Performance!$A$2:$A$501,Performance!$C$2:$C$501)</f>
        <v>2</v>
      </c>
      <c r="O278" s="28" cm="1">
        <f t="array" ref="O278">_xlfn.IFS(N278=5,I278*15%,N278=4,I278*10%,N278=3,I278*7%,N278&lt;3,I278*5%)</f>
        <v>3994.9500000000003</v>
      </c>
    </row>
    <row r="279" spans="1:15">
      <c r="A279" s="24" t="s">
        <v>619</v>
      </c>
      <c r="B279" s="25" t="s">
        <v>53</v>
      </c>
      <c r="C279" s="25" t="s">
        <v>93</v>
      </c>
      <c r="D279" s="25" t="s">
        <v>19</v>
      </c>
      <c r="E279" s="25">
        <v>28</v>
      </c>
      <c r="F279" s="25" t="s">
        <v>20</v>
      </c>
      <c r="G279" s="25" t="s">
        <v>36</v>
      </c>
      <c r="H279" s="26">
        <v>45549</v>
      </c>
      <c r="I279" s="25">
        <v>92548</v>
      </c>
      <c r="J279" s="25" t="s">
        <v>22</v>
      </c>
      <c r="K279" s="25" t="s">
        <v>620</v>
      </c>
      <c r="L279" s="27" t="s">
        <v>39</v>
      </c>
      <c r="M279" s="28" t="str">
        <f>_xlfn.XLOOKUP(F279,Department!$A$2:$A$6,Department!$B$2:$B$6)</f>
        <v>HR</v>
      </c>
      <c r="N279" s="30">
        <f>_xlfn.XLOOKUP(A279,Performance!$A$2:$A$501,Performance!$C$2:$C$501)</f>
        <v>2</v>
      </c>
      <c r="O279" s="28" cm="1">
        <f t="array" ref="O279">_xlfn.IFS(N279=5,I279*15%,N279=4,I279*10%,N279=3,I279*7%,N279&lt;3,I279*5%)</f>
        <v>4627.4000000000005</v>
      </c>
    </row>
    <row r="280" spans="1:15">
      <c r="A280" s="24" t="s">
        <v>621</v>
      </c>
      <c r="B280" s="25" t="s">
        <v>42</v>
      </c>
      <c r="C280" s="25" t="s">
        <v>141</v>
      </c>
      <c r="D280" s="25" t="s">
        <v>19</v>
      </c>
      <c r="E280" s="25">
        <v>32</v>
      </c>
      <c r="F280" s="25" t="s">
        <v>20</v>
      </c>
      <c r="G280" s="25" t="s">
        <v>44</v>
      </c>
      <c r="H280" s="26">
        <v>44142</v>
      </c>
      <c r="I280" s="25">
        <v>60558</v>
      </c>
      <c r="J280" s="25" t="s">
        <v>62</v>
      </c>
      <c r="K280" s="25" t="s">
        <v>622</v>
      </c>
      <c r="L280" s="27" t="s">
        <v>24</v>
      </c>
      <c r="M280" s="28" t="str">
        <f>_xlfn.XLOOKUP(F280,Department!$A$2:$A$6,Department!$B$2:$B$6)</f>
        <v>HR</v>
      </c>
      <c r="N280" s="30">
        <f>_xlfn.XLOOKUP(A280,Performance!$A$2:$A$501,Performance!$C$2:$C$501)</f>
        <v>2</v>
      </c>
      <c r="O280" s="28" cm="1">
        <f t="array" ref="O280">_xlfn.IFS(N280=5,I280*15%,N280=4,I280*10%,N280=3,I280*7%,N280&lt;3,I280*5%)</f>
        <v>3027.9</v>
      </c>
    </row>
    <row r="281" spans="1:15">
      <c r="A281" s="24" t="s">
        <v>623</v>
      </c>
      <c r="B281" s="25" t="s">
        <v>53</v>
      </c>
      <c r="C281" s="25" t="s">
        <v>117</v>
      </c>
      <c r="D281" s="25" t="s">
        <v>19</v>
      </c>
      <c r="E281" s="25">
        <v>60</v>
      </c>
      <c r="F281" s="25" t="s">
        <v>29</v>
      </c>
      <c r="G281" s="25" t="s">
        <v>21</v>
      </c>
      <c r="H281" s="26">
        <v>44135</v>
      </c>
      <c r="I281" s="25">
        <v>40802</v>
      </c>
      <c r="J281" s="25" t="s">
        <v>81</v>
      </c>
      <c r="K281" s="25" t="s">
        <v>624</v>
      </c>
      <c r="L281" s="27" t="s">
        <v>24</v>
      </c>
      <c r="M281" s="28" t="str">
        <f>_xlfn.XLOOKUP(F281,Department!$A$2:$A$6,Department!$B$2:$B$6)</f>
        <v>IT</v>
      </c>
      <c r="N281" s="30">
        <f>_xlfn.XLOOKUP(A281,Performance!$A$2:$A$501,Performance!$C$2:$C$501)</f>
        <v>1</v>
      </c>
      <c r="O281" s="28" cm="1">
        <f t="array" ref="O281">_xlfn.IFS(N281=5,I281*15%,N281=4,I281*10%,N281=3,I281*7%,N281&lt;3,I281*5%)</f>
        <v>2040.1000000000001</v>
      </c>
    </row>
    <row r="282" spans="1:15">
      <c r="A282" s="24" t="s">
        <v>625</v>
      </c>
      <c r="B282" s="25" t="s">
        <v>126</v>
      </c>
      <c r="C282" s="25" t="s">
        <v>141</v>
      </c>
      <c r="D282" s="25" t="s">
        <v>28</v>
      </c>
      <c r="E282" s="25">
        <v>24</v>
      </c>
      <c r="F282" s="25" t="s">
        <v>43</v>
      </c>
      <c r="G282" s="25" t="s">
        <v>102</v>
      </c>
      <c r="H282" s="26">
        <v>44198</v>
      </c>
      <c r="I282" s="25">
        <v>117454</v>
      </c>
      <c r="J282" s="25" t="s">
        <v>67</v>
      </c>
      <c r="K282" s="25" t="s">
        <v>626</v>
      </c>
      <c r="L282" s="27" t="s">
        <v>39</v>
      </c>
      <c r="M282" s="28" t="str">
        <f>_xlfn.XLOOKUP(F282,Department!$A$2:$A$6,Department!$B$2:$B$6)</f>
        <v>Marketing</v>
      </c>
      <c r="N282" s="30">
        <f>_xlfn.XLOOKUP(A282,Performance!$A$2:$A$501,Performance!$C$2:$C$501)</f>
        <v>1</v>
      </c>
      <c r="O282" s="28" cm="1">
        <f t="array" ref="O282">_xlfn.IFS(N282=5,I282*15%,N282=4,I282*10%,N282=3,I282*7%,N282&lt;3,I282*5%)</f>
        <v>5872.7000000000007</v>
      </c>
    </row>
    <row r="283" spans="1:15">
      <c r="A283" s="24" t="s">
        <v>627</v>
      </c>
      <c r="B283" s="25" t="s">
        <v>126</v>
      </c>
      <c r="C283" s="25" t="s">
        <v>93</v>
      </c>
      <c r="D283" s="25" t="s">
        <v>28</v>
      </c>
      <c r="E283" s="25">
        <v>26</v>
      </c>
      <c r="F283" s="25" t="s">
        <v>35</v>
      </c>
      <c r="G283" s="25" t="s">
        <v>36</v>
      </c>
      <c r="H283" s="26">
        <v>44440</v>
      </c>
      <c r="I283" s="25">
        <v>48830</v>
      </c>
      <c r="J283" s="25" t="s">
        <v>67</v>
      </c>
      <c r="K283" s="25" t="s">
        <v>628</v>
      </c>
      <c r="L283" s="27" t="s">
        <v>24</v>
      </c>
      <c r="M283" s="28" t="str">
        <f>_xlfn.XLOOKUP(F283,Department!$A$2:$A$6,Department!$B$2:$B$6)</f>
        <v>Sales</v>
      </c>
      <c r="N283" s="30">
        <f>_xlfn.XLOOKUP(A283,Performance!$A$2:$A$501,Performance!$C$2:$C$501)</f>
        <v>1</v>
      </c>
      <c r="O283" s="28" cm="1">
        <f t="array" ref="O283">_xlfn.IFS(N283=5,I283*15%,N283=4,I283*10%,N283=3,I283*7%,N283&lt;3,I283*5%)</f>
        <v>2441.5</v>
      </c>
    </row>
    <row r="284" spans="1:15">
      <c r="A284" s="24" t="s">
        <v>629</v>
      </c>
      <c r="B284" s="25" t="s">
        <v>61</v>
      </c>
      <c r="C284" s="25" t="s">
        <v>27</v>
      </c>
      <c r="D284" s="25" t="s">
        <v>28</v>
      </c>
      <c r="E284" s="25">
        <v>36</v>
      </c>
      <c r="F284" s="25" t="s">
        <v>54</v>
      </c>
      <c r="G284" s="25" t="s">
        <v>21</v>
      </c>
      <c r="H284" s="26">
        <v>44479</v>
      </c>
      <c r="I284" s="25">
        <v>45532</v>
      </c>
      <c r="J284" s="25" t="s">
        <v>81</v>
      </c>
      <c r="K284" s="25" t="s">
        <v>630</v>
      </c>
      <c r="L284" s="27" t="s">
        <v>39</v>
      </c>
      <c r="M284" s="28" t="str">
        <f>_xlfn.XLOOKUP(F284,Department!$A$2:$A$6,Department!$B$2:$B$6)</f>
        <v>Finance</v>
      </c>
      <c r="N284" s="30">
        <f>_xlfn.XLOOKUP(A284,Performance!$A$2:$A$501,Performance!$C$2:$C$501)</f>
        <v>5</v>
      </c>
      <c r="O284" s="28" cm="1">
        <f t="array" ref="O284">_xlfn.IFS(N284=5,I284*15%,N284=4,I284*10%,N284=3,I284*7%,N284&lt;3,I284*5%)</f>
        <v>6829.8</v>
      </c>
    </row>
    <row r="285" spans="1:15">
      <c r="A285" s="24" t="s">
        <v>631</v>
      </c>
      <c r="B285" s="25" t="s">
        <v>48</v>
      </c>
      <c r="C285" s="25" t="s">
        <v>93</v>
      </c>
      <c r="D285" s="25" t="s">
        <v>28</v>
      </c>
      <c r="E285" s="25">
        <v>43</v>
      </c>
      <c r="F285" s="25" t="s">
        <v>43</v>
      </c>
      <c r="G285" s="25" t="s">
        <v>44</v>
      </c>
      <c r="H285" s="26">
        <v>44155</v>
      </c>
      <c r="I285" s="25">
        <v>44771</v>
      </c>
      <c r="J285" s="25" t="s">
        <v>67</v>
      </c>
      <c r="K285" s="25" t="s">
        <v>632</v>
      </c>
      <c r="L285" s="27" t="s">
        <v>24</v>
      </c>
      <c r="M285" s="28" t="str">
        <f>_xlfn.XLOOKUP(F285,Department!$A$2:$A$6,Department!$B$2:$B$6)</f>
        <v>Marketing</v>
      </c>
      <c r="N285" s="30">
        <f>_xlfn.XLOOKUP(A285,Performance!$A$2:$A$501,Performance!$C$2:$C$501)</f>
        <v>2</v>
      </c>
      <c r="O285" s="28" cm="1">
        <f t="array" ref="O285">_xlfn.IFS(N285=5,I285*15%,N285=4,I285*10%,N285=3,I285*7%,N285&lt;3,I285*5%)</f>
        <v>2238.5500000000002</v>
      </c>
    </row>
    <row r="286" spans="1:15">
      <c r="A286" s="24" t="s">
        <v>633</v>
      </c>
      <c r="B286" s="25" t="s">
        <v>58</v>
      </c>
      <c r="C286" s="25" t="s">
        <v>49</v>
      </c>
      <c r="D286" s="25" t="s">
        <v>19</v>
      </c>
      <c r="E286" s="25">
        <v>27</v>
      </c>
      <c r="F286" s="25" t="s">
        <v>43</v>
      </c>
      <c r="G286" s="25" t="s">
        <v>21</v>
      </c>
      <c r="H286" s="26">
        <v>45441</v>
      </c>
      <c r="I286" s="25">
        <v>46998</v>
      </c>
      <c r="J286" s="25" t="s">
        <v>62</v>
      </c>
      <c r="K286" s="25" t="s">
        <v>634</v>
      </c>
      <c r="L286" s="27" t="s">
        <v>39</v>
      </c>
      <c r="M286" s="28" t="str">
        <f>_xlfn.XLOOKUP(F286,Department!$A$2:$A$6,Department!$B$2:$B$6)</f>
        <v>Marketing</v>
      </c>
      <c r="N286" s="30">
        <f>_xlfn.XLOOKUP(A286,Performance!$A$2:$A$501,Performance!$C$2:$C$501)</f>
        <v>3</v>
      </c>
      <c r="O286" s="28" cm="1">
        <f t="array" ref="O286">_xlfn.IFS(N286=5,I286*15%,N286=4,I286*10%,N286=3,I286*7%,N286&lt;3,I286*5%)</f>
        <v>3289.86</v>
      </c>
    </row>
    <row r="287" spans="1:15">
      <c r="A287" s="24" t="s">
        <v>635</v>
      </c>
      <c r="B287" s="25" t="s">
        <v>74</v>
      </c>
      <c r="C287" s="25" t="s">
        <v>49</v>
      </c>
      <c r="D287" s="25" t="s">
        <v>19</v>
      </c>
      <c r="E287" s="25">
        <v>47</v>
      </c>
      <c r="F287" s="25" t="s">
        <v>35</v>
      </c>
      <c r="G287" s="25" t="s">
        <v>30</v>
      </c>
      <c r="H287" s="26">
        <v>43568</v>
      </c>
      <c r="I287" s="25">
        <v>106837</v>
      </c>
      <c r="J287" s="25" t="s">
        <v>81</v>
      </c>
      <c r="K287" s="25" t="s">
        <v>636</v>
      </c>
      <c r="L287" s="27" t="s">
        <v>39</v>
      </c>
      <c r="M287" s="28" t="str">
        <f>_xlfn.XLOOKUP(F287,Department!$A$2:$A$6,Department!$B$2:$B$6)</f>
        <v>Sales</v>
      </c>
      <c r="N287" s="30">
        <f>_xlfn.XLOOKUP(A287,Performance!$A$2:$A$501,Performance!$C$2:$C$501)</f>
        <v>3</v>
      </c>
      <c r="O287" s="28" cm="1">
        <f t="array" ref="O287">_xlfn.IFS(N287=5,I287*15%,N287=4,I287*10%,N287=3,I287*7%,N287&lt;3,I287*5%)</f>
        <v>7478.5900000000011</v>
      </c>
    </row>
    <row r="288" spans="1:15">
      <c r="A288" s="24" t="s">
        <v>637</v>
      </c>
      <c r="B288" s="25" t="s">
        <v>61</v>
      </c>
      <c r="C288" s="25" t="s">
        <v>117</v>
      </c>
      <c r="D288" s="25" t="s">
        <v>19</v>
      </c>
      <c r="E288" s="25">
        <v>52</v>
      </c>
      <c r="F288" s="25" t="s">
        <v>35</v>
      </c>
      <c r="G288" s="25" t="s">
        <v>102</v>
      </c>
      <c r="H288" s="26">
        <v>44091</v>
      </c>
      <c r="I288" s="25">
        <v>97878</v>
      </c>
      <c r="J288" s="25" t="s">
        <v>67</v>
      </c>
      <c r="K288" s="25" t="s">
        <v>638</v>
      </c>
      <c r="L288" s="27" t="s">
        <v>39</v>
      </c>
      <c r="M288" s="28" t="str">
        <f>_xlfn.XLOOKUP(F288,Department!$A$2:$A$6,Department!$B$2:$B$6)</f>
        <v>Sales</v>
      </c>
      <c r="N288" s="30">
        <f>_xlfn.XLOOKUP(A288,Performance!$A$2:$A$501,Performance!$C$2:$C$501)</f>
        <v>1</v>
      </c>
      <c r="O288" s="28" cm="1">
        <f t="array" ref="O288">_xlfn.IFS(N288=5,I288*15%,N288=4,I288*10%,N288=3,I288*7%,N288&lt;3,I288*5%)</f>
        <v>4893.9000000000005</v>
      </c>
    </row>
    <row r="289" spans="1:15">
      <c r="A289" s="24" t="s">
        <v>639</v>
      </c>
      <c r="B289" s="25" t="s">
        <v>58</v>
      </c>
      <c r="C289" s="25" t="s">
        <v>93</v>
      </c>
      <c r="D289" s="25" t="s">
        <v>19</v>
      </c>
      <c r="E289" s="25">
        <v>52</v>
      </c>
      <c r="F289" s="25" t="s">
        <v>35</v>
      </c>
      <c r="G289" s="25" t="s">
        <v>102</v>
      </c>
      <c r="H289" s="26">
        <v>44577</v>
      </c>
      <c r="I289" s="25">
        <v>42401</v>
      </c>
      <c r="J289" s="25" t="s">
        <v>67</v>
      </c>
      <c r="K289" s="25" t="s">
        <v>640</v>
      </c>
      <c r="L289" s="27" t="s">
        <v>39</v>
      </c>
      <c r="M289" s="28" t="str">
        <f>_xlfn.XLOOKUP(F289,Department!$A$2:$A$6,Department!$B$2:$B$6)</f>
        <v>Sales</v>
      </c>
      <c r="N289" s="30">
        <f>_xlfn.XLOOKUP(A289,Performance!$A$2:$A$501,Performance!$C$2:$C$501)</f>
        <v>4</v>
      </c>
      <c r="O289" s="28" cm="1">
        <f t="array" ref="O289">_xlfn.IFS(N289=5,I289*15%,N289=4,I289*10%,N289=3,I289*7%,N289&lt;3,I289*5%)</f>
        <v>4240.1000000000004</v>
      </c>
    </row>
    <row r="290" spans="1:15">
      <c r="A290" s="24" t="s">
        <v>641</v>
      </c>
      <c r="B290" s="25" t="s">
        <v>53</v>
      </c>
      <c r="C290" s="25" t="s">
        <v>141</v>
      </c>
      <c r="D290" s="25" t="s">
        <v>19</v>
      </c>
      <c r="E290" s="25">
        <v>59</v>
      </c>
      <c r="F290" s="25" t="s">
        <v>35</v>
      </c>
      <c r="G290" s="25" t="s">
        <v>30</v>
      </c>
      <c r="H290" s="26">
        <v>44290</v>
      </c>
      <c r="I290" s="25">
        <v>88760</v>
      </c>
      <c r="J290" s="25" t="s">
        <v>22</v>
      </c>
      <c r="K290" s="25" t="s">
        <v>642</v>
      </c>
      <c r="L290" s="27" t="s">
        <v>24</v>
      </c>
      <c r="M290" s="28" t="str">
        <f>_xlfn.XLOOKUP(F290,Department!$A$2:$A$6,Department!$B$2:$B$6)</f>
        <v>Sales</v>
      </c>
      <c r="N290" s="30">
        <f>_xlfn.XLOOKUP(A290,Performance!$A$2:$A$501,Performance!$C$2:$C$501)</f>
        <v>1</v>
      </c>
      <c r="O290" s="28" cm="1">
        <f t="array" ref="O290">_xlfn.IFS(N290=5,I290*15%,N290=4,I290*10%,N290=3,I290*7%,N290&lt;3,I290*5%)</f>
        <v>4438</v>
      </c>
    </row>
    <row r="291" spans="1:15">
      <c r="A291" s="24" t="s">
        <v>643</v>
      </c>
      <c r="B291" s="25" t="s">
        <v>92</v>
      </c>
      <c r="C291" s="25" t="s">
        <v>66</v>
      </c>
      <c r="D291" s="25" t="s">
        <v>28</v>
      </c>
      <c r="E291" s="25">
        <v>43</v>
      </c>
      <c r="F291" s="25" t="s">
        <v>43</v>
      </c>
      <c r="G291" s="25" t="s">
        <v>21</v>
      </c>
      <c r="H291" s="26">
        <v>44159</v>
      </c>
      <c r="I291" s="25">
        <v>55436</v>
      </c>
      <c r="J291" s="25" t="s">
        <v>81</v>
      </c>
      <c r="K291" s="25" t="s">
        <v>644</v>
      </c>
      <c r="L291" s="27" t="s">
        <v>24</v>
      </c>
      <c r="M291" s="28" t="str">
        <f>_xlfn.XLOOKUP(F291,Department!$A$2:$A$6,Department!$B$2:$B$6)</f>
        <v>Marketing</v>
      </c>
      <c r="N291" s="30">
        <f>_xlfn.XLOOKUP(A291,Performance!$A$2:$A$501,Performance!$C$2:$C$501)</f>
        <v>5</v>
      </c>
      <c r="O291" s="28" cm="1">
        <f t="array" ref="O291">_xlfn.IFS(N291=5,I291*15%,N291=4,I291*10%,N291=3,I291*7%,N291&lt;3,I291*5%)</f>
        <v>8315.4</v>
      </c>
    </row>
    <row r="292" spans="1:15">
      <c r="A292" s="24" t="s">
        <v>645</v>
      </c>
      <c r="B292" s="25" t="s">
        <v>61</v>
      </c>
      <c r="C292" s="25" t="s">
        <v>49</v>
      </c>
      <c r="D292" s="25" t="s">
        <v>19</v>
      </c>
      <c r="E292" s="25">
        <v>55</v>
      </c>
      <c r="F292" s="25" t="s">
        <v>35</v>
      </c>
      <c r="G292" s="25" t="s">
        <v>102</v>
      </c>
      <c r="H292" s="26">
        <v>44008</v>
      </c>
      <c r="I292" s="25">
        <v>84404</v>
      </c>
      <c r="J292" s="25" t="s">
        <v>22</v>
      </c>
      <c r="K292" s="25" t="s">
        <v>646</v>
      </c>
      <c r="L292" s="27" t="s">
        <v>39</v>
      </c>
      <c r="M292" s="28" t="str">
        <f>_xlfn.XLOOKUP(F292,Department!$A$2:$A$6,Department!$B$2:$B$6)</f>
        <v>Sales</v>
      </c>
      <c r="N292" s="30">
        <f>_xlfn.XLOOKUP(A292,Performance!$A$2:$A$501,Performance!$C$2:$C$501)</f>
        <v>3</v>
      </c>
      <c r="O292" s="28" cm="1">
        <f t="array" ref="O292">_xlfn.IFS(N292=5,I292*15%,N292=4,I292*10%,N292=3,I292*7%,N292&lt;3,I292*5%)</f>
        <v>5908.2800000000007</v>
      </c>
    </row>
    <row r="293" spans="1:15">
      <c r="A293" s="24" t="s">
        <v>647</v>
      </c>
      <c r="B293" s="25" t="s">
        <v>126</v>
      </c>
      <c r="C293" s="25" t="s">
        <v>117</v>
      </c>
      <c r="D293" s="25" t="s">
        <v>28</v>
      </c>
      <c r="E293" s="25">
        <v>24</v>
      </c>
      <c r="F293" s="25" t="s">
        <v>43</v>
      </c>
      <c r="G293" s="25" t="s">
        <v>30</v>
      </c>
      <c r="H293" s="26">
        <v>44331</v>
      </c>
      <c r="I293" s="25">
        <v>83157</v>
      </c>
      <c r="J293" s="25" t="s">
        <v>22</v>
      </c>
      <c r="K293" s="25" t="s">
        <v>648</v>
      </c>
      <c r="L293" s="27" t="s">
        <v>39</v>
      </c>
      <c r="M293" s="28" t="str">
        <f>_xlfn.XLOOKUP(F293,Department!$A$2:$A$6,Department!$B$2:$B$6)</f>
        <v>Marketing</v>
      </c>
      <c r="N293" s="30">
        <f>_xlfn.XLOOKUP(A293,Performance!$A$2:$A$501,Performance!$C$2:$C$501)</f>
        <v>3</v>
      </c>
      <c r="O293" s="28" cm="1">
        <f t="array" ref="O293">_xlfn.IFS(N293=5,I293*15%,N293=4,I293*10%,N293=3,I293*7%,N293&lt;3,I293*5%)</f>
        <v>5820.9900000000007</v>
      </c>
    </row>
    <row r="294" spans="1:15">
      <c r="A294" s="24" t="s">
        <v>649</v>
      </c>
      <c r="B294" s="25" t="s">
        <v>42</v>
      </c>
      <c r="C294" s="25" t="s">
        <v>49</v>
      </c>
      <c r="D294" s="25" t="s">
        <v>28</v>
      </c>
      <c r="E294" s="25">
        <v>50</v>
      </c>
      <c r="F294" s="25" t="s">
        <v>35</v>
      </c>
      <c r="G294" s="25" t="s">
        <v>30</v>
      </c>
      <c r="H294" s="26">
        <v>45136</v>
      </c>
      <c r="I294" s="25">
        <v>49330</v>
      </c>
      <c r="J294" s="25" t="s">
        <v>67</v>
      </c>
      <c r="K294" s="25" t="s">
        <v>650</v>
      </c>
      <c r="L294" s="27" t="s">
        <v>24</v>
      </c>
      <c r="M294" s="28" t="str">
        <f>_xlfn.XLOOKUP(F294,Department!$A$2:$A$6,Department!$B$2:$B$6)</f>
        <v>Sales</v>
      </c>
      <c r="N294" s="30">
        <f>_xlfn.XLOOKUP(A294,Performance!$A$2:$A$501,Performance!$C$2:$C$501)</f>
        <v>5</v>
      </c>
      <c r="O294" s="28" cm="1">
        <f t="array" ref="O294">_xlfn.IFS(N294=5,I294*15%,N294=4,I294*10%,N294=3,I294*7%,N294&lt;3,I294*5%)</f>
        <v>7399.5</v>
      </c>
    </row>
    <row r="295" spans="1:15">
      <c r="A295" s="24" t="s">
        <v>651</v>
      </c>
      <c r="B295" s="25" t="s">
        <v>17</v>
      </c>
      <c r="C295" s="25" t="s">
        <v>49</v>
      </c>
      <c r="D295" s="25" t="s">
        <v>28</v>
      </c>
      <c r="E295" s="25">
        <v>40</v>
      </c>
      <c r="F295" s="25" t="s">
        <v>29</v>
      </c>
      <c r="G295" s="25" t="s">
        <v>44</v>
      </c>
      <c r="H295" s="26">
        <v>43236</v>
      </c>
      <c r="I295" s="25">
        <v>89213</v>
      </c>
      <c r="J295" s="25" t="s">
        <v>37</v>
      </c>
      <c r="K295" s="25" t="s">
        <v>652</v>
      </c>
      <c r="L295" s="27" t="s">
        <v>24</v>
      </c>
      <c r="M295" s="28" t="str">
        <f>_xlfn.XLOOKUP(F295,Department!$A$2:$A$6,Department!$B$2:$B$6)</f>
        <v>IT</v>
      </c>
      <c r="N295" s="30">
        <f>_xlfn.XLOOKUP(A295,Performance!$A$2:$A$501,Performance!$C$2:$C$501)</f>
        <v>3</v>
      </c>
      <c r="O295" s="28" cm="1">
        <f t="array" ref="O295">_xlfn.IFS(N295=5,I295*15%,N295=4,I295*10%,N295=3,I295*7%,N295&lt;3,I295*5%)</f>
        <v>6244.9100000000008</v>
      </c>
    </row>
    <row r="296" spans="1:15">
      <c r="A296" s="24" t="s">
        <v>653</v>
      </c>
      <c r="B296" s="25" t="s">
        <v>126</v>
      </c>
      <c r="C296" s="25" t="s">
        <v>66</v>
      </c>
      <c r="D296" s="25" t="s">
        <v>28</v>
      </c>
      <c r="E296" s="25">
        <v>29</v>
      </c>
      <c r="F296" s="25" t="s">
        <v>20</v>
      </c>
      <c r="G296" s="25" t="s">
        <v>36</v>
      </c>
      <c r="H296" s="26">
        <v>44672</v>
      </c>
      <c r="I296" s="25">
        <v>75306</v>
      </c>
      <c r="J296" s="25" t="s">
        <v>67</v>
      </c>
      <c r="K296" s="25" t="s">
        <v>654</v>
      </c>
      <c r="L296" s="27" t="s">
        <v>39</v>
      </c>
      <c r="M296" s="28" t="str">
        <f>_xlfn.XLOOKUP(F296,Department!$A$2:$A$6,Department!$B$2:$B$6)</f>
        <v>HR</v>
      </c>
      <c r="N296" s="30">
        <f>_xlfn.XLOOKUP(A296,Performance!$A$2:$A$501,Performance!$C$2:$C$501)</f>
        <v>3</v>
      </c>
      <c r="O296" s="28" cm="1">
        <f t="array" ref="O296">_xlfn.IFS(N296=5,I296*15%,N296=4,I296*10%,N296=3,I296*7%,N296&lt;3,I296*5%)</f>
        <v>5271.42</v>
      </c>
    </row>
    <row r="297" spans="1:15">
      <c r="A297" s="24" t="s">
        <v>655</v>
      </c>
      <c r="B297" s="25" t="s">
        <v>34</v>
      </c>
      <c r="C297" s="25" t="s">
        <v>93</v>
      </c>
      <c r="D297" s="25" t="s">
        <v>19</v>
      </c>
      <c r="E297" s="25">
        <v>33</v>
      </c>
      <c r="F297" s="25" t="s">
        <v>29</v>
      </c>
      <c r="G297" s="25" t="s">
        <v>30</v>
      </c>
      <c r="H297" s="26">
        <v>43428</v>
      </c>
      <c r="I297" s="25">
        <v>88151</v>
      </c>
      <c r="J297" s="25" t="s">
        <v>81</v>
      </c>
      <c r="K297" s="25" t="s">
        <v>656</v>
      </c>
      <c r="L297" s="27" t="s">
        <v>39</v>
      </c>
      <c r="M297" s="28" t="str">
        <f>_xlfn.XLOOKUP(F297,Department!$A$2:$A$6,Department!$B$2:$B$6)</f>
        <v>IT</v>
      </c>
      <c r="N297" s="30">
        <f>_xlfn.XLOOKUP(A297,Performance!$A$2:$A$501,Performance!$C$2:$C$501)</f>
        <v>3</v>
      </c>
      <c r="O297" s="28" cm="1">
        <f t="array" ref="O297">_xlfn.IFS(N297=5,I297*15%,N297=4,I297*10%,N297=3,I297*7%,N297&lt;3,I297*5%)</f>
        <v>6170.5700000000006</v>
      </c>
    </row>
    <row r="298" spans="1:15">
      <c r="A298" s="24" t="s">
        <v>657</v>
      </c>
      <c r="B298" s="25" t="s">
        <v>17</v>
      </c>
      <c r="C298" s="25" t="s">
        <v>80</v>
      </c>
      <c r="D298" s="25" t="s">
        <v>28</v>
      </c>
      <c r="E298" s="25">
        <v>36</v>
      </c>
      <c r="F298" s="25" t="s">
        <v>35</v>
      </c>
      <c r="G298" s="25" t="s">
        <v>36</v>
      </c>
      <c r="H298" s="26">
        <v>45144</v>
      </c>
      <c r="I298" s="25">
        <v>112274</v>
      </c>
      <c r="J298" s="25" t="s">
        <v>62</v>
      </c>
      <c r="K298" s="25" t="s">
        <v>658</v>
      </c>
      <c r="L298" s="27" t="s">
        <v>39</v>
      </c>
      <c r="M298" s="28" t="str">
        <f>_xlfn.XLOOKUP(F298,Department!$A$2:$A$6,Department!$B$2:$B$6)</f>
        <v>Sales</v>
      </c>
      <c r="N298" s="30">
        <f>_xlfn.XLOOKUP(A298,Performance!$A$2:$A$501,Performance!$C$2:$C$501)</f>
        <v>3</v>
      </c>
      <c r="O298" s="28" cm="1">
        <f t="array" ref="O298">_xlfn.IFS(N298=5,I298*15%,N298=4,I298*10%,N298=3,I298*7%,N298&lt;3,I298*5%)</f>
        <v>7859.1800000000012</v>
      </c>
    </row>
    <row r="299" spans="1:15">
      <c r="A299" s="24" t="s">
        <v>659</v>
      </c>
      <c r="B299" s="25" t="s">
        <v>74</v>
      </c>
      <c r="C299" s="25" t="s">
        <v>18</v>
      </c>
      <c r="D299" s="25" t="s">
        <v>19</v>
      </c>
      <c r="E299" s="25">
        <v>39</v>
      </c>
      <c r="F299" s="25" t="s">
        <v>20</v>
      </c>
      <c r="G299" s="25" t="s">
        <v>44</v>
      </c>
      <c r="H299" s="26">
        <v>44096</v>
      </c>
      <c r="I299" s="25">
        <v>55507</v>
      </c>
      <c r="J299" s="25" t="s">
        <v>81</v>
      </c>
      <c r="K299" s="25" t="s">
        <v>660</v>
      </c>
      <c r="L299" s="27" t="s">
        <v>24</v>
      </c>
      <c r="M299" s="28" t="str">
        <f>_xlfn.XLOOKUP(F299,Department!$A$2:$A$6,Department!$B$2:$B$6)</f>
        <v>HR</v>
      </c>
      <c r="N299" s="30">
        <f>_xlfn.XLOOKUP(A299,Performance!$A$2:$A$501,Performance!$C$2:$C$501)</f>
        <v>3</v>
      </c>
      <c r="O299" s="28" cm="1">
        <f t="array" ref="O299">_xlfn.IFS(N299=5,I299*15%,N299=4,I299*10%,N299=3,I299*7%,N299&lt;3,I299*5%)</f>
        <v>3885.4900000000002</v>
      </c>
    </row>
    <row r="300" spans="1:15">
      <c r="A300" s="24" t="s">
        <v>661</v>
      </c>
      <c r="B300" s="25" t="s">
        <v>34</v>
      </c>
      <c r="C300" s="25" t="s">
        <v>93</v>
      </c>
      <c r="D300" s="25" t="s">
        <v>19</v>
      </c>
      <c r="E300" s="25">
        <v>24</v>
      </c>
      <c r="F300" s="25" t="s">
        <v>54</v>
      </c>
      <c r="G300" s="25" t="s">
        <v>21</v>
      </c>
      <c r="H300" s="26">
        <v>45217</v>
      </c>
      <c r="I300" s="25">
        <v>66638</v>
      </c>
      <c r="J300" s="25" t="s">
        <v>67</v>
      </c>
      <c r="K300" s="25" t="s">
        <v>662</v>
      </c>
      <c r="L300" s="27" t="s">
        <v>24</v>
      </c>
      <c r="M300" s="28" t="str">
        <f>_xlfn.XLOOKUP(F300,Department!$A$2:$A$6,Department!$B$2:$B$6)</f>
        <v>Finance</v>
      </c>
      <c r="N300" s="30">
        <f>_xlfn.XLOOKUP(A300,Performance!$A$2:$A$501,Performance!$C$2:$C$501)</f>
        <v>5</v>
      </c>
      <c r="O300" s="28" cm="1">
        <f t="array" ref="O300">_xlfn.IFS(N300=5,I300*15%,N300=4,I300*10%,N300=3,I300*7%,N300&lt;3,I300*5%)</f>
        <v>9995.6999999999989</v>
      </c>
    </row>
    <row r="301" spans="1:15">
      <c r="A301" s="24" t="s">
        <v>663</v>
      </c>
      <c r="B301" s="25" t="s">
        <v>48</v>
      </c>
      <c r="C301" s="25" t="s">
        <v>80</v>
      </c>
      <c r="D301" s="25" t="s">
        <v>19</v>
      </c>
      <c r="E301" s="25">
        <v>51</v>
      </c>
      <c r="F301" s="25" t="s">
        <v>20</v>
      </c>
      <c r="G301" s="25" t="s">
        <v>102</v>
      </c>
      <c r="H301" s="26">
        <v>44061</v>
      </c>
      <c r="I301" s="25">
        <v>43356</v>
      </c>
      <c r="J301" s="25" t="s">
        <v>67</v>
      </c>
      <c r="K301" s="25" t="s">
        <v>664</v>
      </c>
      <c r="L301" s="27" t="s">
        <v>24</v>
      </c>
      <c r="M301" s="28" t="str">
        <f>_xlfn.XLOOKUP(F301,Department!$A$2:$A$6,Department!$B$2:$B$6)</f>
        <v>HR</v>
      </c>
      <c r="N301" s="30">
        <f>_xlfn.XLOOKUP(A301,Performance!$A$2:$A$501,Performance!$C$2:$C$501)</f>
        <v>1</v>
      </c>
      <c r="O301" s="28" cm="1">
        <f t="array" ref="O301">_xlfn.IFS(N301=5,I301*15%,N301=4,I301*10%,N301=3,I301*7%,N301&lt;3,I301*5%)</f>
        <v>2167.8000000000002</v>
      </c>
    </row>
    <row r="302" spans="1:15">
      <c r="A302" s="24" t="s">
        <v>665</v>
      </c>
      <c r="B302" s="25" t="s">
        <v>42</v>
      </c>
      <c r="C302" s="25" t="s">
        <v>117</v>
      </c>
      <c r="D302" s="25" t="s">
        <v>19</v>
      </c>
      <c r="E302" s="25">
        <v>44</v>
      </c>
      <c r="F302" s="25" t="s">
        <v>35</v>
      </c>
      <c r="G302" s="25" t="s">
        <v>44</v>
      </c>
      <c r="H302" s="26">
        <v>45341</v>
      </c>
      <c r="I302" s="25">
        <v>82425</v>
      </c>
      <c r="J302" s="25" t="s">
        <v>81</v>
      </c>
      <c r="K302" s="25" t="s">
        <v>666</v>
      </c>
      <c r="L302" s="27" t="s">
        <v>24</v>
      </c>
      <c r="M302" s="28" t="str">
        <f>_xlfn.XLOOKUP(F302,Department!$A$2:$A$6,Department!$B$2:$B$6)</f>
        <v>Sales</v>
      </c>
      <c r="N302" s="30">
        <f>_xlfn.XLOOKUP(A302,Performance!$A$2:$A$501,Performance!$C$2:$C$501)</f>
        <v>4</v>
      </c>
      <c r="O302" s="28" cm="1">
        <f t="array" ref="O302">_xlfn.IFS(N302=5,I302*15%,N302=4,I302*10%,N302=3,I302*7%,N302&lt;3,I302*5%)</f>
        <v>8242.5</v>
      </c>
    </row>
    <row r="303" spans="1:15">
      <c r="A303" s="24" t="s">
        <v>667</v>
      </c>
      <c r="B303" s="25" t="s">
        <v>48</v>
      </c>
      <c r="C303" s="25" t="s">
        <v>27</v>
      </c>
      <c r="D303" s="25" t="s">
        <v>19</v>
      </c>
      <c r="E303" s="25">
        <v>23</v>
      </c>
      <c r="F303" s="25" t="s">
        <v>43</v>
      </c>
      <c r="G303" s="25" t="s">
        <v>44</v>
      </c>
      <c r="H303" s="26">
        <v>43125</v>
      </c>
      <c r="I303" s="25">
        <v>79670</v>
      </c>
      <c r="J303" s="25" t="s">
        <v>81</v>
      </c>
      <c r="K303" s="25" t="s">
        <v>668</v>
      </c>
      <c r="L303" s="27" t="s">
        <v>39</v>
      </c>
      <c r="M303" s="28" t="str">
        <f>_xlfn.XLOOKUP(F303,Department!$A$2:$A$6,Department!$B$2:$B$6)</f>
        <v>Marketing</v>
      </c>
      <c r="N303" s="30">
        <f>_xlfn.XLOOKUP(A303,Performance!$A$2:$A$501,Performance!$C$2:$C$501)</f>
        <v>2</v>
      </c>
      <c r="O303" s="28" cm="1">
        <f t="array" ref="O303">_xlfn.IFS(N303=5,I303*15%,N303=4,I303*10%,N303=3,I303*7%,N303&lt;3,I303*5%)</f>
        <v>3983.5</v>
      </c>
    </row>
    <row r="304" spans="1:15">
      <c r="A304" s="24" t="s">
        <v>669</v>
      </c>
      <c r="B304" s="25" t="s">
        <v>17</v>
      </c>
      <c r="C304" s="25" t="s">
        <v>18</v>
      </c>
      <c r="D304" s="25" t="s">
        <v>28</v>
      </c>
      <c r="E304" s="25">
        <v>58</v>
      </c>
      <c r="F304" s="25" t="s">
        <v>54</v>
      </c>
      <c r="G304" s="25" t="s">
        <v>36</v>
      </c>
      <c r="H304" s="26">
        <v>43806</v>
      </c>
      <c r="I304" s="25">
        <v>85427</v>
      </c>
      <c r="J304" s="25" t="s">
        <v>67</v>
      </c>
      <c r="K304" s="25" t="s">
        <v>670</v>
      </c>
      <c r="L304" s="27" t="s">
        <v>39</v>
      </c>
      <c r="M304" s="28" t="str">
        <f>_xlfn.XLOOKUP(F304,Department!$A$2:$A$6,Department!$B$2:$B$6)</f>
        <v>Finance</v>
      </c>
      <c r="N304" s="30">
        <f>_xlfn.XLOOKUP(A304,Performance!$A$2:$A$501,Performance!$C$2:$C$501)</f>
        <v>1</v>
      </c>
      <c r="O304" s="28" cm="1">
        <f t="array" ref="O304">_xlfn.IFS(N304=5,I304*15%,N304=4,I304*10%,N304=3,I304*7%,N304&lt;3,I304*5%)</f>
        <v>4271.3500000000004</v>
      </c>
    </row>
    <row r="305" spans="1:15">
      <c r="A305" s="24" t="s">
        <v>671</v>
      </c>
      <c r="B305" s="25" t="s">
        <v>126</v>
      </c>
      <c r="C305" s="25" t="s">
        <v>93</v>
      </c>
      <c r="D305" s="25" t="s">
        <v>19</v>
      </c>
      <c r="E305" s="25">
        <v>25</v>
      </c>
      <c r="F305" s="25" t="s">
        <v>29</v>
      </c>
      <c r="G305" s="25" t="s">
        <v>102</v>
      </c>
      <c r="H305" s="26">
        <v>43656</v>
      </c>
      <c r="I305" s="25">
        <v>76975</v>
      </c>
      <c r="J305" s="25" t="s">
        <v>37</v>
      </c>
      <c r="K305" s="25" t="s">
        <v>672</v>
      </c>
      <c r="L305" s="27" t="s">
        <v>24</v>
      </c>
      <c r="M305" s="28" t="str">
        <f>_xlfn.XLOOKUP(F305,Department!$A$2:$A$6,Department!$B$2:$B$6)</f>
        <v>IT</v>
      </c>
      <c r="N305" s="30">
        <f>_xlfn.XLOOKUP(A305,Performance!$A$2:$A$501,Performance!$C$2:$C$501)</f>
        <v>5</v>
      </c>
      <c r="O305" s="28" cm="1">
        <f t="array" ref="O305">_xlfn.IFS(N305=5,I305*15%,N305=4,I305*10%,N305=3,I305*7%,N305&lt;3,I305*5%)</f>
        <v>11546.25</v>
      </c>
    </row>
    <row r="306" spans="1:15">
      <c r="A306" s="24" t="s">
        <v>673</v>
      </c>
      <c r="B306" s="25" t="s">
        <v>42</v>
      </c>
      <c r="C306" s="25" t="s">
        <v>49</v>
      </c>
      <c r="D306" s="25" t="s">
        <v>19</v>
      </c>
      <c r="E306" s="25">
        <v>40</v>
      </c>
      <c r="F306" s="25" t="s">
        <v>20</v>
      </c>
      <c r="G306" s="25" t="s">
        <v>44</v>
      </c>
      <c r="H306" s="26">
        <v>43553</v>
      </c>
      <c r="I306" s="25">
        <v>52019</v>
      </c>
      <c r="J306" s="25" t="s">
        <v>81</v>
      </c>
      <c r="K306" s="25" t="s">
        <v>674</v>
      </c>
      <c r="L306" s="27" t="s">
        <v>24</v>
      </c>
      <c r="M306" s="28" t="str">
        <f>_xlfn.XLOOKUP(F306,Department!$A$2:$A$6,Department!$B$2:$B$6)</f>
        <v>HR</v>
      </c>
      <c r="N306" s="30">
        <f>_xlfn.XLOOKUP(A306,Performance!$A$2:$A$501,Performance!$C$2:$C$501)</f>
        <v>2</v>
      </c>
      <c r="O306" s="28" cm="1">
        <f t="array" ref="O306">_xlfn.IFS(N306=5,I306*15%,N306=4,I306*10%,N306=3,I306*7%,N306&lt;3,I306*5%)</f>
        <v>2600.9500000000003</v>
      </c>
    </row>
    <row r="307" spans="1:15">
      <c r="A307" s="24" t="s">
        <v>675</v>
      </c>
      <c r="B307" s="25" t="s">
        <v>61</v>
      </c>
      <c r="C307" s="25" t="s">
        <v>117</v>
      </c>
      <c r="D307" s="25" t="s">
        <v>19</v>
      </c>
      <c r="E307" s="25">
        <v>22</v>
      </c>
      <c r="F307" s="25" t="s">
        <v>20</v>
      </c>
      <c r="G307" s="25" t="s">
        <v>102</v>
      </c>
      <c r="H307" s="26">
        <v>44337</v>
      </c>
      <c r="I307" s="25">
        <v>89336</v>
      </c>
      <c r="J307" s="25" t="s">
        <v>67</v>
      </c>
      <c r="K307" s="25" t="s">
        <v>676</v>
      </c>
      <c r="L307" s="27" t="s">
        <v>24</v>
      </c>
      <c r="M307" s="28" t="str">
        <f>_xlfn.XLOOKUP(F307,Department!$A$2:$A$6,Department!$B$2:$B$6)</f>
        <v>HR</v>
      </c>
      <c r="N307" s="30">
        <f>_xlfn.XLOOKUP(A307,Performance!$A$2:$A$501,Performance!$C$2:$C$501)</f>
        <v>2</v>
      </c>
      <c r="O307" s="28" cm="1">
        <f t="array" ref="O307">_xlfn.IFS(N307=5,I307*15%,N307=4,I307*10%,N307=3,I307*7%,N307&lt;3,I307*5%)</f>
        <v>4466.8</v>
      </c>
    </row>
    <row r="308" spans="1:15">
      <c r="A308" s="24" t="s">
        <v>677</v>
      </c>
      <c r="B308" s="25" t="s">
        <v>42</v>
      </c>
      <c r="C308" s="25" t="s">
        <v>80</v>
      </c>
      <c r="D308" s="25" t="s">
        <v>28</v>
      </c>
      <c r="E308" s="25">
        <v>41</v>
      </c>
      <c r="F308" s="25" t="s">
        <v>54</v>
      </c>
      <c r="G308" s="25" t="s">
        <v>36</v>
      </c>
      <c r="H308" s="26">
        <v>45179</v>
      </c>
      <c r="I308" s="25">
        <v>81363</v>
      </c>
      <c r="J308" s="25" t="s">
        <v>62</v>
      </c>
      <c r="K308" s="25" t="s">
        <v>678</v>
      </c>
      <c r="L308" s="27" t="s">
        <v>39</v>
      </c>
      <c r="M308" s="28" t="str">
        <f>_xlfn.XLOOKUP(F308,Department!$A$2:$A$6,Department!$B$2:$B$6)</f>
        <v>Finance</v>
      </c>
      <c r="N308" s="30">
        <f>_xlfn.XLOOKUP(A308,Performance!$A$2:$A$501,Performance!$C$2:$C$501)</f>
        <v>2</v>
      </c>
      <c r="O308" s="28" cm="1">
        <f t="array" ref="O308">_xlfn.IFS(N308=5,I308*15%,N308=4,I308*10%,N308=3,I308*7%,N308&lt;3,I308*5%)</f>
        <v>4068.15</v>
      </c>
    </row>
    <row r="309" spans="1:15">
      <c r="A309" s="24" t="s">
        <v>679</v>
      </c>
      <c r="B309" s="25" t="s">
        <v>53</v>
      </c>
      <c r="C309" s="25" t="s">
        <v>84</v>
      </c>
      <c r="D309" s="25" t="s">
        <v>28</v>
      </c>
      <c r="E309" s="25">
        <v>45</v>
      </c>
      <c r="F309" s="25" t="s">
        <v>54</v>
      </c>
      <c r="G309" s="25" t="s">
        <v>21</v>
      </c>
      <c r="H309" s="26">
        <v>43363</v>
      </c>
      <c r="I309" s="25">
        <v>74751</v>
      </c>
      <c r="J309" s="25" t="s">
        <v>62</v>
      </c>
      <c r="K309" s="25" t="s">
        <v>680</v>
      </c>
      <c r="L309" s="27" t="s">
        <v>24</v>
      </c>
      <c r="M309" s="28" t="str">
        <f>_xlfn.XLOOKUP(F309,Department!$A$2:$A$6,Department!$B$2:$B$6)</f>
        <v>Finance</v>
      </c>
      <c r="N309" s="30">
        <f>_xlfn.XLOOKUP(A309,Performance!$A$2:$A$501,Performance!$C$2:$C$501)</f>
        <v>3</v>
      </c>
      <c r="O309" s="28" cm="1">
        <f t="array" ref="O309">_xlfn.IFS(N309=5,I309*15%,N309=4,I309*10%,N309=3,I309*7%,N309&lt;3,I309*5%)</f>
        <v>5232.5700000000006</v>
      </c>
    </row>
    <row r="310" spans="1:15">
      <c r="A310" s="24" t="s">
        <v>681</v>
      </c>
      <c r="B310" s="25" t="s">
        <v>126</v>
      </c>
      <c r="C310" s="25" t="s">
        <v>66</v>
      </c>
      <c r="D310" s="25" t="s">
        <v>19</v>
      </c>
      <c r="E310" s="25">
        <v>55</v>
      </c>
      <c r="F310" s="25" t="s">
        <v>54</v>
      </c>
      <c r="G310" s="25" t="s">
        <v>44</v>
      </c>
      <c r="H310" s="26">
        <v>44546</v>
      </c>
      <c r="I310" s="25">
        <v>75014</v>
      </c>
      <c r="J310" s="25" t="s">
        <v>67</v>
      </c>
      <c r="K310" s="25" t="s">
        <v>682</v>
      </c>
      <c r="L310" s="27" t="s">
        <v>24</v>
      </c>
      <c r="M310" s="28" t="str">
        <f>_xlfn.XLOOKUP(F310,Department!$A$2:$A$6,Department!$B$2:$B$6)</f>
        <v>Finance</v>
      </c>
      <c r="N310" s="30">
        <f>_xlfn.XLOOKUP(A310,Performance!$A$2:$A$501,Performance!$C$2:$C$501)</f>
        <v>1</v>
      </c>
      <c r="O310" s="28" cm="1">
        <f t="array" ref="O310">_xlfn.IFS(N310=5,I310*15%,N310=4,I310*10%,N310=3,I310*7%,N310&lt;3,I310*5%)</f>
        <v>3750.7000000000003</v>
      </c>
    </row>
    <row r="311" spans="1:15">
      <c r="A311" s="24" t="s">
        <v>683</v>
      </c>
      <c r="B311" s="25" t="s">
        <v>58</v>
      </c>
      <c r="C311" s="25" t="s">
        <v>66</v>
      </c>
      <c r="D311" s="25" t="s">
        <v>19</v>
      </c>
      <c r="E311" s="25">
        <v>55</v>
      </c>
      <c r="F311" s="25" t="s">
        <v>43</v>
      </c>
      <c r="G311" s="25" t="s">
        <v>30</v>
      </c>
      <c r="H311" s="26">
        <v>44608</v>
      </c>
      <c r="I311" s="25">
        <v>98004</v>
      </c>
      <c r="J311" s="25" t="s">
        <v>62</v>
      </c>
      <c r="K311" s="25" t="s">
        <v>684</v>
      </c>
      <c r="L311" s="27" t="s">
        <v>39</v>
      </c>
      <c r="M311" s="28" t="str">
        <f>_xlfn.XLOOKUP(F311,Department!$A$2:$A$6,Department!$B$2:$B$6)</f>
        <v>Marketing</v>
      </c>
      <c r="N311" s="30">
        <f>_xlfn.XLOOKUP(A311,Performance!$A$2:$A$501,Performance!$C$2:$C$501)</f>
        <v>3</v>
      </c>
      <c r="O311" s="28" cm="1">
        <f t="array" ref="O311">_xlfn.IFS(N311=5,I311*15%,N311=4,I311*10%,N311=3,I311*7%,N311&lt;3,I311*5%)</f>
        <v>6860.2800000000007</v>
      </c>
    </row>
    <row r="312" spans="1:15">
      <c r="A312" s="24" t="s">
        <v>685</v>
      </c>
      <c r="B312" s="25" t="s">
        <v>58</v>
      </c>
      <c r="C312" s="25" t="s">
        <v>27</v>
      </c>
      <c r="D312" s="25" t="s">
        <v>19</v>
      </c>
      <c r="E312" s="25">
        <v>27</v>
      </c>
      <c r="F312" s="25" t="s">
        <v>54</v>
      </c>
      <c r="G312" s="25" t="s">
        <v>21</v>
      </c>
      <c r="H312" s="26">
        <v>43322</v>
      </c>
      <c r="I312" s="25">
        <v>86048</v>
      </c>
      <c r="J312" s="25" t="s">
        <v>22</v>
      </c>
      <c r="K312" s="25" t="s">
        <v>686</v>
      </c>
      <c r="L312" s="27" t="s">
        <v>24</v>
      </c>
      <c r="M312" s="28" t="str">
        <f>_xlfn.XLOOKUP(F312,Department!$A$2:$A$6,Department!$B$2:$B$6)</f>
        <v>Finance</v>
      </c>
      <c r="N312" s="30">
        <f>_xlfn.XLOOKUP(A312,Performance!$A$2:$A$501,Performance!$C$2:$C$501)</f>
        <v>2</v>
      </c>
      <c r="O312" s="28" cm="1">
        <f t="array" ref="O312">_xlfn.IFS(N312=5,I312*15%,N312=4,I312*10%,N312=3,I312*7%,N312&lt;3,I312*5%)</f>
        <v>4302.4000000000005</v>
      </c>
    </row>
    <row r="313" spans="1:15">
      <c r="A313" s="24" t="s">
        <v>687</v>
      </c>
      <c r="B313" s="25" t="s">
        <v>126</v>
      </c>
      <c r="C313" s="25" t="s">
        <v>141</v>
      </c>
      <c r="D313" s="25" t="s">
        <v>28</v>
      </c>
      <c r="E313" s="25">
        <v>47</v>
      </c>
      <c r="F313" s="25" t="s">
        <v>35</v>
      </c>
      <c r="G313" s="25" t="s">
        <v>36</v>
      </c>
      <c r="H313" s="26">
        <v>43587</v>
      </c>
      <c r="I313" s="25">
        <v>105072</v>
      </c>
      <c r="J313" s="25" t="s">
        <v>37</v>
      </c>
      <c r="K313" s="25" t="s">
        <v>688</v>
      </c>
      <c r="L313" s="27" t="s">
        <v>39</v>
      </c>
      <c r="M313" s="28" t="str">
        <f>_xlfn.XLOOKUP(F313,Department!$A$2:$A$6,Department!$B$2:$B$6)</f>
        <v>Sales</v>
      </c>
      <c r="N313" s="30">
        <f>_xlfn.XLOOKUP(A313,Performance!$A$2:$A$501,Performance!$C$2:$C$501)</f>
        <v>4</v>
      </c>
      <c r="O313" s="28" cm="1">
        <f t="array" ref="O313">_xlfn.IFS(N313=5,I313*15%,N313=4,I313*10%,N313=3,I313*7%,N313&lt;3,I313*5%)</f>
        <v>10507.2</v>
      </c>
    </row>
    <row r="314" spans="1:15">
      <c r="A314" s="24" t="s">
        <v>689</v>
      </c>
      <c r="B314" s="25" t="s">
        <v>48</v>
      </c>
      <c r="C314" s="25" t="s">
        <v>141</v>
      </c>
      <c r="D314" s="25" t="s">
        <v>28</v>
      </c>
      <c r="E314" s="25">
        <v>24</v>
      </c>
      <c r="F314" s="25" t="s">
        <v>43</v>
      </c>
      <c r="G314" s="25" t="s">
        <v>21</v>
      </c>
      <c r="H314" s="26">
        <v>45169</v>
      </c>
      <c r="I314" s="25">
        <v>54389</v>
      </c>
      <c r="J314" s="25" t="s">
        <v>37</v>
      </c>
      <c r="K314" s="25" t="s">
        <v>690</v>
      </c>
      <c r="L314" s="27" t="s">
        <v>39</v>
      </c>
      <c r="M314" s="28" t="str">
        <f>_xlfn.XLOOKUP(F314,Department!$A$2:$A$6,Department!$B$2:$B$6)</f>
        <v>Marketing</v>
      </c>
      <c r="N314" s="30">
        <f>_xlfn.XLOOKUP(A314,Performance!$A$2:$A$501,Performance!$C$2:$C$501)</f>
        <v>5</v>
      </c>
      <c r="O314" s="28" cm="1">
        <f t="array" ref="O314">_xlfn.IFS(N314=5,I314*15%,N314=4,I314*10%,N314=3,I314*7%,N314&lt;3,I314*5%)</f>
        <v>8158.3499999999995</v>
      </c>
    </row>
    <row r="315" spans="1:15">
      <c r="A315" s="24" t="s">
        <v>691</v>
      </c>
      <c r="B315" s="25" t="s">
        <v>34</v>
      </c>
      <c r="C315" s="25" t="s">
        <v>27</v>
      </c>
      <c r="D315" s="25" t="s">
        <v>19</v>
      </c>
      <c r="E315" s="25">
        <v>58</v>
      </c>
      <c r="F315" s="25" t="s">
        <v>54</v>
      </c>
      <c r="G315" s="25" t="s">
        <v>21</v>
      </c>
      <c r="H315" s="26">
        <v>43164</v>
      </c>
      <c r="I315" s="25">
        <v>48029</v>
      </c>
      <c r="J315" s="25" t="s">
        <v>37</v>
      </c>
      <c r="K315" s="25" t="s">
        <v>692</v>
      </c>
      <c r="L315" s="27" t="s">
        <v>24</v>
      </c>
      <c r="M315" s="28" t="str">
        <f>_xlfn.XLOOKUP(F315,Department!$A$2:$A$6,Department!$B$2:$B$6)</f>
        <v>Finance</v>
      </c>
      <c r="N315" s="30">
        <f>_xlfn.XLOOKUP(A315,Performance!$A$2:$A$501,Performance!$C$2:$C$501)</f>
        <v>3</v>
      </c>
      <c r="O315" s="28" cm="1">
        <f t="array" ref="O315">_xlfn.IFS(N315=5,I315*15%,N315=4,I315*10%,N315=3,I315*7%,N315&lt;3,I315*5%)</f>
        <v>3362.03</v>
      </c>
    </row>
    <row r="316" spans="1:15">
      <c r="A316" s="24" t="s">
        <v>693</v>
      </c>
      <c r="B316" s="25" t="s">
        <v>17</v>
      </c>
      <c r="C316" s="25" t="s">
        <v>141</v>
      </c>
      <c r="D316" s="25" t="s">
        <v>19</v>
      </c>
      <c r="E316" s="25">
        <v>45</v>
      </c>
      <c r="F316" s="25" t="s">
        <v>54</v>
      </c>
      <c r="G316" s="25" t="s">
        <v>21</v>
      </c>
      <c r="H316" s="26">
        <v>44014</v>
      </c>
      <c r="I316" s="25">
        <v>98879</v>
      </c>
      <c r="J316" s="25" t="s">
        <v>67</v>
      </c>
      <c r="K316" s="25" t="s">
        <v>694</v>
      </c>
      <c r="L316" s="27" t="s">
        <v>24</v>
      </c>
      <c r="M316" s="28" t="str">
        <f>_xlfn.XLOOKUP(F316,Department!$A$2:$A$6,Department!$B$2:$B$6)</f>
        <v>Finance</v>
      </c>
      <c r="N316" s="30">
        <f>_xlfn.XLOOKUP(A316,Performance!$A$2:$A$501,Performance!$C$2:$C$501)</f>
        <v>1</v>
      </c>
      <c r="O316" s="28" cm="1">
        <f t="array" ref="O316">_xlfn.IFS(N316=5,I316*15%,N316=4,I316*10%,N316=3,I316*7%,N316&lt;3,I316*5%)</f>
        <v>4943.9500000000007</v>
      </c>
    </row>
    <row r="317" spans="1:15">
      <c r="A317" s="24" t="s">
        <v>695</v>
      </c>
      <c r="B317" s="25" t="s">
        <v>58</v>
      </c>
      <c r="C317" s="25" t="s">
        <v>117</v>
      </c>
      <c r="D317" s="25" t="s">
        <v>19</v>
      </c>
      <c r="E317" s="25">
        <v>41</v>
      </c>
      <c r="F317" s="25" t="s">
        <v>43</v>
      </c>
      <c r="G317" s="25" t="s">
        <v>44</v>
      </c>
      <c r="H317" s="26">
        <v>43729</v>
      </c>
      <c r="I317" s="25">
        <v>41158</v>
      </c>
      <c r="J317" s="25" t="s">
        <v>22</v>
      </c>
      <c r="K317" s="25" t="s">
        <v>696</v>
      </c>
      <c r="L317" s="27" t="s">
        <v>39</v>
      </c>
      <c r="M317" s="28" t="str">
        <f>_xlfn.XLOOKUP(F317,Department!$A$2:$A$6,Department!$B$2:$B$6)</f>
        <v>Marketing</v>
      </c>
      <c r="N317" s="30">
        <f>_xlfn.XLOOKUP(A317,Performance!$A$2:$A$501,Performance!$C$2:$C$501)</f>
        <v>5</v>
      </c>
      <c r="O317" s="28" cm="1">
        <f t="array" ref="O317">_xlfn.IFS(N317=5,I317*15%,N317=4,I317*10%,N317=3,I317*7%,N317&lt;3,I317*5%)</f>
        <v>6173.7</v>
      </c>
    </row>
    <row r="318" spans="1:15">
      <c r="A318" s="24" t="s">
        <v>697</v>
      </c>
      <c r="B318" s="25" t="s">
        <v>58</v>
      </c>
      <c r="C318" s="25" t="s">
        <v>27</v>
      </c>
      <c r="D318" s="25" t="s">
        <v>28</v>
      </c>
      <c r="E318" s="25">
        <v>31</v>
      </c>
      <c r="F318" s="25" t="s">
        <v>35</v>
      </c>
      <c r="G318" s="25" t="s">
        <v>30</v>
      </c>
      <c r="H318" s="26">
        <v>43474</v>
      </c>
      <c r="I318" s="25">
        <v>57027</v>
      </c>
      <c r="J318" s="25" t="s">
        <v>37</v>
      </c>
      <c r="K318" s="25" t="s">
        <v>698</v>
      </c>
      <c r="L318" s="27" t="s">
        <v>39</v>
      </c>
      <c r="M318" s="28" t="str">
        <f>_xlfn.XLOOKUP(F318,Department!$A$2:$A$6,Department!$B$2:$B$6)</f>
        <v>Sales</v>
      </c>
      <c r="N318" s="30">
        <f>_xlfn.XLOOKUP(A318,Performance!$A$2:$A$501,Performance!$C$2:$C$501)</f>
        <v>2</v>
      </c>
      <c r="O318" s="28" cm="1">
        <f t="array" ref="O318">_xlfn.IFS(N318=5,I318*15%,N318=4,I318*10%,N318=3,I318*7%,N318&lt;3,I318*5%)</f>
        <v>2851.3500000000004</v>
      </c>
    </row>
    <row r="319" spans="1:15">
      <c r="A319" s="24" t="s">
        <v>699</v>
      </c>
      <c r="B319" s="25" t="s">
        <v>126</v>
      </c>
      <c r="C319" s="25" t="s">
        <v>117</v>
      </c>
      <c r="D319" s="25" t="s">
        <v>19</v>
      </c>
      <c r="E319" s="25">
        <v>24</v>
      </c>
      <c r="F319" s="25" t="s">
        <v>35</v>
      </c>
      <c r="G319" s="25" t="s">
        <v>30</v>
      </c>
      <c r="H319" s="26">
        <v>43449</v>
      </c>
      <c r="I319" s="25">
        <v>56782</v>
      </c>
      <c r="J319" s="25" t="s">
        <v>37</v>
      </c>
      <c r="K319" s="25" t="s">
        <v>700</v>
      </c>
      <c r="L319" s="27" t="s">
        <v>24</v>
      </c>
      <c r="M319" s="28" t="str">
        <f>_xlfn.XLOOKUP(F319,Department!$A$2:$A$6,Department!$B$2:$B$6)</f>
        <v>Sales</v>
      </c>
      <c r="N319" s="30">
        <f>_xlfn.XLOOKUP(A319,Performance!$A$2:$A$501,Performance!$C$2:$C$501)</f>
        <v>2</v>
      </c>
      <c r="O319" s="28" cm="1">
        <f t="array" ref="O319">_xlfn.IFS(N319=5,I319*15%,N319=4,I319*10%,N319=3,I319*7%,N319&lt;3,I319*5%)</f>
        <v>2839.1000000000004</v>
      </c>
    </row>
    <row r="320" spans="1:15">
      <c r="A320" s="24" t="s">
        <v>701</v>
      </c>
      <c r="B320" s="25" t="s">
        <v>42</v>
      </c>
      <c r="C320" s="25" t="s">
        <v>93</v>
      </c>
      <c r="D320" s="25" t="s">
        <v>19</v>
      </c>
      <c r="E320" s="25">
        <v>53</v>
      </c>
      <c r="F320" s="25" t="s">
        <v>35</v>
      </c>
      <c r="G320" s="25" t="s">
        <v>21</v>
      </c>
      <c r="H320" s="26">
        <v>44038</v>
      </c>
      <c r="I320" s="25">
        <v>50653</v>
      </c>
      <c r="J320" s="25" t="s">
        <v>22</v>
      </c>
      <c r="K320" s="25" t="s">
        <v>702</v>
      </c>
      <c r="L320" s="27" t="s">
        <v>39</v>
      </c>
      <c r="M320" s="28" t="str">
        <f>_xlfn.XLOOKUP(F320,Department!$A$2:$A$6,Department!$B$2:$B$6)</f>
        <v>Sales</v>
      </c>
      <c r="N320" s="30">
        <f>_xlfn.XLOOKUP(A320,Performance!$A$2:$A$501,Performance!$C$2:$C$501)</f>
        <v>3</v>
      </c>
      <c r="O320" s="28" cm="1">
        <f t="array" ref="O320">_xlfn.IFS(N320=5,I320*15%,N320=4,I320*10%,N320=3,I320*7%,N320&lt;3,I320*5%)</f>
        <v>3545.7100000000005</v>
      </c>
    </row>
    <row r="321" spans="1:15">
      <c r="A321" s="24" t="s">
        <v>703</v>
      </c>
      <c r="B321" s="25" t="s">
        <v>42</v>
      </c>
      <c r="C321" s="25" t="s">
        <v>84</v>
      </c>
      <c r="D321" s="25" t="s">
        <v>19</v>
      </c>
      <c r="E321" s="25">
        <v>37</v>
      </c>
      <c r="F321" s="25" t="s">
        <v>20</v>
      </c>
      <c r="G321" s="25" t="s">
        <v>44</v>
      </c>
      <c r="H321" s="26">
        <v>44316</v>
      </c>
      <c r="I321" s="25">
        <v>104915</v>
      </c>
      <c r="J321" s="25" t="s">
        <v>81</v>
      </c>
      <c r="K321" s="25" t="s">
        <v>704</v>
      </c>
      <c r="L321" s="27" t="s">
        <v>39</v>
      </c>
      <c r="M321" s="28" t="str">
        <f>_xlfn.XLOOKUP(F321,Department!$A$2:$A$6,Department!$B$2:$B$6)</f>
        <v>HR</v>
      </c>
      <c r="N321" s="30">
        <f>_xlfn.XLOOKUP(A321,Performance!$A$2:$A$501,Performance!$C$2:$C$501)</f>
        <v>2</v>
      </c>
      <c r="O321" s="28" cm="1">
        <f t="array" ref="O321">_xlfn.IFS(N321=5,I321*15%,N321=4,I321*10%,N321=3,I321*7%,N321&lt;3,I321*5%)</f>
        <v>5245.75</v>
      </c>
    </row>
    <row r="322" spans="1:15">
      <c r="A322" s="24" t="s">
        <v>705</v>
      </c>
      <c r="B322" s="25" t="s">
        <v>48</v>
      </c>
      <c r="C322" s="25" t="s">
        <v>93</v>
      </c>
      <c r="D322" s="25" t="s">
        <v>28</v>
      </c>
      <c r="E322" s="25">
        <v>43</v>
      </c>
      <c r="F322" s="25" t="s">
        <v>35</v>
      </c>
      <c r="G322" s="25" t="s">
        <v>44</v>
      </c>
      <c r="H322" s="26">
        <v>44814</v>
      </c>
      <c r="I322" s="25">
        <v>87776</v>
      </c>
      <c r="J322" s="25" t="s">
        <v>81</v>
      </c>
      <c r="K322" s="25" t="s">
        <v>706</v>
      </c>
      <c r="L322" s="27" t="s">
        <v>39</v>
      </c>
      <c r="M322" s="28" t="str">
        <f>_xlfn.XLOOKUP(F322,Department!$A$2:$A$6,Department!$B$2:$B$6)</f>
        <v>Sales</v>
      </c>
      <c r="N322" s="30">
        <f>_xlfn.XLOOKUP(A322,Performance!$A$2:$A$501,Performance!$C$2:$C$501)</f>
        <v>5</v>
      </c>
      <c r="O322" s="28" cm="1">
        <f t="array" ref="O322">_xlfn.IFS(N322=5,I322*15%,N322=4,I322*10%,N322=3,I322*7%,N322&lt;3,I322*5%)</f>
        <v>13166.4</v>
      </c>
    </row>
    <row r="323" spans="1:15">
      <c r="A323" s="24" t="s">
        <v>707</v>
      </c>
      <c r="B323" s="25" t="s">
        <v>61</v>
      </c>
      <c r="C323" s="25" t="s">
        <v>117</v>
      </c>
      <c r="D323" s="25" t="s">
        <v>19</v>
      </c>
      <c r="E323" s="25">
        <v>49</v>
      </c>
      <c r="F323" s="25" t="s">
        <v>43</v>
      </c>
      <c r="G323" s="25" t="s">
        <v>36</v>
      </c>
      <c r="H323" s="26">
        <v>43460</v>
      </c>
      <c r="I323" s="25">
        <v>52338</v>
      </c>
      <c r="J323" s="25" t="s">
        <v>62</v>
      </c>
      <c r="K323" s="25" t="s">
        <v>708</v>
      </c>
      <c r="L323" s="27" t="s">
        <v>39</v>
      </c>
      <c r="M323" s="28" t="str">
        <f>_xlfn.XLOOKUP(F323,Department!$A$2:$A$6,Department!$B$2:$B$6)</f>
        <v>Marketing</v>
      </c>
      <c r="N323" s="30">
        <f>_xlfn.XLOOKUP(A323,Performance!$A$2:$A$501,Performance!$C$2:$C$501)</f>
        <v>3</v>
      </c>
      <c r="O323" s="28" cm="1">
        <f t="array" ref="O323">_xlfn.IFS(N323=5,I323*15%,N323=4,I323*10%,N323=3,I323*7%,N323&lt;3,I323*5%)</f>
        <v>3663.6600000000003</v>
      </c>
    </row>
    <row r="324" spans="1:15">
      <c r="A324" s="24" t="s">
        <v>709</v>
      </c>
      <c r="B324" s="25" t="s">
        <v>34</v>
      </c>
      <c r="C324" s="25" t="s">
        <v>49</v>
      </c>
      <c r="D324" s="25" t="s">
        <v>19</v>
      </c>
      <c r="E324" s="25">
        <v>53</v>
      </c>
      <c r="F324" s="25" t="s">
        <v>43</v>
      </c>
      <c r="G324" s="25" t="s">
        <v>36</v>
      </c>
      <c r="H324" s="26">
        <v>44324</v>
      </c>
      <c r="I324" s="25">
        <v>45630</v>
      </c>
      <c r="J324" s="25" t="s">
        <v>67</v>
      </c>
      <c r="K324" s="25" t="s">
        <v>710</v>
      </c>
      <c r="L324" s="27" t="s">
        <v>39</v>
      </c>
      <c r="M324" s="28" t="str">
        <f>_xlfn.XLOOKUP(F324,Department!$A$2:$A$6,Department!$B$2:$B$6)</f>
        <v>Marketing</v>
      </c>
      <c r="N324" s="30">
        <f>_xlfn.XLOOKUP(A324,Performance!$A$2:$A$501,Performance!$C$2:$C$501)</f>
        <v>3</v>
      </c>
      <c r="O324" s="28" cm="1">
        <f t="array" ref="O324">_xlfn.IFS(N324=5,I324*15%,N324=4,I324*10%,N324=3,I324*7%,N324&lt;3,I324*5%)</f>
        <v>3194.1000000000004</v>
      </c>
    </row>
    <row r="325" spans="1:15">
      <c r="A325" s="24" t="s">
        <v>711</v>
      </c>
      <c r="B325" s="25" t="s">
        <v>42</v>
      </c>
      <c r="C325" s="25" t="s">
        <v>49</v>
      </c>
      <c r="D325" s="25" t="s">
        <v>28</v>
      </c>
      <c r="E325" s="25">
        <v>44</v>
      </c>
      <c r="F325" s="25" t="s">
        <v>43</v>
      </c>
      <c r="G325" s="25" t="s">
        <v>36</v>
      </c>
      <c r="H325" s="26">
        <v>44658</v>
      </c>
      <c r="I325" s="25">
        <v>80403</v>
      </c>
      <c r="J325" s="25" t="s">
        <v>62</v>
      </c>
      <c r="K325" s="25" t="s">
        <v>712</v>
      </c>
      <c r="L325" s="27" t="s">
        <v>24</v>
      </c>
      <c r="M325" s="28" t="str">
        <f>_xlfn.XLOOKUP(F325,Department!$A$2:$A$6,Department!$B$2:$B$6)</f>
        <v>Marketing</v>
      </c>
      <c r="N325" s="30">
        <f>_xlfn.XLOOKUP(A325,Performance!$A$2:$A$501,Performance!$C$2:$C$501)</f>
        <v>4</v>
      </c>
      <c r="O325" s="28" cm="1">
        <f t="array" ref="O325">_xlfn.IFS(N325=5,I325*15%,N325=4,I325*10%,N325=3,I325*7%,N325&lt;3,I325*5%)</f>
        <v>8040.3</v>
      </c>
    </row>
    <row r="326" spans="1:15">
      <c r="A326" s="24" t="s">
        <v>713</v>
      </c>
      <c r="B326" s="25" t="s">
        <v>48</v>
      </c>
      <c r="C326" s="25" t="s">
        <v>49</v>
      </c>
      <c r="D326" s="25" t="s">
        <v>28</v>
      </c>
      <c r="E326" s="25">
        <v>51</v>
      </c>
      <c r="F326" s="25" t="s">
        <v>43</v>
      </c>
      <c r="G326" s="25" t="s">
        <v>30</v>
      </c>
      <c r="H326" s="26">
        <v>43531</v>
      </c>
      <c r="I326" s="25">
        <v>82902</v>
      </c>
      <c r="J326" s="25" t="s">
        <v>81</v>
      </c>
      <c r="K326" s="25" t="s">
        <v>714</v>
      </c>
      <c r="L326" s="27" t="s">
        <v>39</v>
      </c>
      <c r="M326" s="28" t="str">
        <f>_xlfn.XLOOKUP(F326,Department!$A$2:$A$6,Department!$B$2:$B$6)</f>
        <v>Marketing</v>
      </c>
      <c r="N326" s="30">
        <f>_xlfn.XLOOKUP(A326,Performance!$A$2:$A$501,Performance!$C$2:$C$501)</f>
        <v>1</v>
      </c>
      <c r="O326" s="28" cm="1">
        <f t="array" ref="O326">_xlfn.IFS(N326=5,I326*15%,N326=4,I326*10%,N326=3,I326*7%,N326&lt;3,I326*5%)</f>
        <v>4145.1000000000004</v>
      </c>
    </row>
    <row r="327" spans="1:15">
      <c r="A327" s="24" t="s">
        <v>715</v>
      </c>
      <c r="B327" s="25" t="s">
        <v>17</v>
      </c>
      <c r="C327" s="25" t="s">
        <v>141</v>
      </c>
      <c r="D327" s="25" t="s">
        <v>28</v>
      </c>
      <c r="E327" s="25">
        <v>46</v>
      </c>
      <c r="F327" s="25" t="s">
        <v>43</v>
      </c>
      <c r="G327" s="25" t="s">
        <v>102</v>
      </c>
      <c r="H327" s="26">
        <v>43510</v>
      </c>
      <c r="I327" s="25">
        <v>89841</v>
      </c>
      <c r="J327" s="25" t="s">
        <v>81</v>
      </c>
      <c r="K327" s="25" t="s">
        <v>716</v>
      </c>
      <c r="L327" s="27" t="s">
        <v>24</v>
      </c>
      <c r="M327" s="28" t="str">
        <f>_xlfn.XLOOKUP(F327,Department!$A$2:$A$6,Department!$B$2:$B$6)</f>
        <v>Marketing</v>
      </c>
      <c r="N327" s="30">
        <f>_xlfn.XLOOKUP(A327,Performance!$A$2:$A$501,Performance!$C$2:$C$501)</f>
        <v>1</v>
      </c>
      <c r="O327" s="28" cm="1">
        <f t="array" ref="O327">_xlfn.IFS(N327=5,I327*15%,N327=4,I327*10%,N327=3,I327*7%,N327&lt;3,I327*5%)</f>
        <v>4492.05</v>
      </c>
    </row>
    <row r="328" spans="1:15">
      <c r="A328" s="24" t="s">
        <v>717</v>
      </c>
      <c r="B328" s="25" t="s">
        <v>58</v>
      </c>
      <c r="C328" s="25" t="s">
        <v>89</v>
      </c>
      <c r="D328" s="25" t="s">
        <v>28</v>
      </c>
      <c r="E328" s="25">
        <v>36</v>
      </c>
      <c r="F328" s="25" t="s">
        <v>29</v>
      </c>
      <c r="G328" s="25" t="s">
        <v>30</v>
      </c>
      <c r="H328" s="26">
        <v>45057</v>
      </c>
      <c r="I328" s="25">
        <v>112396</v>
      </c>
      <c r="J328" s="25" t="s">
        <v>62</v>
      </c>
      <c r="K328" s="25" t="s">
        <v>718</v>
      </c>
      <c r="L328" s="27" t="s">
        <v>24</v>
      </c>
      <c r="M328" s="28" t="str">
        <f>_xlfn.XLOOKUP(F328,Department!$A$2:$A$6,Department!$B$2:$B$6)</f>
        <v>IT</v>
      </c>
      <c r="N328" s="30">
        <f>_xlfn.XLOOKUP(A328,Performance!$A$2:$A$501,Performance!$C$2:$C$501)</f>
        <v>5</v>
      </c>
      <c r="O328" s="28" cm="1">
        <f t="array" ref="O328">_xlfn.IFS(N328=5,I328*15%,N328=4,I328*10%,N328=3,I328*7%,N328&lt;3,I328*5%)</f>
        <v>16859.399999999998</v>
      </c>
    </row>
    <row r="329" spans="1:15">
      <c r="A329" s="24" t="s">
        <v>719</v>
      </c>
      <c r="B329" s="25" t="s">
        <v>58</v>
      </c>
      <c r="C329" s="25" t="s">
        <v>27</v>
      </c>
      <c r="D329" s="25" t="s">
        <v>28</v>
      </c>
      <c r="E329" s="25">
        <v>39</v>
      </c>
      <c r="F329" s="25" t="s">
        <v>20</v>
      </c>
      <c r="G329" s="25" t="s">
        <v>102</v>
      </c>
      <c r="H329" s="26">
        <v>44850</v>
      </c>
      <c r="I329" s="25">
        <v>91433</v>
      </c>
      <c r="J329" s="25" t="s">
        <v>81</v>
      </c>
      <c r="K329" s="25" t="s">
        <v>720</v>
      </c>
      <c r="L329" s="27" t="s">
        <v>39</v>
      </c>
      <c r="M329" s="28" t="str">
        <f>_xlfn.XLOOKUP(F329,Department!$A$2:$A$6,Department!$B$2:$B$6)</f>
        <v>HR</v>
      </c>
      <c r="N329" s="30">
        <f>_xlfn.XLOOKUP(A329,Performance!$A$2:$A$501,Performance!$C$2:$C$501)</f>
        <v>5</v>
      </c>
      <c r="O329" s="28" cm="1">
        <f t="array" ref="O329">_xlfn.IFS(N329=5,I329*15%,N329=4,I329*10%,N329=3,I329*7%,N329&lt;3,I329*5%)</f>
        <v>13714.949999999999</v>
      </c>
    </row>
    <row r="330" spans="1:15">
      <c r="A330" s="24" t="s">
        <v>721</v>
      </c>
      <c r="B330" s="25" t="s">
        <v>53</v>
      </c>
      <c r="C330" s="25" t="s">
        <v>93</v>
      </c>
      <c r="D330" s="25" t="s">
        <v>19</v>
      </c>
      <c r="E330" s="25">
        <v>58</v>
      </c>
      <c r="F330" s="25" t="s">
        <v>43</v>
      </c>
      <c r="G330" s="25" t="s">
        <v>36</v>
      </c>
      <c r="H330" s="26">
        <v>44282</v>
      </c>
      <c r="I330" s="25">
        <v>75628</v>
      </c>
      <c r="J330" s="25" t="s">
        <v>62</v>
      </c>
      <c r="K330" s="25" t="s">
        <v>722</v>
      </c>
      <c r="L330" s="27" t="s">
        <v>24</v>
      </c>
      <c r="M330" s="28" t="str">
        <f>_xlfn.XLOOKUP(F330,Department!$A$2:$A$6,Department!$B$2:$B$6)</f>
        <v>Marketing</v>
      </c>
      <c r="N330" s="30">
        <f>_xlfn.XLOOKUP(A330,Performance!$A$2:$A$501,Performance!$C$2:$C$501)</f>
        <v>5</v>
      </c>
      <c r="O330" s="28" cm="1">
        <f t="array" ref="O330">_xlfn.IFS(N330=5,I330*15%,N330=4,I330*10%,N330=3,I330*7%,N330&lt;3,I330*5%)</f>
        <v>11344.199999999999</v>
      </c>
    </row>
    <row r="331" spans="1:15">
      <c r="A331" s="24" t="s">
        <v>723</v>
      </c>
      <c r="B331" s="25" t="s">
        <v>17</v>
      </c>
      <c r="C331" s="25" t="s">
        <v>49</v>
      </c>
      <c r="D331" s="25" t="s">
        <v>19</v>
      </c>
      <c r="E331" s="25">
        <v>56</v>
      </c>
      <c r="F331" s="25" t="s">
        <v>54</v>
      </c>
      <c r="G331" s="25" t="s">
        <v>21</v>
      </c>
      <c r="H331" s="26">
        <v>45005</v>
      </c>
      <c r="I331" s="25">
        <v>68036</v>
      </c>
      <c r="J331" s="25" t="s">
        <v>81</v>
      </c>
      <c r="K331" s="25" t="s">
        <v>724</v>
      </c>
      <c r="L331" s="27" t="s">
        <v>39</v>
      </c>
      <c r="M331" s="28" t="str">
        <f>_xlfn.XLOOKUP(F331,Department!$A$2:$A$6,Department!$B$2:$B$6)</f>
        <v>Finance</v>
      </c>
      <c r="N331" s="30">
        <f>_xlfn.XLOOKUP(A331,Performance!$A$2:$A$501,Performance!$C$2:$C$501)</f>
        <v>1</v>
      </c>
      <c r="O331" s="28" cm="1">
        <f t="array" ref="O331">_xlfn.IFS(N331=5,I331*15%,N331=4,I331*10%,N331=3,I331*7%,N331&lt;3,I331*5%)</f>
        <v>3401.8</v>
      </c>
    </row>
    <row r="332" spans="1:15">
      <c r="A332" s="24" t="s">
        <v>725</v>
      </c>
      <c r="B332" s="25" t="s">
        <v>92</v>
      </c>
      <c r="C332" s="25" t="s">
        <v>80</v>
      </c>
      <c r="D332" s="25" t="s">
        <v>28</v>
      </c>
      <c r="E332" s="25">
        <v>50</v>
      </c>
      <c r="F332" s="25" t="s">
        <v>20</v>
      </c>
      <c r="G332" s="25" t="s">
        <v>102</v>
      </c>
      <c r="H332" s="26">
        <v>44682</v>
      </c>
      <c r="I332" s="25">
        <v>61746</v>
      </c>
      <c r="J332" s="25" t="s">
        <v>67</v>
      </c>
      <c r="K332" s="25" t="s">
        <v>726</v>
      </c>
      <c r="L332" s="27" t="s">
        <v>39</v>
      </c>
      <c r="M332" s="28" t="str">
        <f>_xlfn.XLOOKUP(F332,Department!$A$2:$A$6,Department!$B$2:$B$6)</f>
        <v>HR</v>
      </c>
      <c r="N332" s="30">
        <f>_xlfn.XLOOKUP(A332,Performance!$A$2:$A$501,Performance!$C$2:$C$501)</f>
        <v>1</v>
      </c>
      <c r="O332" s="28" cm="1">
        <f t="array" ref="O332">_xlfn.IFS(N332=5,I332*15%,N332=4,I332*10%,N332=3,I332*7%,N332&lt;3,I332*5%)</f>
        <v>3087.3</v>
      </c>
    </row>
    <row r="333" spans="1:15">
      <c r="A333" s="24" t="s">
        <v>727</v>
      </c>
      <c r="B333" s="25" t="s">
        <v>126</v>
      </c>
      <c r="C333" s="25" t="s">
        <v>66</v>
      </c>
      <c r="D333" s="25" t="s">
        <v>19</v>
      </c>
      <c r="E333" s="25">
        <v>26</v>
      </c>
      <c r="F333" s="25" t="s">
        <v>20</v>
      </c>
      <c r="G333" s="25" t="s">
        <v>102</v>
      </c>
      <c r="H333" s="26">
        <v>44769</v>
      </c>
      <c r="I333" s="25">
        <v>47221</v>
      </c>
      <c r="J333" s="25" t="s">
        <v>62</v>
      </c>
      <c r="K333" s="25" t="s">
        <v>728</v>
      </c>
      <c r="L333" s="27" t="s">
        <v>39</v>
      </c>
      <c r="M333" s="28" t="str">
        <f>_xlfn.XLOOKUP(F333,Department!$A$2:$A$6,Department!$B$2:$B$6)</f>
        <v>HR</v>
      </c>
      <c r="N333" s="30">
        <f>_xlfn.XLOOKUP(A333,Performance!$A$2:$A$501,Performance!$C$2:$C$501)</f>
        <v>5</v>
      </c>
      <c r="O333" s="28" cm="1">
        <f t="array" ref="O333">_xlfn.IFS(N333=5,I333*15%,N333=4,I333*10%,N333=3,I333*7%,N333&lt;3,I333*5%)</f>
        <v>7083.15</v>
      </c>
    </row>
    <row r="334" spans="1:15">
      <c r="A334" s="24" t="s">
        <v>729</v>
      </c>
      <c r="B334" s="25" t="s">
        <v>74</v>
      </c>
      <c r="C334" s="25" t="s">
        <v>141</v>
      </c>
      <c r="D334" s="25" t="s">
        <v>19</v>
      </c>
      <c r="E334" s="25">
        <v>32</v>
      </c>
      <c r="F334" s="25" t="s">
        <v>35</v>
      </c>
      <c r="G334" s="25" t="s">
        <v>102</v>
      </c>
      <c r="H334" s="26">
        <v>44994</v>
      </c>
      <c r="I334" s="25">
        <v>75595</v>
      </c>
      <c r="J334" s="25" t="s">
        <v>22</v>
      </c>
      <c r="K334" s="25" t="s">
        <v>730</v>
      </c>
      <c r="L334" s="27" t="s">
        <v>24</v>
      </c>
      <c r="M334" s="28" t="str">
        <f>_xlfn.XLOOKUP(F334,Department!$A$2:$A$6,Department!$B$2:$B$6)</f>
        <v>Sales</v>
      </c>
      <c r="N334" s="30">
        <f>_xlfn.XLOOKUP(A334,Performance!$A$2:$A$501,Performance!$C$2:$C$501)</f>
        <v>3</v>
      </c>
      <c r="O334" s="28" cm="1">
        <f t="array" ref="O334">_xlfn.IFS(N334=5,I334*15%,N334=4,I334*10%,N334=3,I334*7%,N334&lt;3,I334*5%)</f>
        <v>5291.6500000000005</v>
      </c>
    </row>
    <row r="335" spans="1:15">
      <c r="A335" s="24" t="s">
        <v>731</v>
      </c>
      <c r="B335" s="25" t="s">
        <v>42</v>
      </c>
      <c r="C335" s="25" t="s">
        <v>84</v>
      </c>
      <c r="D335" s="25" t="s">
        <v>19</v>
      </c>
      <c r="E335" s="25">
        <v>46</v>
      </c>
      <c r="F335" s="25" t="s">
        <v>54</v>
      </c>
      <c r="G335" s="25" t="s">
        <v>21</v>
      </c>
      <c r="H335" s="26">
        <v>43512</v>
      </c>
      <c r="I335" s="25">
        <v>104179</v>
      </c>
      <c r="J335" s="25" t="s">
        <v>37</v>
      </c>
      <c r="K335" s="25" t="s">
        <v>732</v>
      </c>
      <c r="L335" s="27" t="s">
        <v>39</v>
      </c>
      <c r="M335" s="28" t="str">
        <f>_xlfn.XLOOKUP(F335,Department!$A$2:$A$6,Department!$B$2:$B$6)</f>
        <v>Finance</v>
      </c>
      <c r="N335" s="30">
        <f>_xlfn.XLOOKUP(A335,Performance!$A$2:$A$501,Performance!$C$2:$C$501)</f>
        <v>3</v>
      </c>
      <c r="O335" s="28" cm="1">
        <f t="array" ref="O335">_xlfn.IFS(N335=5,I335*15%,N335=4,I335*10%,N335=3,I335*7%,N335&lt;3,I335*5%)</f>
        <v>7292.5300000000007</v>
      </c>
    </row>
    <row r="336" spans="1:15">
      <c r="A336" s="24" t="s">
        <v>733</v>
      </c>
      <c r="B336" s="25" t="s">
        <v>48</v>
      </c>
      <c r="C336" s="25" t="s">
        <v>117</v>
      </c>
      <c r="D336" s="25" t="s">
        <v>19</v>
      </c>
      <c r="E336" s="25">
        <v>37</v>
      </c>
      <c r="F336" s="25" t="s">
        <v>20</v>
      </c>
      <c r="G336" s="25" t="s">
        <v>102</v>
      </c>
      <c r="H336" s="26">
        <v>45305</v>
      </c>
      <c r="I336" s="25">
        <v>46212</v>
      </c>
      <c r="J336" s="25" t="s">
        <v>22</v>
      </c>
      <c r="K336" s="25" t="s">
        <v>734</v>
      </c>
      <c r="L336" s="27" t="s">
        <v>24</v>
      </c>
      <c r="M336" s="28" t="str">
        <f>_xlfn.XLOOKUP(F336,Department!$A$2:$A$6,Department!$B$2:$B$6)</f>
        <v>HR</v>
      </c>
      <c r="N336" s="30">
        <f>_xlfn.XLOOKUP(A336,Performance!$A$2:$A$501,Performance!$C$2:$C$501)</f>
        <v>1</v>
      </c>
      <c r="O336" s="28" cm="1">
        <f t="array" ref="O336">_xlfn.IFS(N336=5,I336*15%,N336=4,I336*10%,N336=3,I336*7%,N336&lt;3,I336*5%)</f>
        <v>2310.6</v>
      </c>
    </row>
    <row r="337" spans="1:15">
      <c r="A337" s="24" t="s">
        <v>735</v>
      </c>
      <c r="B337" s="25" t="s">
        <v>61</v>
      </c>
      <c r="C337" s="25" t="s">
        <v>89</v>
      </c>
      <c r="D337" s="25" t="s">
        <v>28</v>
      </c>
      <c r="E337" s="25">
        <v>47</v>
      </c>
      <c r="F337" s="25" t="s">
        <v>43</v>
      </c>
      <c r="G337" s="25" t="s">
        <v>44</v>
      </c>
      <c r="H337" s="26">
        <v>44071</v>
      </c>
      <c r="I337" s="25">
        <v>39091</v>
      </c>
      <c r="J337" s="25" t="s">
        <v>81</v>
      </c>
      <c r="K337" s="25" t="s">
        <v>736</v>
      </c>
      <c r="L337" s="27" t="s">
        <v>24</v>
      </c>
      <c r="M337" s="28" t="str">
        <f>_xlfn.XLOOKUP(F337,Department!$A$2:$A$6,Department!$B$2:$B$6)</f>
        <v>Marketing</v>
      </c>
      <c r="N337" s="30">
        <f>_xlfn.XLOOKUP(A337,Performance!$A$2:$A$501,Performance!$C$2:$C$501)</f>
        <v>2</v>
      </c>
      <c r="O337" s="28" cm="1">
        <f t="array" ref="O337">_xlfn.IFS(N337=5,I337*15%,N337=4,I337*10%,N337=3,I337*7%,N337&lt;3,I337*5%)</f>
        <v>1954.5500000000002</v>
      </c>
    </row>
    <row r="338" spans="1:15">
      <c r="A338" s="24" t="s">
        <v>737</v>
      </c>
      <c r="B338" s="25" t="s">
        <v>34</v>
      </c>
      <c r="C338" s="25" t="s">
        <v>84</v>
      </c>
      <c r="D338" s="25" t="s">
        <v>28</v>
      </c>
      <c r="E338" s="25">
        <v>43</v>
      </c>
      <c r="F338" s="25" t="s">
        <v>35</v>
      </c>
      <c r="G338" s="25" t="s">
        <v>44</v>
      </c>
      <c r="H338" s="26">
        <v>45515</v>
      </c>
      <c r="I338" s="25">
        <v>73436</v>
      </c>
      <c r="J338" s="25" t="s">
        <v>62</v>
      </c>
      <c r="K338" s="25" t="s">
        <v>738</v>
      </c>
      <c r="L338" s="27" t="s">
        <v>39</v>
      </c>
      <c r="M338" s="28" t="str">
        <f>_xlfn.XLOOKUP(F338,Department!$A$2:$A$6,Department!$B$2:$B$6)</f>
        <v>Sales</v>
      </c>
      <c r="N338" s="30">
        <f>_xlfn.XLOOKUP(A338,Performance!$A$2:$A$501,Performance!$C$2:$C$501)</f>
        <v>1</v>
      </c>
      <c r="O338" s="28" cm="1">
        <f t="array" ref="O338">_xlfn.IFS(N338=5,I338*15%,N338=4,I338*10%,N338=3,I338*7%,N338&lt;3,I338*5%)</f>
        <v>3671.8</v>
      </c>
    </row>
    <row r="339" spans="1:15">
      <c r="A339" s="24" t="s">
        <v>739</v>
      </c>
      <c r="B339" s="25" t="s">
        <v>126</v>
      </c>
      <c r="C339" s="25" t="s">
        <v>80</v>
      </c>
      <c r="D339" s="25" t="s">
        <v>19</v>
      </c>
      <c r="E339" s="25">
        <v>57</v>
      </c>
      <c r="F339" s="25" t="s">
        <v>29</v>
      </c>
      <c r="G339" s="25" t="s">
        <v>44</v>
      </c>
      <c r="H339" s="26">
        <v>43945</v>
      </c>
      <c r="I339" s="25">
        <v>62199</v>
      </c>
      <c r="J339" s="25" t="s">
        <v>62</v>
      </c>
      <c r="K339" s="25" t="s">
        <v>740</v>
      </c>
      <c r="L339" s="27" t="s">
        <v>24</v>
      </c>
      <c r="M339" s="28" t="str">
        <f>_xlfn.XLOOKUP(F339,Department!$A$2:$A$6,Department!$B$2:$B$6)</f>
        <v>IT</v>
      </c>
      <c r="N339" s="30">
        <f>_xlfn.XLOOKUP(A339,Performance!$A$2:$A$501,Performance!$C$2:$C$501)</f>
        <v>1</v>
      </c>
      <c r="O339" s="28" cm="1">
        <f t="array" ref="O339">_xlfn.IFS(N339=5,I339*15%,N339=4,I339*10%,N339=3,I339*7%,N339&lt;3,I339*5%)</f>
        <v>3109.9500000000003</v>
      </c>
    </row>
    <row r="340" spans="1:15">
      <c r="A340" s="24" t="s">
        <v>741</v>
      </c>
      <c r="B340" s="25" t="s">
        <v>58</v>
      </c>
      <c r="C340" s="25" t="s">
        <v>93</v>
      </c>
      <c r="D340" s="25" t="s">
        <v>28</v>
      </c>
      <c r="E340" s="25">
        <v>41</v>
      </c>
      <c r="F340" s="25" t="s">
        <v>54</v>
      </c>
      <c r="G340" s="25" t="s">
        <v>30</v>
      </c>
      <c r="H340" s="26">
        <v>45464</v>
      </c>
      <c r="I340" s="25">
        <v>53338</v>
      </c>
      <c r="J340" s="25" t="s">
        <v>37</v>
      </c>
      <c r="K340" s="25" t="s">
        <v>742</v>
      </c>
      <c r="L340" s="27" t="s">
        <v>24</v>
      </c>
      <c r="M340" s="28" t="str">
        <f>_xlfn.XLOOKUP(F340,Department!$A$2:$A$6,Department!$B$2:$B$6)</f>
        <v>Finance</v>
      </c>
      <c r="N340" s="30">
        <f>_xlfn.XLOOKUP(A340,Performance!$A$2:$A$501,Performance!$C$2:$C$501)</f>
        <v>3</v>
      </c>
      <c r="O340" s="28" cm="1">
        <f t="array" ref="O340">_xlfn.IFS(N340=5,I340*15%,N340=4,I340*10%,N340=3,I340*7%,N340&lt;3,I340*5%)</f>
        <v>3733.6600000000003</v>
      </c>
    </row>
    <row r="341" spans="1:15">
      <c r="A341" s="24" t="s">
        <v>743</v>
      </c>
      <c r="B341" s="25" t="s">
        <v>92</v>
      </c>
      <c r="C341" s="25" t="s">
        <v>49</v>
      </c>
      <c r="D341" s="25" t="s">
        <v>19</v>
      </c>
      <c r="E341" s="25">
        <v>38</v>
      </c>
      <c r="F341" s="25" t="s">
        <v>29</v>
      </c>
      <c r="G341" s="25" t="s">
        <v>102</v>
      </c>
      <c r="H341" s="26">
        <v>43288</v>
      </c>
      <c r="I341" s="25">
        <v>64542</v>
      </c>
      <c r="J341" s="25" t="s">
        <v>67</v>
      </c>
      <c r="K341" s="25" t="s">
        <v>744</v>
      </c>
      <c r="L341" s="27" t="s">
        <v>24</v>
      </c>
      <c r="M341" s="28" t="str">
        <f>_xlfn.XLOOKUP(F341,Department!$A$2:$A$6,Department!$B$2:$B$6)</f>
        <v>IT</v>
      </c>
      <c r="N341" s="30">
        <f>_xlfn.XLOOKUP(A341,Performance!$A$2:$A$501,Performance!$C$2:$C$501)</f>
        <v>3</v>
      </c>
      <c r="O341" s="28" cm="1">
        <f t="array" ref="O341">_xlfn.IFS(N341=5,I341*15%,N341=4,I341*10%,N341=3,I341*7%,N341&lt;3,I341*5%)</f>
        <v>4517.9400000000005</v>
      </c>
    </row>
    <row r="342" spans="1:15">
      <c r="A342" s="24" t="s">
        <v>745</v>
      </c>
      <c r="B342" s="25" t="s">
        <v>61</v>
      </c>
      <c r="C342" s="25" t="s">
        <v>117</v>
      </c>
      <c r="D342" s="25" t="s">
        <v>19</v>
      </c>
      <c r="E342" s="25">
        <v>59</v>
      </c>
      <c r="F342" s="25" t="s">
        <v>35</v>
      </c>
      <c r="G342" s="25" t="s">
        <v>102</v>
      </c>
      <c r="H342" s="26">
        <v>45440</v>
      </c>
      <c r="I342" s="25">
        <v>38117</v>
      </c>
      <c r="J342" s="25" t="s">
        <v>37</v>
      </c>
      <c r="K342" s="25" t="s">
        <v>746</v>
      </c>
      <c r="L342" s="27" t="s">
        <v>24</v>
      </c>
      <c r="M342" s="28" t="str">
        <f>_xlfn.XLOOKUP(F342,Department!$A$2:$A$6,Department!$B$2:$B$6)</f>
        <v>Sales</v>
      </c>
      <c r="N342" s="30">
        <f>_xlfn.XLOOKUP(A342,Performance!$A$2:$A$501,Performance!$C$2:$C$501)</f>
        <v>2</v>
      </c>
      <c r="O342" s="28" cm="1">
        <f t="array" ref="O342">_xlfn.IFS(N342=5,I342*15%,N342=4,I342*10%,N342=3,I342*7%,N342&lt;3,I342*5%)</f>
        <v>1905.8500000000001</v>
      </c>
    </row>
    <row r="343" spans="1:15">
      <c r="A343" s="24" t="s">
        <v>747</v>
      </c>
      <c r="B343" s="25" t="s">
        <v>34</v>
      </c>
      <c r="C343" s="25" t="s">
        <v>84</v>
      </c>
      <c r="D343" s="25" t="s">
        <v>28</v>
      </c>
      <c r="E343" s="25">
        <v>25</v>
      </c>
      <c r="F343" s="25" t="s">
        <v>20</v>
      </c>
      <c r="G343" s="25" t="s">
        <v>102</v>
      </c>
      <c r="H343" s="26">
        <v>45388</v>
      </c>
      <c r="I343" s="25">
        <v>101879</v>
      </c>
      <c r="J343" s="25" t="s">
        <v>22</v>
      </c>
      <c r="K343" s="25" t="s">
        <v>748</v>
      </c>
      <c r="L343" s="27" t="s">
        <v>24</v>
      </c>
      <c r="M343" s="28" t="str">
        <f>_xlfn.XLOOKUP(F343,Department!$A$2:$A$6,Department!$B$2:$B$6)</f>
        <v>HR</v>
      </c>
      <c r="N343" s="30">
        <f>_xlfn.XLOOKUP(A343,Performance!$A$2:$A$501,Performance!$C$2:$C$501)</f>
        <v>5</v>
      </c>
      <c r="O343" s="28" cm="1">
        <f t="array" ref="O343">_xlfn.IFS(N343=5,I343*15%,N343=4,I343*10%,N343=3,I343*7%,N343&lt;3,I343*5%)</f>
        <v>15281.849999999999</v>
      </c>
    </row>
    <row r="344" spans="1:15">
      <c r="A344" s="24" t="s">
        <v>749</v>
      </c>
      <c r="B344" s="25" t="s">
        <v>74</v>
      </c>
      <c r="C344" s="25" t="s">
        <v>27</v>
      </c>
      <c r="D344" s="25" t="s">
        <v>28</v>
      </c>
      <c r="E344" s="25">
        <v>43</v>
      </c>
      <c r="F344" s="25" t="s">
        <v>29</v>
      </c>
      <c r="G344" s="25" t="s">
        <v>102</v>
      </c>
      <c r="H344" s="26">
        <v>43859</v>
      </c>
      <c r="I344" s="25">
        <v>78777</v>
      </c>
      <c r="J344" s="25" t="s">
        <v>67</v>
      </c>
      <c r="K344" s="25" t="s">
        <v>750</v>
      </c>
      <c r="L344" s="27" t="s">
        <v>24</v>
      </c>
      <c r="M344" s="28" t="str">
        <f>_xlfn.XLOOKUP(F344,Department!$A$2:$A$6,Department!$B$2:$B$6)</f>
        <v>IT</v>
      </c>
      <c r="N344" s="30">
        <f>_xlfn.XLOOKUP(A344,Performance!$A$2:$A$501,Performance!$C$2:$C$501)</f>
        <v>4</v>
      </c>
      <c r="O344" s="28" cm="1">
        <f t="array" ref="O344">_xlfn.IFS(N344=5,I344*15%,N344=4,I344*10%,N344=3,I344*7%,N344&lt;3,I344*5%)</f>
        <v>7877.7000000000007</v>
      </c>
    </row>
    <row r="345" spans="1:15">
      <c r="A345" s="24" t="s">
        <v>751</v>
      </c>
      <c r="B345" s="25" t="s">
        <v>34</v>
      </c>
      <c r="C345" s="25" t="s">
        <v>93</v>
      </c>
      <c r="D345" s="25" t="s">
        <v>19</v>
      </c>
      <c r="E345" s="25">
        <v>33</v>
      </c>
      <c r="F345" s="25" t="s">
        <v>20</v>
      </c>
      <c r="G345" s="25" t="s">
        <v>102</v>
      </c>
      <c r="H345" s="26">
        <v>44908</v>
      </c>
      <c r="I345" s="25">
        <v>43206</v>
      </c>
      <c r="J345" s="25" t="s">
        <v>67</v>
      </c>
      <c r="K345" s="25" t="s">
        <v>752</v>
      </c>
      <c r="L345" s="27" t="s">
        <v>39</v>
      </c>
      <c r="M345" s="28" t="str">
        <f>_xlfn.XLOOKUP(F345,Department!$A$2:$A$6,Department!$B$2:$B$6)</f>
        <v>HR</v>
      </c>
      <c r="N345" s="30">
        <f>_xlfn.XLOOKUP(A345,Performance!$A$2:$A$501,Performance!$C$2:$C$501)</f>
        <v>5</v>
      </c>
      <c r="O345" s="28" cm="1">
        <f t="array" ref="O345">_xlfn.IFS(N345=5,I345*15%,N345=4,I345*10%,N345=3,I345*7%,N345&lt;3,I345*5%)</f>
        <v>6480.9</v>
      </c>
    </row>
    <row r="346" spans="1:15">
      <c r="A346" s="24" t="s">
        <v>753</v>
      </c>
      <c r="B346" s="25" t="s">
        <v>74</v>
      </c>
      <c r="C346" s="25" t="s">
        <v>89</v>
      </c>
      <c r="D346" s="25" t="s">
        <v>19</v>
      </c>
      <c r="E346" s="25">
        <v>42</v>
      </c>
      <c r="F346" s="25" t="s">
        <v>54</v>
      </c>
      <c r="G346" s="25" t="s">
        <v>30</v>
      </c>
      <c r="H346" s="26">
        <v>43760</v>
      </c>
      <c r="I346" s="25">
        <v>80745</v>
      </c>
      <c r="J346" s="25" t="s">
        <v>81</v>
      </c>
      <c r="K346" s="25" t="s">
        <v>754</v>
      </c>
      <c r="L346" s="27" t="s">
        <v>39</v>
      </c>
      <c r="M346" s="28" t="str">
        <f>_xlfn.XLOOKUP(F346,Department!$A$2:$A$6,Department!$B$2:$B$6)</f>
        <v>Finance</v>
      </c>
      <c r="N346" s="30">
        <f>_xlfn.XLOOKUP(A346,Performance!$A$2:$A$501,Performance!$C$2:$C$501)</f>
        <v>2</v>
      </c>
      <c r="O346" s="28" cm="1">
        <f t="array" ref="O346">_xlfn.IFS(N346=5,I346*15%,N346=4,I346*10%,N346=3,I346*7%,N346&lt;3,I346*5%)</f>
        <v>4037.25</v>
      </c>
    </row>
    <row r="347" spans="1:15">
      <c r="A347" s="24" t="s">
        <v>755</v>
      </c>
      <c r="B347" s="25" t="s">
        <v>48</v>
      </c>
      <c r="C347" s="25" t="s">
        <v>84</v>
      </c>
      <c r="D347" s="25" t="s">
        <v>28</v>
      </c>
      <c r="E347" s="25">
        <v>24</v>
      </c>
      <c r="F347" s="25" t="s">
        <v>54</v>
      </c>
      <c r="G347" s="25" t="s">
        <v>102</v>
      </c>
      <c r="H347" s="26">
        <v>44755</v>
      </c>
      <c r="I347" s="25">
        <v>67559</v>
      </c>
      <c r="J347" s="25" t="s">
        <v>37</v>
      </c>
      <c r="K347" s="25" t="s">
        <v>756</v>
      </c>
      <c r="L347" s="27" t="s">
        <v>24</v>
      </c>
      <c r="M347" s="28" t="str">
        <f>_xlfn.XLOOKUP(F347,Department!$A$2:$A$6,Department!$B$2:$B$6)</f>
        <v>Finance</v>
      </c>
      <c r="N347" s="30">
        <f>_xlfn.XLOOKUP(A347,Performance!$A$2:$A$501,Performance!$C$2:$C$501)</f>
        <v>3</v>
      </c>
      <c r="O347" s="28" cm="1">
        <f t="array" ref="O347">_xlfn.IFS(N347=5,I347*15%,N347=4,I347*10%,N347=3,I347*7%,N347&lt;3,I347*5%)</f>
        <v>4729.13</v>
      </c>
    </row>
    <row r="348" spans="1:15">
      <c r="A348" s="24" t="s">
        <v>757</v>
      </c>
      <c r="B348" s="25" t="s">
        <v>61</v>
      </c>
      <c r="C348" s="25" t="s">
        <v>80</v>
      </c>
      <c r="D348" s="25" t="s">
        <v>28</v>
      </c>
      <c r="E348" s="25">
        <v>47</v>
      </c>
      <c r="F348" s="25" t="s">
        <v>43</v>
      </c>
      <c r="G348" s="25" t="s">
        <v>30</v>
      </c>
      <c r="H348" s="26">
        <v>43853</v>
      </c>
      <c r="I348" s="25">
        <v>106379</v>
      </c>
      <c r="J348" s="25" t="s">
        <v>37</v>
      </c>
      <c r="K348" s="25" t="s">
        <v>758</v>
      </c>
      <c r="L348" s="27" t="s">
        <v>24</v>
      </c>
      <c r="M348" s="28" t="str">
        <f>_xlfn.XLOOKUP(F348,Department!$A$2:$A$6,Department!$B$2:$B$6)</f>
        <v>Marketing</v>
      </c>
      <c r="N348" s="30">
        <f>_xlfn.XLOOKUP(A348,Performance!$A$2:$A$501,Performance!$C$2:$C$501)</f>
        <v>1</v>
      </c>
      <c r="O348" s="28" cm="1">
        <f t="array" ref="O348">_xlfn.IFS(N348=5,I348*15%,N348=4,I348*10%,N348=3,I348*7%,N348&lt;3,I348*5%)</f>
        <v>5318.9500000000007</v>
      </c>
    </row>
    <row r="349" spans="1:15">
      <c r="A349" s="24" t="s">
        <v>759</v>
      </c>
      <c r="B349" s="25" t="s">
        <v>17</v>
      </c>
      <c r="C349" s="25" t="s">
        <v>66</v>
      </c>
      <c r="D349" s="25" t="s">
        <v>28</v>
      </c>
      <c r="E349" s="25">
        <v>30</v>
      </c>
      <c r="F349" s="25" t="s">
        <v>35</v>
      </c>
      <c r="G349" s="25" t="s">
        <v>30</v>
      </c>
      <c r="H349" s="26">
        <v>45385</v>
      </c>
      <c r="I349" s="25">
        <v>103395</v>
      </c>
      <c r="J349" s="25" t="s">
        <v>22</v>
      </c>
      <c r="K349" s="25" t="s">
        <v>760</v>
      </c>
      <c r="L349" s="27" t="s">
        <v>39</v>
      </c>
      <c r="M349" s="28" t="str">
        <f>_xlfn.XLOOKUP(F349,Department!$A$2:$A$6,Department!$B$2:$B$6)</f>
        <v>Sales</v>
      </c>
      <c r="N349" s="30">
        <f>_xlfn.XLOOKUP(A349,Performance!$A$2:$A$501,Performance!$C$2:$C$501)</f>
        <v>2</v>
      </c>
      <c r="O349" s="28" cm="1">
        <f t="array" ref="O349">_xlfn.IFS(N349=5,I349*15%,N349=4,I349*10%,N349=3,I349*7%,N349&lt;3,I349*5%)</f>
        <v>5169.75</v>
      </c>
    </row>
    <row r="350" spans="1:15">
      <c r="A350" s="24" t="s">
        <v>761</v>
      </c>
      <c r="B350" s="25" t="s">
        <v>92</v>
      </c>
      <c r="C350" s="25" t="s">
        <v>117</v>
      </c>
      <c r="D350" s="25" t="s">
        <v>19</v>
      </c>
      <c r="E350" s="25">
        <v>33</v>
      </c>
      <c r="F350" s="25" t="s">
        <v>43</v>
      </c>
      <c r="G350" s="25" t="s">
        <v>36</v>
      </c>
      <c r="H350" s="26">
        <v>43239</v>
      </c>
      <c r="I350" s="25">
        <v>76025</v>
      </c>
      <c r="J350" s="25" t="s">
        <v>37</v>
      </c>
      <c r="K350" s="25" t="s">
        <v>762</v>
      </c>
      <c r="L350" s="27" t="s">
        <v>39</v>
      </c>
      <c r="M350" s="28" t="str">
        <f>_xlfn.XLOOKUP(F350,Department!$A$2:$A$6,Department!$B$2:$B$6)</f>
        <v>Marketing</v>
      </c>
      <c r="N350" s="30">
        <f>_xlfn.XLOOKUP(A350,Performance!$A$2:$A$501,Performance!$C$2:$C$501)</f>
        <v>3</v>
      </c>
      <c r="O350" s="28" cm="1">
        <f t="array" ref="O350">_xlfn.IFS(N350=5,I350*15%,N350=4,I350*10%,N350=3,I350*7%,N350&lt;3,I350*5%)</f>
        <v>5321.7500000000009</v>
      </c>
    </row>
    <row r="351" spans="1:15">
      <c r="A351" s="24" t="s">
        <v>763</v>
      </c>
      <c r="B351" s="25" t="s">
        <v>53</v>
      </c>
      <c r="C351" s="25" t="s">
        <v>18</v>
      </c>
      <c r="D351" s="25" t="s">
        <v>19</v>
      </c>
      <c r="E351" s="25">
        <v>33</v>
      </c>
      <c r="F351" s="25" t="s">
        <v>35</v>
      </c>
      <c r="G351" s="25" t="s">
        <v>21</v>
      </c>
      <c r="H351" s="26">
        <v>44281</v>
      </c>
      <c r="I351" s="25">
        <v>69952</v>
      </c>
      <c r="J351" s="25" t="s">
        <v>62</v>
      </c>
      <c r="K351" s="25" t="s">
        <v>764</v>
      </c>
      <c r="L351" s="27" t="s">
        <v>39</v>
      </c>
      <c r="M351" s="28" t="str">
        <f>_xlfn.XLOOKUP(F351,Department!$A$2:$A$6,Department!$B$2:$B$6)</f>
        <v>Sales</v>
      </c>
      <c r="N351" s="30">
        <f>_xlfn.XLOOKUP(A351,Performance!$A$2:$A$501,Performance!$C$2:$C$501)</f>
        <v>4</v>
      </c>
      <c r="O351" s="28" cm="1">
        <f t="array" ref="O351">_xlfn.IFS(N351=5,I351*15%,N351=4,I351*10%,N351=3,I351*7%,N351&lt;3,I351*5%)</f>
        <v>6995.2000000000007</v>
      </c>
    </row>
    <row r="352" spans="1:15">
      <c r="A352" s="24" t="s">
        <v>765</v>
      </c>
      <c r="B352" s="25" t="s">
        <v>53</v>
      </c>
      <c r="C352" s="25" t="s">
        <v>49</v>
      </c>
      <c r="D352" s="25" t="s">
        <v>19</v>
      </c>
      <c r="E352" s="25">
        <v>42</v>
      </c>
      <c r="F352" s="25" t="s">
        <v>20</v>
      </c>
      <c r="G352" s="25" t="s">
        <v>30</v>
      </c>
      <c r="H352" s="26">
        <v>45557</v>
      </c>
      <c r="I352" s="25">
        <v>108637</v>
      </c>
      <c r="J352" s="25" t="s">
        <v>37</v>
      </c>
      <c r="K352" s="25" t="s">
        <v>766</v>
      </c>
      <c r="L352" s="27" t="s">
        <v>39</v>
      </c>
      <c r="M352" s="28" t="str">
        <f>_xlfn.XLOOKUP(F352,Department!$A$2:$A$6,Department!$B$2:$B$6)</f>
        <v>HR</v>
      </c>
      <c r="N352" s="30">
        <f>_xlfn.XLOOKUP(A352,Performance!$A$2:$A$501,Performance!$C$2:$C$501)</f>
        <v>2</v>
      </c>
      <c r="O352" s="28" cm="1">
        <f t="array" ref="O352">_xlfn.IFS(N352=5,I352*15%,N352=4,I352*10%,N352=3,I352*7%,N352&lt;3,I352*5%)</f>
        <v>5431.85</v>
      </c>
    </row>
    <row r="353" spans="1:15">
      <c r="A353" s="24" t="s">
        <v>767</v>
      </c>
      <c r="B353" s="25" t="s">
        <v>48</v>
      </c>
      <c r="C353" s="25" t="s">
        <v>89</v>
      </c>
      <c r="D353" s="25" t="s">
        <v>19</v>
      </c>
      <c r="E353" s="25">
        <v>27</v>
      </c>
      <c r="F353" s="25" t="s">
        <v>35</v>
      </c>
      <c r="G353" s="25" t="s">
        <v>36</v>
      </c>
      <c r="H353" s="26">
        <v>43621</v>
      </c>
      <c r="I353" s="25">
        <v>65699</v>
      </c>
      <c r="J353" s="25" t="s">
        <v>37</v>
      </c>
      <c r="K353" s="25" t="s">
        <v>768</v>
      </c>
      <c r="L353" s="27" t="s">
        <v>24</v>
      </c>
      <c r="M353" s="28" t="str">
        <f>_xlfn.XLOOKUP(F353,Department!$A$2:$A$6,Department!$B$2:$B$6)</f>
        <v>Sales</v>
      </c>
      <c r="N353" s="30">
        <f>_xlfn.XLOOKUP(A353,Performance!$A$2:$A$501,Performance!$C$2:$C$501)</f>
        <v>2</v>
      </c>
      <c r="O353" s="28" cm="1">
        <f t="array" ref="O353">_xlfn.IFS(N353=5,I353*15%,N353=4,I353*10%,N353=3,I353*7%,N353&lt;3,I353*5%)</f>
        <v>3284.9500000000003</v>
      </c>
    </row>
    <row r="354" spans="1:15">
      <c r="A354" s="24" t="s">
        <v>769</v>
      </c>
      <c r="B354" s="25" t="s">
        <v>126</v>
      </c>
      <c r="C354" s="25" t="s">
        <v>66</v>
      </c>
      <c r="D354" s="25" t="s">
        <v>28</v>
      </c>
      <c r="E354" s="25">
        <v>50</v>
      </c>
      <c r="F354" s="25" t="s">
        <v>20</v>
      </c>
      <c r="G354" s="25" t="s">
        <v>44</v>
      </c>
      <c r="H354" s="26">
        <v>44795</v>
      </c>
      <c r="I354" s="25">
        <v>90340</v>
      </c>
      <c r="J354" s="25" t="s">
        <v>22</v>
      </c>
      <c r="K354" s="25" t="s">
        <v>770</v>
      </c>
      <c r="L354" s="27" t="s">
        <v>24</v>
      </c>
      <c r="M354" s="28" t="str">
        <f>_xlfn.XLOOKUP(F354,Department!$A$2:$A$6,Department!$B$2:$B$6)</f>
        <v>HR</v>
      </c>
      <c r="N354" s="30">
        <f>_xlfn.XLOOKUP(A354,Performance!$A$2:$A$501,Performance!$C$2:$C$501)</f>
        <v>1</v>
      </c>
      <c r="O354" s="28" cm="1">
        <f t="array" ref="O354">_xlfn.IFS(N354=5,I354*15%,N354=4,I354*10%,N354=3,I354*7%,N354&lt;3,I354*5%)</f>
        <v>4517</v>
      </c>
    </row>
    <row r="355" spans="1:15">
      <c r="A355" s="24" t="s">
        <v>771</v>
      </c>
      <c r="B355" s="25" t="s">
        <v>74</v>
      </c>
      <c r="C355" s="25" t="s">
        <v>93</v>
      </c>
      <c r="D355" s="25" t="s">
        <v>19</v>
      </c>
      <c r="E355" s="25">
        <v>31</v>
      </c>
      <c r="F355" s="25" t="s">
        <v>29</v>
      </c>
      <c r="G355" s="25" t="s">
        <v>44</v>
      </c>
      <c r="H355" s="26">
        <v>45108</v>
      </c>
      <c r="I355" s="25">
        <v>114818</v>
      </c>
      <c r="J355" s="25" t="s">
        <v>37</v>
      </c>
      <c r="K355" s="25" t="s">
        <v>772</v>
      </c>
      <c r="L355" s="27" t="s">
        <v>39</v>
      </c>
      <c r="M355" s="28" t="str">
        <f>_xlfn.XLOOKUP(F355,Department!$A$2:$A$6,Department!$B$2:$B$6)</f>
        <v>IT</v>
      </c>
      <c r="N355" s="30">
        <f>_xlfn.XLOOKUP(A355,Performance!$A$2:$A$501,Performance!$C$2:$C$501)</f>
        <v>1</v>
      </c>
      <c r="O355" s="28" cm="1">
        <f t="array" ref="O355">_xlfn.IFS(N355=5,I355*15%,N355=4,I355*10%,N355=3,I355*7%,N355&lt;3,I355*5%)</f>
        <v>5740.9000000000005</v>
      </c>
    </row>
    <row r="356" spans="1:15">
      <c r="A356" s="24" t="s">
        <v>773</v>
      </c>
      <c r="B356" s="25" t="s">
        <v>58</v>
      </c>
      <c r="C356" s="25" t="s">
        <v>18</v>
      </c>
      <c r="D356" s="25" t="s">
        <v>19</v>
      </c>
      <c r="E356" s="25">
        <v>39</v>
      </c>
      <c r="F356" s="25" t="s">
        <v>35</v>
      </c>
      <c r="G356" s="25" t="s">
        <v>102</v>
      </c>
      <c r="H356" s="26">
        <v>43324</v>
      </c>
      <c r="I356" s="25">
        <v>82417</v>
      </c>
      <c r="J356" s="25" t="s">
        <v>37</v>
      </c>
      <c r="K356" s="25" t="s">
        <v>774</v>
      </c>
      <c r="L356" s="27" t="s">
        <v>39</v>
      </c>
      <c r="M356" s="28" t="str">
        <f>_xlfn.XLOOKUP(F356,Department!$A$2:$A$6,Department!$B$2:$B$6)</f>
        <v>Sales</v>
      </c>
      <c r="N356" s="30">
        <f>_xlfn.XLOOKUP(A356,Performance!$A$2:$A$501,Performance!$C$2:$C$501)</f>
        <v>5</v>
      </c>
      <c r="O356" s="28" cm="1">
        <f t="array" ref="O356">_xlfn.IFS(N356=5,I356*15%,N356=4,I356*10%,N356=3,I356*7%,N356&lt;3,I356*5%)</f>
        <v>12362.55</v>
      </c>
    </row>
    <row r="357" spans="1:15">
      <c r="A357" s="24" t="s">
        <v>775</v>
      </c>
      <c r="B357" s="25" t="s">
        <v>58</v>
      </c>
      <c r="C357" s="25" t="s">
        <v>89</v>
      </c>
      <c r="D357" s="25" t="s">
        <v>28</v>
      </c>
      <c r="E357" s="25">
        <v>38</v>
      </c>
      <c r="F357" s="25" t="s">
        <v>43</v>
      </c>
      <c r="G357" s="25" t="s">
        <v>21</v>
      </c>
      <c r="H357" s="26">
        <v>44709</v>
      </c>
      <c r="I357" s="25">
        <v>116569</v>
      </c>
      <c r="J357" s="25" t="s">
        <v>81</v>
      </c>
      <c r="K357" s="25" t="s">
        <v>776</v>
      </c>
      <c r="L357" s="27" t="s">
        <v>24</v>
      </c>
      <c r="M357" s="28" t="str">
        <f>_xlfn.XLOOKUP(F357,Department!$A$2:$A$6,Department!$B$2:$B$6)</f>
        <v>Marketing</v>
      </c>
      <c r="N357" s="30">
        <f>_xlfn.XLOOKUP(A357,Performance!$A$2:$A$501,Performance!$C$2:$C$501)</f>
        <v>1</v>
      </c>
      <c r="O357" s="28" cm="1">
        <f t="array" ref="O357">_xlfn.IFS(N357=5,I357*15%,N357=4,I357*10%,N357=3,I357*7%,N357&lt;3,I357*5%)</f>
        <v>5828.4500000000007</v>
      </c>
    </row>
    <row r="358" spans="1:15">
      <c r="A358" s="24" t="s">
        <v>777</v>
      </c>
      <c r="B358" s="25" t="s">
        <v>61</v>
      </c>
      <c r="C358" s="25" t="s">
        <v>84</v>
      </c>
      <c r="D358" s="25" t="s">
        <v>28</v>
      </c>
      <c r="E358" s="25">
        <v>37</v>
      </c>
      <c r="F358" s="25" t="s">
        <v>54</v>
      </c>
      <c r="G358" s="25" t="s">
        <v>30</v>
      </c>
      <c r="H358" s="26">
        <v>43626</v>
      </c>
      <c r="I358" s="25">
        <v>98489</v>
      </c>
      <c r="J358" s="25" t="s">
        <v>62</v>
      </c>
      <c r="K358" s="25" t="s">
        <v>778</v>
      </c>
      <c r="L358" s="27" t="s">
        <v>39</v>
      </c>
      <c r="M358" s="28" t="str">
        <f>_xlfn.XLOOKUP(F358,Department!$A$2:$A$6,Department!$B$2:$B$6)</f>
        <v>Finance</v>
      </c>
      <c r="N358" s="30">
        <f>_xlfn.XLOOKUP(A358,Performance!$A$2:$A$501,Performance!$C$2:$C$501)</f>
        <v>4</v>
      </c>
      <c r="O358" s="28" cm="1">
        <f t="array" ref="O358">_xlfn.IFS(N358=5,I358*15%,N358=4,I358*10%,N358=3,I358*7%,N358&lt;3,I358*5%)</f>
        <v>9848.9000000000015</v>
      </c>
    </row>
    <row r="359" spans="1:15">
      <c r="A359" s="24" t="s">
        <v>779</v>
      </c>
      <c r="B359" s="25" t="s">
        <v>61</v>
      </c>
      <c r="C359" s="25" t="s">
        <v>93</v>
      </c>
      <c r="D359" s="25" t="s">
        <v>19</v>
      </c>
      <c r="E359" s="25">
        <v>58</v>
      </c>
      <c r="F359" s="25" t="s">
        <v>35</v>
      </c>
      <c r="G359" s="25" t="s">
        <v>30</v>
      </c>
      <c r="H359" s="26">
        <v>43382</v>
      </c>
      <c r="I359" s="25">
        <v>60665</v>
      </c>
      <c r="J359" s="25" t="s">
        <v>62</v>
      </c>
      <c r="K359" s="25" t="s">
        <v>780</v>
      </c>
      <c r="L359" s="27" t="s">
        <v>39</v>
      </c>
      <c r="M359" s="28" t="str">
        <f>_xlfn.XLOOKUP(F359,Department!$A$2:$A$6,Department!$B$2:$B$6)</f>
        <v>Sales</v>
      </c>
      <c r="N359" s="30">
        <f>_xlfn.XLOOKUP(A359,Performance!$A$2:$A$501,Performance!$C$2:$C$501)</f>
        <v>5</v>
      </c>
      <c r="O359" s="28" cm="1">
        <f t="array" ref="O359">_xlfn.IFS(N359=5,I359*15%,N359=4,I359*10%,N359=3,I359*7%,N359&lt;3,I359*5%)</f>
        <v>9099.75</v>
      </c>
    </row>
    <row r="360" spans="1:15">
      <c r="A360" s="24" t="s">
        <v>781</v>
      </c>
      <c r="B360" s="25" t="s">
        <v>34</v>
      </c>
      <c r="C360" s="25" t="s">
        <v>117</v>
      </c>
      <c r="D360" s="25" t="s">
        <v>28</v>
      </c>
      <c r="E360" s="25">
        <v>59</v>
      </c>
      <c r="F360" s="25" t="s">
        <v>29</v>
      </c>
      <c r="G360" s="25" t="s">
        <v>44</v>
      </c>
      <c r="H360" s="26">
        <v>44261</v>
      </c>
      <c r="I360" s="25">
        <v>91685</v>
      </c>
      <c r="J360" s="25" t="s">
        <v>22</v>
      </c>
      <c r="K360" s="25" t="s">
        <v>782</v>
      </c>
      <c r="L360" s="27" t="s">
        <v>39</v>
      </c>
      <c r="M360" s="28" t="str">
        <f>_xlfn.XLOOKUP(F360,Department!$A$2:$A$6,Department!$B$2:$B$6)</f>
        <v>IT</v>
      </c>
      <c r="N360" s="30">
        <f>_xlfn.XLOOKUP(A360,Performance!$A$2:$A$501,Performance!$C$2:$C$501)</f>
        <v>3</v>
      </c>
      <c r="O360" s="28" cm="1">
        <f t="array" ref="O360">_xlfn.IFS(N360=5,I360*15%,N360=4,I360*10%,N360=3,I360*7%,N360&lt;3,I360*5%)</f>
        <v>6417.9500000000007</v>
      </c>
    </row>
    <row r="361" spans="1:15">
      <c r="A361" s="24" t="s">
        <v>783</v>
      </c>
      <c r="B361" s="25" t="s">
        <v>61</v>
      </c>
      <c r="C361" s="25" t="s">
        <v>117</v>
      </c>
      <c r="D361" s="25" t="s">
        <v>19</v>
      </c>
      <c r="E361" s="25">
        <v>55</v>
      </c>
      <c r="F361" s="25" t="s">
        <v>54</v>
      </c>
      <c r="G361" s="25" t="s">
        <v>102</v>
      </c>
      <c r="H361" s="26">
        <v>44344</v>
      </c>
      <c r="I361" s="25">
        <v>76843</v>
      </c>
      <c r="J361" s="25" t="s">
        <v>62</v>
      </c>
      <c r="K361" s="25" t="s">
        <v>784</v>
      </c>
      <c r="L361" s="27" t="s">
        <v>24</v>
      </c>
      <c r="M361" s="28" t="str">
        <f>_xlfn.XLOOKUP(F361,Department!$A$2:$A$6,Department!$B$2:$B$6)</f>
        <v>Finance</v>
      </c>
      <c r="N361" s="30">
        <f>_xlfn.XLOOKUP(A361,Performance!$A$2:$A$501,Performance!$C$2:$C$501)</f>
        <v>3</v>
      </c>
      <c r="O361" s="28" cm="1">
        <f t="array" ref="O361">_xlfn.IFS(N361=5,I361*15%,N361=4,I361*10%,N361=3,I361*7%,N361&lt;3,I361*5%)</f>
        <v>5379.01</v>
      </c>
    </row>
    <row r="362" spans="1:15">
      <c r="A362" s="24" t="s">
        <v>785</v>
      </c>
      <c r="B362" s="25" t="s">
        <v>61</v>
      </c>
      <c r="C362" s="25" t="s">
        <v>18</v>
      </c>
      <c r="D362" s="25" t="s">
        <v>28</v>
      </c>
      <c r="E362" s="25">
        <v>35</v>
      </c>
      <c r="F362" s="25" t="s">
        <v>43</v>
      </c>
      <c r="G362" s="25" t="s">
        <v>44</v>
      </c>
      <c r="H362" s="26">
        <v>45231</v>
      </c>
      <c r="I362" s="25">
        <v>91860</v>
      </c>
      <c r="J362" s="25" t="s">
        <v>62</v>
      </c>
      <c r="K362" s="25" t="s">
        <v>786</v>
      </c>
      <c r="L362" s="27" t="s">
        <v>24</v>
      </c>
      <c r="M362" s="28" t="str">
        <f>_xlfn.XLOOKUP(F362,Department!$A$2:$A$6,Department!$B$2:$B$6)</f>
        <v>Marketing</v>
      </c>
      <c r="N362" s="30">
        <f>_xlfn.XLOOKUP(A362,Performance!$A$2:$A$501,Performance!$C$2:$C$501)</f>
        <v>4</v>
      </c>
      <c r="O362" s="28" cm="1">
        <f t="array" ref="O362">_xlfn.IFS(N362=5,I362*15%,N362=4,I362*10%,N362=3,I362*7%,N362&lt;3,I362*5%)</f>
        <v>9186</v>
      </c>
    </row>
    <row r="363" spans="1:15">
      <c r="A363" s="24" t="s">
        <v>787</v>
      </c>
      <c r="B363" s="25" t="s">
        <v>74</v>
      </c>
      <c r="C363" s="25" t="s">
        <v>18</v>
      </c>
      <c r="D363" s="25" t="s">
        <v>28</v>
      </c>
      <c r="E363" s="25">
        <v>60</v>
      </c>
      <c r="F363" s="25" t="s">
        <v>20</v>
      </c>
      <c r="G363" s="25" t="s">
        <v>21</v>
      </c>
      <c r="H363" s="26">
        <v>45444</v>
      </c>
      <c r="I363" s="25">
        <v>117041</v>
      </c>
      <c r="J363" s="25" t="s">
        <v>22</v>
      </c>
      <c r="K363" s="25" t="s">
        <v>788</v>
      </c>
      <c r="L363" s="27" t="s">
        <v>39</v>
      </c>
      <c r="M363" s="28" t="str">
        <f>_xlfn.XLOOKUP(F363,Department!$A$2:$A$6,Department!$B$2:$B$6)</f>
        <v>HR</v>
      </c>
      <c r="N363" s="30">
        <f>_xlfn.XLOOKUP(A363,Performance!$A$2:$A$501,Performance!$C$2:$C$501)</f>
        <v>5</v>
      </c>
      <c r="O363" s="28" cm="1">
        <f t="array" ref="O363">_xlfn.IFS(N363=5,I363*15%,N363=4,I363*10%,N363=3,I363*7%,N363&lt;3,I363*5%)</f>
        <v>17556.149999999998</v>
      </c>
    </row>
    <row r="364" spans="1:15">
      <c r="A364" s="24" t="s">
        <v>789</v>
      </c>
      <c r="B364" s="25" t="s">
        <v>17</v>
      </c>
      <c r="C364" s="25" t="s">
        <v>18</v>
      </c>
      <c r="D364" s="25" t="s">
        <v>28</v>
      </c>
      <c r="E364" s="25">
        <v>45</v>
      </c>
      <c r="F364" s="25" t="s">
        <v>35</v>
      </c>
      <c r="G364" s="25" t="s">
        <v>102</v>
      </c>
      <c r="H364" s="26">
        <v>43571</v>
      </c>
      <c r="I364" s="25">
        <v>93769</v>
      </c>
      <c r="J364" s="25" t="s">
        <v>81</v>
      </c>
      <c r="K364" s="25" t="s">
        <v>790</v>
      </c>
      <c r="L364" s="27" t="s">
        <v>24</v>
      </c>
      <c r="M364" s="28" t="str">
        <f>_xlfn.XLOOKUP(F364,Department!$A$2:$A$6,Department!$B$2:$B$6)</f>
        <v>Sales</v>
      </c>
      <c r="N364" s="30">
        <f>_xlfn.XLOOKUP(A364,Performance!$A$2:$A$501,Performance!$C$2:$C$501)</f>
        <v>5</v>
      </c>
      <c r="O364" s="28" cm="1">
        <f t="array" ref="O364">_xlfn.IFS(N364=5,I364*15%,N364=4,I364*10%,N364=3,I364*7%,N364&lt;3,I364*5%)</f>
        <v>14065.35</v>
      </c>
    </row>
    <row r="365" spans="1:15">
      <c r="A365" s="24" t="s">
        <v>791</v>
      </c>
      <c r="B365" s="25" t="s">
        <v>126</v>
      </c>
      <c r="C365" s="25" t="s">
        <v>141</v>
      </c>
      <c r="D365" s="25" t="s">
        <v>28</v>
      </c>
      <c r="E365" s="25">
        <v>37</v>
      </c>
      <c r="F365" s="25" t="s">
        <v>54</v>
      </c>
      <c r="G365" s="25" t="s">
        <v>102</v>
      </c>
      <c r="H365" s="26">
        <v>43785</v>
      </c>
      <c r="I365" s="25">
        <v>43224</v>
      </c>
      <c r="J365" s="25" t="s">
        <v>37</v>
      </c>
      <c r="K365" s="25" t="s">
        <v>792</v>
      </c>
      <c r="L365" s="27" t="s">
        <v>24</v>
      </c>
      <c r="M365" s="28" t="str">
        <f>_xlfn.XLOOKUP(F365,Department!$A$2:$A$6,Department!$B$2:$B$6)</f>
        <v>Finance</v>
      </c>
      <c r="N365" s="30">
        <f>_xlfn.XLOOKUP(A365,Performance!$A$2:$A$501,Performance!$C$2:$C$501)</f>
        <v>3</v>
      </c>
      <c r="O365" s="28" cm="1">
        <f t="array" ref="O365">_xlfn.IFS(N365=5,I365*15%,N365=4,I365*10%,N365=3,I365*7%,N365&lt;3,I365*5%)</f>
        <v>3025.6800000000003</v>
      </c>
    </row>
    <row r="366" spans="1:15">
      <c r="A366" s="24" t="s">
        <v>793</v>
      </c>
      <c r="B366" s="25" t="s">
        <v>126</v>
      </c>
      <c r="C366" s="25" t="s">
        <v>18</v>
      </c>
      <c r="D366" s="25" t="s">
        <v>28</v>
      </c>
      <c r="E366" s="25">
        <v>43</v>
      </c>
      <c r="F366" s="25" t="s">
        <v>54</v>
      </c>
      <c r="G366" s="25" t="s">
        <v>30</v>
      </c>
      <c r="H366" s="26">
        <v>43699</v>
      </c>
      <c r="I366" s="25">
        <v>101866</v>
      </c>
      <c r="J366" s="25" t="s">
        <v>81</v>
      </c>
      <c r="K366" s="25" t="s">
        <v>794</v>
      </c>
      <c r="L366" s="27" t="s">
        <v>39</v>
      </c>
      <c r="M366" s="28" t="str">
        <f>_xlfn.XLOOKUP(F366,Department!$A$2:$A$6,Department!$B$2:$B$6)</f>
        <v>Finance</v>
      </c>
      <c r="N366" s="30">
        <f>_xlfn.XLOOKUP(A366,Performance!$A$2:$A$501,Performance!$C$2:$C$501)</f>
        <v>3</v>
      </c>
      <c r="O366" s="28" cm="1">
        <f t="array" ref="O366">_xlfn.IFS(N366=5,I366*15%,N366=4,I366*10%,N366=3,I366*7%,N366&lt;3,I366*5%)</f>
        <v>7130.6200000000008</v>
      </c>
    </row>
    <row r="367" spans="1:15">
      <c r="A367" s="24" t="s">
        <v>795</v>
      </c>
      <c r="B367" s="25" t="s">
        <v>53</v>
      </c>
      <c r="C367" s="25" t="s">
        <v>93</v>
      </c>
      <c r="D367" s="25" t="s">
        <v>19</v>
      </c>
      <c r="E367" s="25">
        <v>56</v>
      </c>
      <c r="F367" s="25" t="s">
        <v>43</v>
      </c>
      <c r="G367" s="25" t="s">
        <v>44</v>
      </c>
      <c r="H367" s="26">
        <v>45240</v>
      </c>
      <c r="I367" s="25">
        <v>101636</v>
      </c>
      <c r="J367" s="25" t="s">
        <v>81</v>
      </c>
      <c r="K367" s="25" t="s">
        <v>796</v>
      </c>
      <c r="L367" s="27" t="s">
        <v>39</v>
      </c>
      <c r="M367" s="28" t="str">
        <f>_xlfn.XLOOKUP(F367,Department!$A$2:$A$6,Department!$B$2:$B$6)</f>
        <v>Marketing</v>
      </c>
      <c r="N367" s="30">
        <f>_xlfn.XLOOKUP(A367,Performance!$A$2:$A$501,Performance!$C$2:$C$501)</f>
        <v>3</v>
      </c>
      <c r="O367" s="28" cm="1">
        <f t="array" ref="O367">_xlfn.IFS(N367=5,I367*15%,N367=4,I367*10%,N367=3,I367*7%,N367&lt;3,I367*5%)</f>
        <v>7114.52</v>
      </c>
    </row>
    <row r="368" spans="1:15">
      <c r="A368" s="24" t="s">
        <v>797</v>
      </c>
      <c r="B368" s="25" t="s">
        <v>58</v>
      </c>
      <c r="C368" s="25" t="s">
        <v>80</v>
      </c>
      <c r="D368" s="25" t="s">
        <v>28</v>
      </c>
      <c r="E368" s="25">
        <v>42</v>
      </c>
      <c r="F368" s="25" t="s">
        <v>29</v>
      </c>
      <c r="G368" s="25" t="s">
        <v>21</v>
      </c>
      <c r="H368" s="26">
        <v>43599</v>
      </c>
      <c r="I368" s="25">
        <v>106833</v>
      </c>
      <c r="J368" s="25" t="s">
        <v>22</v>
      </c>
      <c r="K368" s="25" t="s">
        <v>798</v>
      </c>
      <c r="L368" s="27" t="s">
        <v>39</v>
      </c>
      <c r="M368" s="28" t="str">
        <f>_xlfn.XLOOKUP(F368,Department!$A$2:$A$6,Department!$B$2:$B$6)</f>
        <v>IT</v>
      </c>
      <c r="N368" s="30">
        <f>_xlfn.XLOOKUP(A368,Performance!$A$2:$A$501,Performance!$C$2:$C$501)</f>
        <v>5</v>
      </c>
      <c r="O368" s="28" cm="1">
        <f t="array" ref="O368">_xlfn.IFS(N368=5,I368*15%,N368=4,I368*10%,N368=3,I368*7%,N368&lt;3,I368*5%)</f>
        <v>16024.949999999999</v>
      </c>
    </row>
    <row r="369" spans="1:15">
      <c r="A369" s="24" t="s">
        <v>799</v>
      </c>
      <c r="B369" s="25" t="s">
        <v>34</v>
      </c>
      <c r="C369" s="25" t="s">
        <v>49</v>
      </c>
      <c r="D369" s="25" t="s">
        <v>19</v>
      </c>
      <c r="E369" s="25">
        <v>42</v>
      </c>
      <c r="F369" s="25" t="s">
        <v>20</v>
      </c>
      <c r="G369" s="25" t="s">
        <v>36</v>
      </c>
      <c r="H369" s="26">
        <v>43280</v>
      </c>
      <c r="I369" s="25">
        <v>75163</v>
      </c>
      <c r="J369" s="25" t="s">
        <v>37</v>
      </c>
      <c r="K369" s="25" t="s">
        <v>800</v>
      </c>
      <c r="L369" s="27" t="s">
        <v>24</v>
      </c>
      <c r="M369" s="28" t="str">
        <f>_xlfn.XLOOKUP(F369,Department!$A$2:$A$6,Department!$B$2:$B$6)</f>
        <v>HR</v>
      </c>
      <c r="N369" s="30">
        <f>_xlfn.XLOOKUP(A369,Performance!$A$2:$A$501,Performance!$C$2:$C$501)</f>
        <v>2</v>
      </c>
      <c r="O369" s="28" cm="1">
        <f t="array" ref="O369">_xlfn.IFS(N369=5,I369*15%,N369=4,I369*10%,N369=3,I369*7%,N369&lt;3,I369*5%)</f>
        <v>3758.15</v>
      </c>
    </row>
    <row r="370" spans="1:15">
      <c r="A370" s="24" t="s">
        <v>801</v>
      </c>
      <c r="B370" s="25" t="s">
        <v>61</v>
      </c>
      <c r="C370" s="25" t="s">
        <v>117</v>
      </c>
      <c r="D370" s="25" t="s">
        <v>28</v>
      </c>
      <c r="E370" s="25">
        <v>41</v>
      </c>
      <c r="F370" s="25" t="s">
        <v>54</v>
      </c>
      <c r="G370" s="25" t="s">
        <v>30</v>
      </c>
      <c r="H370" s="26">
        <v>43299</v>
      </c>
      <c r="I370" s="25">
        <v>86763</v>
      </c>
      <c r="J370" s="25" t="s">
        <v>62</v>
      </c>
      <c r="K370" s="25" t="s">
        <v>802</v>
      </c>
      <c r="L370" s="27" t="s">
        <v>39</v>
      </c>
      <c r="M370" s="28" t="str">
        <f>_xlfn.XLOOKUP(F370,Department!$A$2:$A$6,Department!$B$2:$B$6)</f>
        <v>Finance</v>
      </c>
      <c r="N370" s="30">
        <f>_xlfn.XLOOKUP(A370,Performance!$A$2:$A$501,Performance!$C$2:$C$501)</f>
        <v>5</v>
      </c>
      <c r="O370" s="28" cm="1">
        <f t="array" ref="O370">_xlfn.IFS(N370=5,I370*15%,N370=4,I370*10%,N370=3,I370*7%,N370&lt;3,I370*5%)</f>
        <v>13014.449999999999</v>
      </c>
    </row>
    <row r="371" spans="1:15">
      <c r="A371" s="24" t="s">
        <v>803</v>
      </c>
      <c r="B371" s="25" t="s">
        <v>92</v>
      </c>
      <c r="C371" s="25" t="s">
        <v>117</v>
      </c>
      <c r="D371" s="25" t="s">
        <v>19</v>
      </c>
      <c r="E371" s="25">
        <v>49</v>
      </c>
      <c r="F371" s="25" t="s">
        <v>54</v>
      </c>
      <c r="G371" s="25" t="s">
        <v>44</v>
      </c>
      <c r="H371" s="26">
        <v>44073</v>
      </c>
      <c r="I371" s="25">
        <v>54974</v>
      </c>
      <c r="J371" s="25" t="s">
        <v>81</v>
      </c>
      <c r="K371" s="25" t="s">
        <v>804</v>
      </c>
      <c r="L371" s="27" t="s">
        <v>39</v>
      </c>
      <c r="M371" s="28" t="str">
        <f>_xlfn.XLOOKUP(F371,Department!$A$2:$A$6,Department!$B$2:$B$6)</f>
        <v>Finance</v>
      </c>
      <c r="N371" s="30">
        <f>_xlfn.XLOOKUP(A371,Performance!$A$2:$A$501,Performance!$C$2:$C$501)</f>
        <v>2</v>
      </c>
      <c r="O371" s="28" cm="1">
        <f t="array" ref="O371">_xlfn.IFS(N371=5,I371*15%,N371=4,I371*10%,N371=3,I371*7%,N371&lt;3,I371*5%)</f>
        <v>2748.7000000000003</v>
      </c>
    </row>
    <row r="372" spans="1:15">
      <c r="A372" s="24" t="s">
        <v>805</v>
      </c>
      <c r="B372" s="25" t="s">
        <v>126</v>
      </c>
      <c r="C372" s="25" t="s">
        <v>66</v>
      </c>
      <c r="D372" s="25" t="s">
        <v>19</v>
      </c>
      <c r="E372" s="25">
        <v>30</v>
      </c>
      <c r="F372" s="25" t="s">
        <v>35</v>
      </c>
      <c r="G372" s="25" t="s">
        <v>36</v>
      </c>
      <c r="H372" s="26">
        <v>44944</v>
      </c>
      <c r="I372" s="25">
        <v>74728</v>
      </c>
      <c r="J372" s="25" t="s">
        <v>22</v>
      </c>
      <c r="K372" s="25" t="s">
        <v>806</v>
      </c>
      <c r="L372" s="27" t="s">
        <v>39</v>
      </c>
      <c r="M372" s="28" t="str">
        <f>_xlfn.XLOOKUP(F372,Department!$A$2:$A$6,Department!$B$2:$B$6)</f>
        <v>Sales</v>
      </c>
      <c r="N372" s="30">
        <f>_xlfn.XLOOKUP(A372,Performance!$A$2:$A$501,Performance!$C$2:$C$501)</f>
        <v>4</v>
      </c>
      <c r="O372" s="28" cm="1">
        <f t="array" ref="O372">_xlfn.IFS(N372=5,I372*15%,N372=4,I372*10%,N372=3,I372*7%,N372&lt;3,I372*5%)</f>
        <v>7472.8</v>
      </c>
    </row>
    <row r="373" spans="1:15">
      <c r="A373" s="24" t="s">
        <v>807</v>
      </c>
      <c r="B373" s="25" t="s">
        <v>17</v>
      </c>
      <c r="C373" s="25" t="s">
        <v>117</v>
      </c>
      <c r="D373" s="25" t="s">
        <v>28</v>
      </c>
      <c r="E373" s="25">
        <v>58</v>
      </c>
      <c r="F373" s="25" t="s">
        <v>35</v>
      </c>
      <c r="G373" s="25" t="s">
        <v>44</v>
      </c>
      <c r="H373" s="26">
        <v>44212</v>
      </c>
      <c r="I373" s="25">
        <v>88207</v>
      </c>
      <c r="J373" s="25" t="s">
        <v>81</v>
      </c>
      <c r="K373" s="25" t="s">
        <v>808</v>
      </c>
      <c r="L373" s="27" t="s">
        <v>39</v>
      </c>
      <c r="M373" s="28" t="str">
        <f>_xlfn.XLOOKUP(F373,Department!$A$2:$A$6,Department!$B$2:$B$6)</f>
        <v>Sales</v>
      </c>
      <c r="N373" s="30">
        <f>_xlfn.XLOOKUP(A373,Performance!$A$2:$A$501,Performance!$C$2:$C$501)</f>
        <v>1</v>
      </c>
      <c r="O373" s="28" cm="1">
        <f t="array" ref="O373">_xlfn.IFS(N373=5,I373*15%,N373=4,I373*10%,N373=3,I373*7%,N373&lt;3,I373*5%)</f>
        <v>4410.3500000000004</v>
      </c>
    </row>
    <row r="374" spans="1:15">
      <c r="A374" s="24" t="s">
        <v>809</v>
      </c>
      <c r="B374" s="25" t="s">
        <v>34</v>
      </c>
      <c r="C374" s="25" t="s">
        <v>80</v>
      </c>
      <c r="D374" s="25" t="s">
        <v>28</v>
      </c>
      <c r="E374" s="25">
        <v>56</v>
      </c>
      <c r="F374" s="25" t="s">
        <v>43</v>
      </c>
      <c r="G374" s="25" t="s">
        <v>44</v>
      </c>
      <c r="H374" s="26">
        <v>44828</v>
      </c>
      <c r="I374" s="25">
        <v>96878</v>
      </c>
      <c r="J374" s="25" t="s">
        <v>62</v>
      </c>
      <c r="K374" s="25" t="s">
        <v>810</v>
      </c>
      <c r="L374" s="27" t="s">
        <v>24</v>
      </c>
      <c r="M374" s="28" t="str">
        <f>_xlfn.XLOOKUP(F374,Department!$A$2:$A$6,Department!$B$2:$B$6)</f>
        <v>Marketing</v>
      </c>
      <c r="N374" s="30">
        <f>_xlfn.XLOOKUP(A374,Performance!$A$2:$A$501,Performance!$C$2:$C$501)</f>
        <v>5</v>
      </c>
      <c r="O374" s="28" cm="1">
        <f t="array" ref="O374">_xlfn.IFS(N374=5,I374*15%,N374=4,I374*10%,N374=3,I374*7%,N374&lt;3,I374*5%)</f>
        <v>14531.699999999999</v>
      </c>
    </row>
    <row r="375" spans="1:15">
      <c r="A375" s="24" t="s">
        <v>811</v>
      </c>
      <c r="B375" s="25" t="s">
        <v>58</v>
      </c>
      <c r="C375" s="25" t="s">
        <v>89</v>
      </c>
      <c r="D375" s="25" t="s">
        <v>19</v>
      </c>
      <c r="E375" s="25">
        <v>27</v>
      </c>
      <c r="F375" s="25" t="s">
        <v>29</v>
      </c>
      <c r="G375" s="25" t="s">
        <v>44</v>
      </c>
      <c r="H375" s="26">
        <v>44111</v>
      </c>
      <c r="I375" s="25">
        <v>49341</v>
      </c>
      <c r="J375" s="25" t="s">
        <v>62</v>
      </c>
      <c r="K375" s="25" t="s">
        <v>812</v>
      </c>
      <c r="L375" s="27" t="s">
        <v>39</v>
      </c>
      <c r="M375" s="28" t="str">
        <f>_xlfn.XLOOKUP(F375,Department!$A$2:$A$6,Department!$B$2:$B$6)</f>
        <v>IT</v>
      </c>
      <c r="N375" s="30">
        <f>_xlfn.XLOOKUP(A375,Performance!$A$2:$A$501,Performance!$C$2:$C$501)</f>
        <v>5</v>
      </c>
      <c r="O375" s="28" cm="1">
        <f t="array" ref="O375">_xlfn.IFS(N375=5,I375*15%,N375=4,I375*10%,N375=3,I375*7%,N375&lt;3,I375*5%)</f>
        <v>7401.15</v>
      </c>
    </row>
    <row r="376" spans="1:15">
      <c r="A376" s="24" t="s">
        <v>813</v>
      </c>
      <c r="B376" s="25" t="s">
        <v>17</v>
      </c>
      <c r="C376" s="25" t="s">
        <v>141</v>
      </c>
      <c r="D376" s="25" t="s">
        <v>19</v>
      </c>
      <c r="E376" s="25">
        <v>57</v>
      </c>
      <c r="F376" s="25" t="s">
        <v>43</v>
      </c>
      <c r="G376" s="25" t="s">
        <v>30</v>
      </c>
      <c r="H376" s="26">
        <v>45211</v>
      </c>
      <c r="I376" s="25">
        <v>87757</v>
      </c>
      <c r="J376" s="25" t="s">
        <v>22</v>
      </c>
      <c r="K376" s="25" t="s">
        <v>814</v>
      </c>
      <c r="L376" s="27" t="s">
        <v>24</v>
      </c>
      <c r="M376" s="28" t="str">
        <f>_xlfn.XLOOKUP(F376,Department!$A$2:$A$6,Department!$B$2:$B$6)</f>
        <v>Marketing</v>
      </c>
      <c r="N376" s="30">
        <f>_xlfn.XLOOKUP(A376,Performance!$A$2:$A$501,Performance!$C$2:$C$501)</f>
        <v>3</v>
      </c>
      <c r="O376" s="28" cm="1">
        <f t="array" ref="O376">_xlfn.IFS(N376=5,I376*15%,N376=4,I376*10%,N376=3,I376*7%,N376&lt;3,I376*5%)</f>
        <v>6142.9900000000007</v>
      </c>
    </row>
    <row r="377" spans="1:15">
      <c r="A377" s="24" t="s">
        <v>815</v>
      </c>
      <c r="B377" s="25" t="s">
        <v>92</v>
      </c>
      <c r="C377" s="25" t="s">
        <v>18</v>
      </c>
      <c r="D377" s="25" t="s">
        <v>19</v>
      </c>
      <c r="E377" s="25">
        <v>28</v>
      </c>
      <c r="F377" s="25" t="s">
        <v>54</v>
      </c>
      <c r="G377" s="25" t="s">
        <v>21</v>
      </c>
      <c r="H377" s="26">
        <v>45553</v>
      </c>
      <c r="I377" s="25">
        <v>113590</v>
      </c>
      <c r="J377" s="25" t="s">
        <v>22</v>
      </c>
      <c r="K377" s="25" t="s">
        <v>816</v>
      </c>
      <c r="L377" s="27" t="s">
        <v>39</v>
      </c>
      <c r="M377" s="28" t="str">
        <f>_xlfn.XLOOKUP(F377,Department!$A$2:$A$6,Department!$B$2:$B$6)</f>
        <v>Finance</v>
      </c>
      <c r="N377" s="30">
        <f>_xlfn.XLOOKUP(A377,Performance!$A$2:$A$501,Performance!$C$2:$C$501)</f>
        <v>3</v>
      </c>
      <c r="O377" s="28" cm="1">
        <f t="array" ref="O377">_xlfn.IFS(N377=5,I377*15%,N377=4,I377*10%,N377=3,I377*7%,N377&lt;3,I377*5%)</f>
        <v>7951.3000000000011</v>
      </c>
    </row>
    <row r="378" spans="1:15">
      <c r="A378" s="24" t="s">
        <v>817</v>
      </c>
      <c r="B378" s="25" t="s">
        <v>58</v>
      </c>
      <c r="C378" s="25" t="s">
        <v>89</v>
      </c>
      <c r="D378" s="25" t="s">
        <v>19</v>
      </c>
      <c r="E378" s="25">
        <v>37</v>
      </c>
      <c r="F378" s="25" t="s">
        <v>20</v>
      </c>
      <c r="G378" s="25" t="s">
        <v>36</v>
      </c>
      <c r="H378" s="26">
        <v>45408</v>
      </c>
      <c r="I378" s="25">
        <v>82897</v>
      </c>
      <c r="J378" s="25" t="s">
        <v>37</v>
      </c>
      <c r="K378" s="25" t="s">
        <v>818</v>
      </c>
      <c r="L378" s="27" t="s">
        <v>24</v>
      </c>
      <c r="M378" s="28" t="str">
        <f>_xlfn.XLOOKUP(F378,Department!$A$2:$A$6,Department!$B$2:$B$6)</f>
        <v>HR</v>
      </c>
      <c r="N378" s="30">
        <f>_xlfn.XLOOKUP(A378,Performance!$A$2:$A$501,Performance!$C$2:$C$501)</f>
        <v>1</v>
      </c>
      <c r="O378" s="28" cm="1">
        <f t="array" ref="O378">_xlfn.IFS(N378=5,I378*15%,N378=4,I378*10%,N378=3,I378*7%,N378&lt;3,I378*5%)</f>
        <v>4144.8500000000004</v>
      </c>
    </row>
    <row r="379" spans="1:15">
      <c r="A379" s="24" t="s">
        <v>819</v>
      </c>
      <c r="B379" s="25" t="s">
        <v>92</v>
      </c>
      <c r="C379" s="25" t="s">
        <v>89</v>
      </c>
      <c r="D379" s="25" t="s">
        <v>19</v>
      </c>
      <c r="E379" s="25">
        <v>37</v>
      </c>
      <c r="F379" s="25" t="s">
        <v>29</v>
      </c>
      <c r="G379" s="25" t="s">
        <v>36</v>
      </c>
      <c r="H379" s="26">
        <v>45396</v>
      </c>
      <c r="I379" s="25">
        <v>69652</v>
      </c>
      <c r="J379" s="25" t="s">
        <v>67</v>
      </c>
      <c r="K379" s="25" t="s">
        <v>820</v>
      </c>
      <c r="L379" s="27" t="s">
        <v>39</v>
      </c>
      <c r="M379" s="28" t="str">
        <f>_xlfn.XLOOKUP(F379,Department!$A$2:$A$6,Department!$B$2:$B$6)</f>
        <v>IT</v>
      </c>
      <c r="N379" s="30">
        <f>_xlfn.XLOOKUP(A379,Performance!$A$2:$A$501,Performance!$C$2:$C$501)</f>
        <v>3</v>
      </c>
      <c r="O379" s="28" cm="1">
        <f t="array" ref="O379">_xlfn.IFS(N379=5,I379*15%,N379=4,I379*10%,N379=3,I379*7%,N379&lt;3,I379*5%)</f>
        <v>4875.6400000000003</v>
      </c>
    </row>
    <row r="380" spans="1:15">
      <c r="A380" s="24" t="s">
        <v>821</v>
      </c>
      <c r="B380" s="25" t="s">
        <v>61</v>
      </c>
      <c r="C380" s="25" t="s">
        <v>18</v>
      </c>
      <c r="D380" s="25" t="s">
        <v>19</v>
      </c>
      <c r="E380" s="25">
        <v>22</v>
      </c>
      <c r="F380" s="25" t="s">
        <v>29</v>
      </c>
      <c r="G380" s="25" t="s">
        <v>102</v>
      </c>
      <c r="H380" s="26">
        <v>43913</v>
      </c>
      <c r="I380" s="25">
        <v>92754</v>
      </c>
      <c r="J380" s="25" t="s">
        <v>22</v>
      </c>
      <c r="K380" s="25" t="s">
        <v>822</v>
      </c>
      <c r="L380" s="27" t="s">
        <v>24</v>
      </c>
      <c r="M380" s="28" t="str">
        <f>_xlfn.XLOOKUP(F380,Department!$A$2:$A$6,Department!$B$2:$B$6)</f>
        <v>IT</v>
      </c>
      <c r="N380" s="30">
        <f>_xlfn.XLOOKUP(A380,Performance!$A$2:$A$501,Performance!$C$2:$C$501)</f>
        <v>3</v>
      </c>
      <c r="O380" s="28" cm="1">
        <f t="array" ref="O380">_xlfn.IFS(N380=5,I380*15%,N380=4,I380*10%,N380=3,I380*7%,N380&lt;3,I380*5%)</f>
        <v>6492.7800000000007</v>
      </c>
    </row>
    <row r="381" spans="1:15">
      <c r="A381" s="24" t="s">
        <v>823</v>
      </c>
      <c r="B381" s="25" t="s">
        <v>53</v>
      </c>
      <c r="C381" s="25" t="s">
        <v>18</v>
      </c>
      <c r="D381" s="25" t="s">
        <v>28</v>
      </c>
      <c r="E381" s="25">
        <v>24</v>
      </c>
      <c r="F381" s="25" t="s">
        <v>29</v>
      </c>
      <c r="G381" s="25" t="s">
        <v>21</v>
      </c>
      <c r="H381" s="26">
        <v>45066</v>
      </c>
      <c r="I381" s="25">
        <v>65180</v>
      </c>
      <c r="J381" s="25" t="s">
        <v>67</v>
      </c>
      <c r="K381" s="25" t="s">
        <v>824</v>
      </c>
      <c r="L381" s="27" t="s">
        <v>24</v>
      </c>
      <c r="M381" s="28" t="str">
        <f>_xlfn.XLOOKUP(F381,Department!$A$2:$A$6,Department!$B$2:$B$6)</f>
        <v>IT</v>
      </c>
      <c r="N381" s="30">
        <f>_xlfn.XLOOKUP(A381,Performance!$A$2:$A$501,Performance!$C$2:$C$501)</f>
        <v>2</v>
      </c>
      <c r="O381" s="28" cm="1">
        <f t="array" ref="O381">_xlfn.IFS(N381=5,I381*15%,N381=4,I381*10%,N381=3,I381*7%,N381&lt;3,I381*5%)</f>
        <v>3259</v>
      </c>
    </row>
    <row r="382" spans="1:15">
      <c r="A382" s="24" t="s">
        <v>825</v>
      </c>
      <c r="B382" s="25" t="s">
        <v>42</v>
      </c>
      <c r="C382" s="25" t="s">
        <v>66</v>
      </c>
      <c r="D382" s="25" t="s">
        <v>19</v>
      </c>
      <c r="E382" s="25">
        <v>60</v>
      </c>
      <c r="F382" s="25" t="s">
        <v>35</v>
      </c>
      <c r="G382" s="25" t="s">
        <v>30</v>
      </c>
      <c r="H382" s="26">
        <v>43930</v>
      </c>
      <c r="I382" s="25">
        <v>93081</v>
      </c>
      <c r="J382" s="25" t="s">
        <v>67</v>
      </c>
      <c r="K382" s="25" t="s">
        <v>826</v>
      </c>
      <c r="L382" s="27" t="s">
        <v>24</v>
      </c>
      <c r="M382" s="28" t="str">
        <f>_xlfn.XLOOKUP(F382,Department!$A$2:$A$6,Department!$B$2:$B$6)</f>
        <v>Sales</v>
      </c>
      <c r="N382" s="30">
        <f>_xlfn.XLOOKUP(A382,Performance!$A$2:$A$501,Performance!$C$2:$C$501)</f>
        <v>4</v>
      </c>
      <c r="O382" s="28" cm="1">
        <f t="array" ref="O382">_xlfn.IFS(N382=5,I382*15%,N382=4,I382*10%,N382=3,I382*7%,N382&lt;3,I382*5%)</f>
        <v>9308.1</v>
      </c>
    </row>
    <row r="383" spans="1:15">
      <c r="A383" s="24" t="s">
        <v>827</v>
      </c>
      <c r="B383" s="25" t="s">
        <v>42</v>
      </c>
      <c r="C383" s="25" t="s">
        <v>66</v>
      </c>
      <c r="D383" s="25" t="s">
        <v>19</v>
      </c>
      <c r="E383" s="25">
        <v>57</v>
      </c>
      <c r="F383" s="25" t="s">
        <v>29</v>
      </c>
      <c r="G383" s="25" t="s">
        <v>36</v>
      </c>
      <c r="H383" s="26">
        <v>43134</v>
      </c>
      <c r="I383" s="25">
        <v>91007</v>
      </c>
      <c r="J383" s="25" t="s">
        <v>62</v>
      </c>
      <c r="K383" s="25" t="s">
        <v>828</v>
      </c>
      <c r="L383" s="27" t="s">
        <v>39</v>
      </c>
      <c r="M383" s="28" t="str">
        <f>_xlfn.XLOOKUP(F383,Department!$A$2:$A$6,Department!$B$2:$B$6)</f>
        <v>IT</v>
      </c>
      <c r="N383" s="30">
        <f>_xlfn.XLOOKUP(A383,Performance!$A$2:$A$501,Performance!$C$2:$C$501)</f>
        <v>3</v>
      </c>
      <c r="O383" s="28" cm="1">
        <f t="array" ref="O383">_xlfn.IFS(N383=5,I383*15%,N383=4,I383*10%,N383=3,I383*7%,N383&lt;3,I383*5%)</f>
        <v>6370.4900000000007</v>
      </c>
    </row>
    <row r="384" spans="1:15">
      <c r="A384" s="24" t="s">
        <v>829</v>
      </c>
      <c r="B384" s="25" t="s">
        <v>48</v>
      </c>
      <c r="C384" s="25" t="s">
        <v>117</v>
      </c>
      <c r="D384" s="25" t="s">
        <v>19</v>
      </c>
      <c r="E384" s="25">
        <v>32</v>
      </c>
      <c r="F384" s="25" t="s">
        <v>29</v>
      </c>
      <c r="G384" s="25" t="s">
        <v>44</v>
      </c>
      <c r="H384" s="26">
        <v>43294</v>
      </c>
      <c r="I384" s="25">
        <v>88127</v>
      </c>
      <c r="J384" s="25" t="s">
        <v>67</v>
      </c>
      <c r="K384" s="25" t="s">
        <v>830</v>
      </c>
      <c r="L384" s="27" t="s">
        <v>24</v>
      </c>
      <c r="M384" s="28" t="str">
        <f>_xlfn.XLOOKUP(F384,Department!$A$2:$A$6,Department!$B$2:$B$6)</f>
        <v>IT</v>
      </c>
      <c r="N384" s="30">
        <f>_xlfn.XLOOKUP(A384,Performance!$A$2:$A$501,Performance!$C$2:$C$501)</f>
        <v>4</v>
      </c>
      <c r="O384" s="28" cm="1">
        <f t="array" ref="O384">_xlfn.IFS(N384=5,I384*15%,N384=4,I384*10%,N384=3,I384*7%,N384&lt;3,I384*5%)</f>
        <v>8812.7000000000007</v>
      </c>
    </row>
    <row r="385" spans="1:15">
      <c r="A385" s="24" t="s">
        <v>831</v>
      </c>
      <c r="B385" s="25" t="s">
        <v>34</v>
      </c>
      <c r="C385" s="25" t="s">
        <v>80</v>
      </c>
      <c r="D385" s="25" t="s">
        <v>28</v>
      </c>
      <c r="E385" s="25">
        <v>34</v>
      </c>
      <c r="F385" s="25" t="s">
        <v>20</v>
      </c>
      <c r="G385" s="25" t="s">
        <v>30</v>
      </c>
      <c r="H385" s="26">
        <v>44595</v>
      </c>
      <c r="I385" s="25">
        <v>70318</v>
      </c>
      <c r="J385" s="25" t="s">
        <v>22</v>
      </c>
      <c r="K385" s="25" t="s">
        <v>832</v>
      </c>
      <c r="L385" s="27" t="s">
        <v>39</v>
      </c>
      <c r="M385" s="28" t="str">
        <f>_xlfn.XLOOKUP(F385,Department!$A$2:$A$6,Department!$B$2:$B$6)</f>
        <v>HR</v>
      </c>
      <c r="N385" s="30">
        <f>_xlfn.XLOOKUP(A385,Performance!$A$2:$A$501,Performance!$C$2:$C$501)</f>
        <v>2</v>
      </c>
      <c r="O385" s="28" cm="1">
        <f t="array" ref="O385">_xlfn.IFS(N385=5,I385*15%,N385=4,I385*10%,N385=3,I385*7%,N385&lt;3,I385*5%)</f>
        <v>3515.9</v>
      </c>
    </row>
    <row r="386" spans="1:15">
      <c r="A386" s="24" t="s">
        <v>833</v>
      </c>
      <c r="B386" s="25" t="s">
        <v>34</v>
      </c>
      <c r="C386" s="25" t="s">
        <v>93</v>
      </c>
      <c r="D386" s="25" t="s">
        <v>19</v>
      </c>
      <c r="E386" s="25">
        <v>31</v>
      </c>
      <c r="F386" s="25" t="s">
        <v>35</v>
      </c>
      <c r="G386" s="25" t="s">
        <v>102</v>
      </c>
      <c r="H386" s="26">
        <v>43302</v>
      </c>
      <c r="I386" s="25">
        <v>47884</v>
      </c>
      <c r="J386" s="25" t="s">
        <v>37</v>
      </c>
      <c r="K386" s="25" t="s">
        <v>834</v>
      </c>
      <c r="L386" s="27" t="s">
        <v>24</v>
      </c>
      <c r="M386" s="28" t="str">
        <f>_xlfn.XLOOKUP(F386,Department!$A$2:$A$6,Department!$B$2:$B$6)</f>
        <v>Sales</v>
      </c>
      <c r="N386" s="30">
        <f>_xlfn.XLOOKUP(A386,Performance!$A$2:$A$501,Performance!$C$2:$C$501)</f>
        <v>4</v>
      </c>
      <c r="O386" s="28" cm="1">
        <f t="array" ref="O386">_xlfn.IFS(N386=5,I386*15%,N386=4,I386*10%,N386=3,I386*7%,N386&lt;3,I386*5%)</f>
        <v>4788.4000000000005</v>
      </c>
    </row>
    <row r="387" spans="1:15">
      <c r="A387" s="24" t="s">
        <v>835</v>
      </c>
      <c r="B387" s="25" t="s">
        <v>126</v>
      </c>
      <c r="C387" s="25" t="s">
        <v>18</v>
      </c>
      <c r="D387" s="25" t="s">
        <v>19</v>
      </c>
      <c r="E387" s="25">
        <v>48</v>
      </c>
      <c r="F387" s="25" t="s">
        <v>54</v>
      </c>
      <c r="G387" s="25" t="s">
        <v>102</v>
      </c>
      <c r="H387" s="26">
        <v>45398</v>
      </c>
      <c r="I387" s="25">
        <v>71987</v>
      </c>
      <c r="J387" s="25" t="s">
        <v>37</v>
      </c>
      <c r="K387" s="25" t="s">
        <v>836</v>
      </c>
      <c r="L387" s="27" t="s">
        <v>39</v>
      </c>
      <c r="M387" s="28" t="str">
        <f>_xlfn.XLOOKUP(F387,Department!$A$2:$A$6,Department!$B$2:$B$6)</f>
        <v>Finance</v>
      </c>
      <c r="N387" s="30">
        <f>_xlfn.XLOOKUP(A387,Performance!$A$2:$A$501,Performance!$C$2:$C$501)</f>
        <v>4</v>
      </c>
      <c r="O387" s="28" cm="1">
        <f t="array" ref="O387">_xlfn.IFS(N387=5,I387*15%,N387=4,I387*10%,N387=3,I387*7%,N387&lt;3,I387*5%)</f>
        <v>7198.7000000000007</v>
      </c>
    </row>
    <row r="388" spans="1:15">
      <c r="A388" s="24" t="s">
        <v>837</v>
      </c>
      <c r="B388" s="25" t="s">
        <v>61</v>
      </c>
      <c r="C388" s="25" t="s">
        <v>117</v>
      </c>
      <c r="D388" s="25" t="s">
        <v>28</v>
      </c>
      <c r="E388" s="25">
        <v>52</v>
      </c>
      <c r="F388" s="25" t="s">
        <v>43</v>
      </c>
      <c r="G388" s="25" t="s">
        <v>44</v>
      </c>
      <c r="H388" s="26">
        <v>44540</v>
      </c>
      <c r="I388" s="25">
        <v>108773</v>
      </c>
      <c r="J388" s="25" t="s">
        <v>62</v>
      </c>
      <c r="K388" s="25" t="s">
        <v>838</v>
      </c>
      <c r="L388" s="27" t="s">
        <v>39</v>
      </c>
      <c r="M388" s="28" t="str">
        <f>_xlfn.XLOOKUP(F388,Department!$A$2:$A$6,Department!$B$2:$B$6)</f>
        <v>Marketing</v>
      </c>
      <c r="N388" s="30">
        <f>_xlfn.XLOOKUP(A388,Performance!$A$2:$A$501,Performance!$C$2:$C$501)</f>
        <v>1</v>
      </c>
      <c r="O388" s="28" cm="1">
        <f t="array" ref="O388">_xlfn.IFS(N388=5,I388*15%,N388=4,I388*10%,N388=3,I388*7%,N388&lt;3,I388*5%)</f>
        <v>5438.6500000000005</v>
      </c>
    </row>
    <row r="389" spans="1:15">
      <c r="A389" s="24" t="s">
        <v>839</v>
      </c>
      <c r="B389" s="25" t="s">
        <v>74</v>
      </c>
      <c r="C389" s="25" t="s">
        <v>117</v>
      </c>
      <c r="D389" s="25" t="s">
        <v>19</v>
      </c>
      <c r="E389" s="25">
        <v>58</v>
      </c>
      <c r="F389" s="25" t="s">
        <v>29</v>
      </c>
      <c r="G389" s="25" t="s">
        <v>44</v>
      </c>
      <c r="H389" s="26">
        <v>43216</v>
      </c>
      <c r="I389" s="25">
        <v>115133</v>
      </c>
      <c r="J389" s="25" t="s">
        <v>37</v>
      </c>
      <c r="K389" s="25" t="s">
        <v>840</v>
      </c>
      <c r="L389" s="27" t="s">
        <v>24</v>
      </c>
      <c r="M389" s="28" t="str">
        <f>_xlfn.XLOOKUP(F389,Department!$A$2:$A$6,Department!$B$2:$B$6)</f>
        <v>IT</v>
      </c>
      <c r="N389" s="30">
        <f>_xlfn.XLOOKUP(A389,Performance!$A$2:$A$501,Performance!$C$2:$C$501)</f>
        <v>1</v>
      </c>
      <c r="O389" s="28" cm="1">
        <f t="array" ref="O389">_xlfn.IFS(N389=5,I389*15%,N389=4,I389*10%,N389=3,I389*7%,N389&lt;3,I389*5%)</f>
        <v>5756.6500000000005</v>
      </c>
    </row>
    <row r="390" spans="1:15">
      <c r="A390" s="24" t="s">
        <v>841</v>
      </c>
      <c r="B390" s="25" t="s">
        <v>92</v>
      </c>
      <c r="C390" s="25" t="s">
        <v>141</v>
      </c>
      <c r="D390" s="25" t="s">
        <v>28</v>
      </c>
      <c r="E390" s="25">
        <v>50</v>
      </c>
      <c r="F390" s="25" t="s">
        <v>20</v>
      </c>
      <c r="G390" s="25" t="s">
        <v>30</v>
      </c>
      <c r="H390" s="26">
        <v>44931</v>
      </c>
      <c r="I390" s="25">
        <v>44417</v>
      </c>
      <c r="J390" s="25" t="s">
        <v>81</v>
      </c>
      <c r="K390" s="25" t="s">
        <v>842</v>
      </c>
      <c r="L390" s="27" t="s">
        <v>39</v>
      </c>
      <c r="M390" s="28" t="str">
        <f>_xlfn.XLOOKUP(F390,Department!$A$2:$A$6,Department!$B$2:$B$6)</f>
        <v>HR</v>
      </c>
      <c r="N390" s="30">
        <f>_xlfn.XLOOKUP(A390,Performance!$A$2:$A$501,Performance!$C$2:$C$501)</f>
        <v>3</v>
      </c>
      <c r="O390" s="28" cm="1">
        <f t="array" ref="O390">_xlfn.IFS(N390=5,I390*15%,N390=4,I390*10%,N390=3,I390*7%,N390&lt;3,I390*5%)</f>
        <v>3109.1900000000005</v>
      </c>
    </row>
    <row r="391" spans="1:15">
      <c r="A391" s="24" t="s">
        <v>843</v>
      </c>
      <c r="B391" s="25" t="s">
        <v>34</v>
      </c>
      <c r="C391" s="25" t="s">
        <v>80</v>
      </c>
      <c r="D391" s="25" t="s">
        <v>28</v>
      </c>
      <c r="E391" s="25">
        <v>46</v>
      </c>
      <c r="F391" s="25" t="s">
        <v>35</v>
      </c>
      <c r="G391" s="25" t="s">
        <v>21</v>
      </c>
      <c r="H391" s="26">
        <v>45119</v>
      </c>
      <c r="I391" s="25">
        <v>107012</v>
      </c>
      <c r="J391" s="25" t="s">
        <v>67</v>
      </c>
      <c r="K391" s="25" t="s">
        <v>844</v>
      </c>
      <c r="L391" s="27" t="s">
        <v>24</v>
      </c>
      <c r="M391" s="28" t="str">
        <f>_xlfn.XLOOKUP(F391,Department!$A$2:$A$6,Department!$B$2:$B$6)</f>
        <v>Sales</v>
      </c>
      <c r="N391" s="30">
        <f>_xlfn.XLOOKUP(A391,Performance!$A$2:$A$501,Performance!$C$2:$C$501)</f>
        <v>5</v>
      </c>
      <c r="O391" s="28" cm="1">
        <f t="array" ref="O391">_xlfn.IFS(N391=5,I391*15%,N391=4,I391*10%,N391=3,I391*7%,N391&lt;3,I391*5%)</f>
        <v>16051.8</v>
      </c>
    </row>
    <row r="392" spans="1:15">
      <c r="A392" s="24" t="s">
        <v>845</v>
      </c>
      <c r="B392" s="25" t="s">
        <v>53</v>
      </c>
      <c r="C392" s="25" t="s">
        <v>80</v>
      </c>
      <c r="D392" s="25" t="s">
        <v>19</v>
      </c>
      <c r="E392" s="25">
        <v>23</v>
      </c>
      <c r="F392" s="25" t="s">
        <v>54</v>
      </c>
      <c r="G392" s="25" t="s">
        <v>30</v>
      </c>
      <c r="H392" s="26">
        <v>44822</v>
      </c>
      <c r="I392" s="25">
        <v>78597</v>
      </c>
      <c r="J392" s="25" t="s">
        <v>37</v>
      </c>
      <c r="K392" s="25" t="s">
        <v>846</v>
      </c>
      <c r="L392" s="27" t="s">
        <v>24</v>
      </c>
      <c r="M392" s="28" t="str">
        <f>_xlfn.XLOOKUP(F392,Department!$A$2:$A$6,Department!$B$2:$B$6)</f>
        <v>Finance</v>
      </c>
      <c r="N392" s="30">
        <f>_xlfn.XLOOKUP(A392,Performance!$A$2:$A$501,Performance!$C$2:$C$501)</f>
        <v>5</v>
      </c>
      <c r="O392" s="28" cm="1">
        <f t="array" ref="O392">_xlfn.IFS(N392=5,I392*15%,N392=4,I392*10%,N392=3,I392*7%,N392&lt;3,I392*5%)</f>
        <v>11789.55</v>
      </c>
    </row>
    <row r="393" spans="1:15">
      <c r="A393" s="24" t="s">
        <v>847</v>
      </c>
      <c r="B393" s="25" t="s">
        <v>61</v>
      </c>
      <c r="C393" s="25" t="s">
        <v>89</v>
      </c>
      <c r="D393" s="25" t="s">
        <v>19</v>
      </c>
      <c r="E393" s="25">
        <v>44</v>
      </c>
      <c r="F393" s="25" t="s">
        <v>29</v>
      </c>
      <c r="G393" s="25" t="s">
        <v>102</v>
      </c>
      <c r="H393" s="26">
        <v>43122</v>
      </c>
      <c r="I393" s="25">
        <v>77085</v>
      </c>
      <c r="J393" s="25" t="s">
        <v>81</v>
      </c>
      <c r="K393" s="25" t="s">
        <v>848</v>
      </c>
      <c r="L393" s="27" t="s">
        <v>39</v>
      </c>
      <c r="M393" s="28" t="str">
        <f>_xlfn.XLOOKUP(F393,Department!$A$2:$A$6,Department!$B$2:$B$6)</f>
        <v>IT</v>
      </c>
      <c r="N393" s="30">
        <f>_xlfn.XLOOKUP(A393,Performance!$A$2:$A$501,Performance!$C$2:$C$501)</f>
        <v>4</v>
      </c>
      <c r="O393" s="28" cm="1">
        <f t="array" ref="O393">_xlfn.IFS(N393=5,I393*15%,N393=4,I393*10%,N393=3,I393*7%,N393&lt;3,I393*5%)</f>
        <v>7708.5</v>
      </c>
    </row>
    <row r="394" spans="1:15">
      <c r="A394" s="24" t="s">
        <v>849</v>
      </c>
      <c r="B394" s="25" t="s">
        <v>48</v>
      </c>
      <c r="C394" s="25" t="s">
        <v>89</v>
      </c>
      <c r="D394" s="25" t="s">
        <v>28</v>
      </c>
      <c r="E394" s="25">
        <v>52</v>
      </c>
      <c r="F394" s="25" t="s">
        <v>54</v>
      </c>
      <c r="G394" s="25" t="s">
        <v>102</v>
      </c>
      <c r="H394" s="26">
        <v>45006</v>
      </c>
      <c r="I394" s="25">
        <v>98031</v>
      </c>
      <c r="J394" s="25" t="s">
        <v>62</v>
      </c>
      <c r="K394" s="25" t="s">
        <v>850</v>
      </c>
      <c r="L394" s="27" t="s">
        <v>39</v>
      </c>
      <c r="M394" s="28" t="str">
        <f>_xlfn.XLOOKUP(F394,Department!$A$2:$A$6,Department!$B$2:$B$6)</f>
        <v>Finance</v>
      </c>
      <c r="N394" s="30">
        <f>_xlfn.XLOOKUP(A394,Performance!$A$2:$A$501,Performance!$C$2:$C$501)</f>
        <v>4</v>
      </c>
      <c r="O394" s="28" cm="1">
        <f t="array" ref="O394">_xlfn.IFS(N394=5,I394*15%,N394=4,I394*10%,N394=3,I394*7%,N394&lt;3,I394*5%)</f>
        <v>9803.1</v>
      </c>
    </row>
    <row r="395" spans="1:15">
      <c r="A395" s="24" t="s">
        <v>851</v>
      </c>
      <c r="B395" s="25" t="s">
        <v>58</v>
      </c>
      <c r="C395" s="25" t="s">
        <v>84</v>
      </c>
      <c r="D395" s="25" t="s">
        <v>28</v>
      </c>
      <c r="E395" s="25">
        <v>47</v>
      </c>
      <c r="F395" s="25" t="s">
        <v>35</v>
      </c>
      <c r="G395" s="25" t="s">
        <v>30</v>
      </c>
      <c r="H395" s="26">
        <v>44902</v>
      </c>
      <c r="I395" s="25">
        <v>59479</v>
      </c>
      <c r="J395" s="25" t="s">
        <v>37</v>
      </c>
      <c r="K395" s="25" t="s">
        <v>852</v>
      </c>
      <c r="L395" s="27" t="s">
        <v>39</v>
      </c>
      <c r="M395" s="28" t="str">
        <f>_xlfn.XLOOKUP(F395,Department!$A$2:$A$6,Department!$B$2:$B$6)</f>
        <v>Sales</v>
      </c>
      <c r="N395" s="30">
        <f>_xlfn.XLOOKUP(A395,Performance!$A$2:$A$501,Performance!$C$2:$C$501)</f>
        <v>4</v>
      </c>
      <c r="O395" s="28" cm="1">
        <f t="array" ref="O395">_xlfn.IFS(N395=5,I395*15%,N395=4,I395*10%,N395=3,I395*7%,N395&lt;3,I395*5%)</f>
        <v>5947.9000000000005</v>
      </c>
    </row>
    <row r="396" spans="1:15">
      <c r="A396" s="24" t="s">
        <v>853</v>
      </c>
      <c r="B396" s="25" t="s">
        <v>53</v>
      </c>
      <c r="C396" s="25" t="s">
        <v>18</v>
      </c>
      <c r="D396" s="25" t="s">
        <v>28</v>
      </c>
      <c r="E396" s="25">
        <v>25</v>
      </c>
      <c r="F396" s="25" t="s">
        <v>54</v>
      </c>
      <c r="G396" s="25" t="s">
        <v>44</v>
      </c>
      <c r="H396" s="26">
        <v>44580</v>
      </c>
      <c r="I396" s="25">
        <v>82566</v>
      </c>
      <c r="J396" s="25" t="s">
        <v>22</v>
      </c>
      <c r="K396" s="25" t="s">
        <v>854</v>
      </c>
      <c r="L396" s="27" t="s">
        <v>24</v>
      </c>
      <c r="M396" s="28" t="str">
        <f>_xlfn.XLOOKUP(F396,Department!$A$2:$A$6,Department!$B$2:$B$6)</f>
        <v>Finance</v>
      </c>
      <c r="N396" s="30">
        <f>_xlfn.XLOOKUP(A396,Performance!$A$2:$A$501,Performance!$C$2:$C$501)</f>
        <v>2</v>
      </c>
      <c r="O396" s="28" cm="1">
        <f t="array" ref="O396">_xlfn.IFS(N396=5,I396*15%,N396=4,I396*10%,N396=3,I396*7%,N396&lt;3,I396*5%)</f>
        <v>4128.3</v>
      </c>
    </row>
    <row r="397" spans="1:15">
      <c r="A397" s="24" t="s">
        <v>855</v>
      </c>
      <c r="B397" s="25" t="s">
        <v>34</v>
      </c>
      <c r="C397" s="25" t="s">
        <v>141</v>
      </c>
      <c r="D397" s="25" t="s">
        <v>19</v>
      </c>
      <c r="E397" s="25">
        <v>37</v>
      </c>
      <c r="F397" s="25" t="s">
        <v>54</v>
      </c>
      <c r="G397" s="25" t="s">
        <v>44</v>
      </c>
      <c r="H397" s="26">
        <v>44283</v>
      </c>
      <c r="I397" s="25">
        <v>90050</v>
      </c>
      <c r="J397" s="25" t="s">
        <v>67</v>
      </c>
      <c r="K397" s="25" t="s">
        <v>856</v>
      </c>
      <c r="L397" s="27" t="s">
        <v>24</v>
      </c>
      <c r="M397" s="28" t="str">
        <f>_xlfn.XLOOKUP(F397,Department!$A$2:$A$6,Department!$B$2:$B$6)</f>
        <v>Finance</v>
      </c>
      <c r="N397" s="30">
        <f>_xlfn.XLOOKUP(A397,Performance!$A$2:$A$501,Performance!$C$2:$C$501)</f>
        <v>5</v>
      </c>
      <c r="O397" s="28" cm="1">
        <f t="array" ref="O397">_xlfn.IFS(N397=5,I397*15%,N397=4,I397*10%,N397=3,I397*7%,N397&lt;3,I397*5%)</f>
        <v>13507.5</v>
      </c>
    </row>
    <row r="398" spans="1:15">
      <c r="A398" s="24" t="s">
        <v>857</v>
      </c>
      <c r="B398" s="25" t="s">
        <v>42</v>
      </c>
      <c r="C398" s="25" t="s">
        <v>117</v>
      </c>
      <c r="D398" s="25" t="s">
        <v>28</v>
      </c>
      <c r="E398" s="25">
        <v>54</v>
      </c>
      <c r="F398" s="25" t="s">
        <v>20</v>
      </c>
      <c r="G398" s="25" t="s">
        <v>30</v>
      </c>
      <c r="H398" s="26">
        <v>45019</v>
      </c>
      <c r="I398" s="25">
        <v>56447</v>
      </c>
      <c r="J398" s="25" t="s">
        <v>22</v>
      </c>
      <c r="K398" s="25" t="s">
        <v>858</v>
      </c>
      <c r="L398" s="27" t="s">
        <v>39</v>
      </c>
      <c r="M398" s="28" t="str">
        <f>_xlfn.XLOOKUP(F398,Department!$A$2:$A$6,Department!$B$2:$B$6)</f>
        <v>HR</v>
      </c>
      <c r="N398" s="30">
        <f>_xlfn.XLOOKUP(A398,Performance!$A$2:$A$501,Performance!$C$2:$C$501)</f>
        <v>4</v>
      </c>
      <c r="O398" s="28" cm="1">
        <f t="array" ref="O398">_xlfn.IFS(N398=5,I398*15%,N398=4,I398*10%,N398=3,I398*7%,N398&lt;3,I398*5%)</f>
        <v>5644.7000000000007</v>
      </c>
    </row>
    <row r="399" spans="1:15">
      <c r="A399" s="24" t="s">
        <v>859</v>
      </c>
      <c r="B399" s="25" t="s">
        <v>74</v>
      </c>
      <c r="C399" s="25" t="s">
        <v>141</v>
      </c>
      <c r="D399" s="25" t="s">
        <v>28</v>
      </c>
      <c r="E399" s="25">
        <v>47</v>
      </c>
      <c r="F399" s="25" t="s">
        <v>35</v>
      </c>
      <c r="G399" s="25" t="s">
        <v>21</v>
      </c>
      <c r="H399" s="26">
        <v>43641</v>
      </c>
      <c r="I399" s="25">
        <v>76082</v>
      </c>
      <c r="J399" s="25" t="s">
        <v>67</v>
      </c>
      <c r="K399" s="25" t="s">
        <v>860</v>
      </c>
      <c r="L399" s="27" t="s">
        <v>39</v>
      </c>
      <c r="M399" s="28" t="str">
        <f>_xlfn.XLOOKUP(F399,Department!$A$2:$A$6,Department!$B$2:$B$6)</f>
        <v>Sales</v>
      </c>
      <c r="N399" s="30">
        <f>_xlfn.XLOOKUP(A399,Performance!$A$2:$A$501,Performance!$C$2:$C$501)</f>
        <v>3</v>
      </c>
      <c r="O399" s="28" cm="1">
        <f t="array" ref="O399">_xlfn.IFS(N399=5,I399*15%,N399=4,I399*10%,N399=3,I399*7%,N399&lt;3,I399*5%)</f>
        <v>5325.7400000000007</v>
      </c>
    </row>
    <row r="400" spans="1:15">
      <c r="A400" s="24" t="s">
        <v>861</v>
      </c>
      <c r="B400" s="25" t="s">
        <v>48</v>
      </c>
      <c r="C400" s="25" t="s">
        <v>49</v>
      </c>
      <c r="D400" s="25" t="s">
        <v>28</v>
      </c>
      <c r="E400" s="25">
        <v>28</v>
      </c>
      <c r="F400" s="25" t="s">
        <v>54</v>
      </c>
      <c r="G400" s="25" t="s">
        <v>30</v>
      </c>
      <c r="H400" s="26">
        <v>45303</v>
      </c>
      <c r="I400" s="25">
        <v>98535</v>
      </c>
      <c r="J400" s="25" t="s">
        <v>62</v>
      </c>
      <c r="K400" s="25" t="s">
        <v>862</v>
      </c>
      <c r="L400" s="27" t="s">
        <v>24</v>
      </c>
      <c r="M400" s="28" t="str">
        <f>_xlfn.XLOOKUP(F400,Department!$A$2:$A$6,Department!$B$2:$B$6)</f>
        <v>Finance</v>
      </c>
      <c r="N400" s="30">
        <f>_xlfn.XLOOKUP(A400,Performance!$A$2:$A$501,Performance!$C$2:$C$501)</f>
        <v>1</v>
      </c>
      <c r="O400" s="28" cm="1">
        <f t="array" ref="O400">_xlfn.IFS(N400=5,I400*15%,N400=4,I400*10%,N400=3,I400*7%,N400&lt;3,I400*5%)</f>
        <v>4926.75</v>
      </c>
    </row>
    <row r="401" spans="1:15">
      <c r="A401" s="24" t="s">
        <v>863</v>
      </c>
      <c r="B401" s="25" t="s">
        <v>92</v>
      </c>
      <c r="C401" s="25" t="s">
        <v>117</v>
      </c>
      <c r="D401" s="25" t="s">
        <v>19</v>
      </c>
      <c r="E401" s="25">
        <v>39</v>
      </c>
      <c r="F401" s="25" t="s">
        <v>20</v>
      </c>
      <c r="G401" s="25" t="s">
        <v>102</v>
      </c>
      <c r="H401" s="26">
        <v>44568</v>
      </c>
      <c r="I401" s="25">
        <v>44551</v>
      </c>
      <c r="J401" s="25" t="s">
        <v>37</v>
      </c>
      <c r="K401" s="25" t="s">
        <v>864</v>
      </c>
      <c r="L401" s="27" t="s">
        <v>24</v>
      </c>
      <c r="M401" s="28" t="str">
        <f>_xlfn.XLOOKUP(F401,Department!$A$2:$A$6,Department!$B$2:$B$6)</f>
        <v>HR</v>
      </c>
      <c r="N401" s="30">
        <f>_xlfn.XLOOKUP(A401,Performance!$A$2:$A$501,Performance!$C$2:$C$501)</f>
        <v>5</v>
      </c>
      <c r="O401" s="28" cm="1">
        <f t="array" ref="O401">_xlfn.IFS(N401=5,I401*15%,N401=4,I401*10%,N401=3,I401*7%,N401&lt;3,I401*5%)</f>
        <v>6682.65</v>
      </c>
    </row>
    <row r="402" spans="1:15">
      <c r="A402" s="24" t="s">
        <v>865</v>
      </c>
      <c r="B402" s="25" t="s">
        <v>74</v>
      </c>
      <c r="C402" s="25" t="s">
        <v>27</v>
      </c>
      <c r="D402" s="25" t="s">
        <v>19</v>
      </c>
      <c r="E402" s="25">
        <v>40</v>
      </c>
      <c r="F402" s="25" t="s">
        <v>54</v>
      </c>
      <c r="G402" s="25" t="s">
        <v>36</v>
      </c>
      <c r="H402" s="26">
        <v>44483</v>
      </c>
      <c r="I402" s="25">
        <v>111797</v>
      </c>
      <c r="J402" s="25" t="s">
        <v>62</v>
      </c>
      <c r="K402" s="25" t="s">
        <v>866</v>
      </c>
      <c r="L402" s="27" t="s">
        <v>39</v>
      </c>
      <c r="M402" s="28" t="str">
        <f>_xlfn.XLOOKUP(F402,Department!$A$2:$A$6,Department!$B$2:$B$6)</f>
        <v>Finance</v>
      </c>
      <c r="N402" s="30">
        <f>_xlfn.XLOOKUP(A402,Performance!$A$2:$A$501,Performance!$C$2:$C$501)</f>
        <v>5</v>
      </c>
      <c r="O402" s="28" cm="1">
        <f t="array" ref="O402">_xlfn.IFS(N402=5,I402*15%,N402=4,I402*10%,N402=3,I402*7%,N402&lt;3,I402*5%)</f>
        <v>16769.55</v>
      </c>
    </row>
    <row r="403" spans="1:15">
      <c r="A403" s="24" t="s">
        <v>867</v>
      </c>
      <c r="B403" s="25" t="s">
        <v>74</v>
      </c>
      <c r="C403" s="25" t="s">
        <v>89</v>
      </c>
      <c r="D403" s="25" t="s">
        <v>28</v>
      </c>
      <c r="E403" s="25">
        <v>43</v>
      </c>
      <c r="F403" s="25" t="s">
        <v>20</v>
      </c>
      <c r="G403" s="25" t="s">
        <v>30</v>
      </c>
      <c r="H403" s="26">
        <v>44813</v>
      </c>
      <c r="I403" s="25">
        <v>40238</v>
      </c>
      <c r="J403" s="25" t="s">
        <v>22</v>
      </c>
      <c r="K403" s="25" t="s">
        <v>868</v>
      </c>
      <c r="L403" s="27" t="s">
        <v>24</v>
      </c>
      <c r="M403" s="28" t="str">
        <f>_xlfn.XLOOKUP(F403,Department!$A$2:$A$6,Department!$B$2:$B$6)</f>
        <v>HR</v>
      </c>
      <c r="N403" s="30">
        <f>_xlfn.XLOOKUP(A403,Performance!$A$2:$A$501,Performance!$C$2:$C$501)</f>
        <v>2</v>
      </c>
      <c r="O403" s="28" cm="1">
        <f t="array" ref="O403">_xlfn.IFS(N403=5,I403*15%,N403=4,I403*10%,N403=3,I403*7%,N403&lt;3,I403*5%)</f>
        <v>2011.9</v>
      </c>
    </row>
    <row r="404" spans="1:15">
      <c r="A404" s="24" t="s">
        <v>869</v>
      </c>
      <c r="B404" s="25" t="s">
        <v>74</v>
      </c>
      <c r="C404" s="25" t="s">
        <v>141</v>
      </c>
      <c r="D404" s="25" t="s">
        <v>19</v>
      </c>
      <c r="E404" s="25">
        <v>55</v>
      </c>
      <c r="F404" s="25" t="s">
        <v>35</v>
      </c>
      <c r="G404" s="25" t="s">
        <v>21</v>
      </c>
      <c r="H404" s="26">
        <v>43963</v>
      </c>
      <c r="I404" s="25">
        <v>70077</v>
      </c>
      <c r="J404" s="25" t="s">
        <v>37</v>
      </c>
      <c r="K404" s="25" t="s">
        <v>870</v>
      </c>
      <c r="L404" s="27" t="s">
        <v>24</v>
      </c>
      <c r="M404" s="28" t="str">
        <f>_xlfn.XLOOKUP(F404,Department!$A$2:$A$6,Department!$B$2:$B$6)</f>
        <v>Sales</v>
      </c>
      <c r="N404" s="30">
        <f>_xlfn.XLOOKUP(A404,Performance!$A$2:$A$501,Performance!$C$2:$C$501)</f>
        <v>1</v>
      </c>
      <c r="O404" s="28" cm="1">
        <f t="array" ref="O404">_xlfn.IFS(N404=5,I404*15%,N404=4,I404*10%,N404=3,I404*7%,N404&lt;3,I404*5%)</f>
        <v>3503.8500000000004</v>
      </c>
    </row>
    <row r="405" spans="1:15">
      <c r="A405" s="24" t="s">
        <v>871</v>
      </c>
      <c r="B405" s="25" t="s">
        <v>48</v>
      </c>
      <c r="C405" s="25" t="s">
        <v>18</v>
      </c>
      <c r="D405" s="25" t="s">
        <v>28</v>
      </c>
      <c r="E405" s="25">
        <v>57</v>
      </c>
      <c r="F405" s="25" t="s">
        <v>20</v>
      </c>
      <c r="G405" s="25" t="s">
        <v>21</v>
      </c>
      <c r="H405" s="26">
        <v>45201</v>
      </c>
      <c r="I405" s="25">
        <v>107382</v>
      </c>
      <c r="J405" s="25" t="s">
        <v>22</v>
      </c>
      <c r="K405" s="25" t="s">
        <v>872</v>
      </c>
      <c r="L405" s="27" t="s">
        <v>39</v>
      </c>
      <c r="M405" s="28" t="str">
        <f>_xlfn.XLOOKUP(F405,Department!$A$2:$A$6,Department!$B$2:$B$6)</f>
        <v>HR</v>
      </c>
      <c r="N405" s="30">
        <f>_xlfn.XLOOKUP(A405,Performance!$A$2:$A$501,Performance!$C$2:$C$501)</f>
        <v>2</v>
      </c>
      <c r="O405" s="28" cm="1">
        <f t="array" ref="O405">_xlfn.IFS(N405=5,I405*15%,N405=4,I405*10%,N405=3,I405*7%,N405&lt;3,I405*5%)</f>
        <v>5369.1</v>
      </c>
    </row>
    <row r="406" spans="1:15">
      <c r="A406" s="24" t="s">
        <v>873</v>
      </c>
      <c r="B406" s="25" t="s">
        <v>92</v>
      </c>
      <c r="C406" s="25" t="s">
        <v>93</v>
      </c>
      <c r="D406" s="25" t="s">
        <v>19</v>
      </c>
      <c r="E406" s="25">
        <v>24</v>
      </c>
      <c r="F406" s="25" t="s">
        <v>54</v>
      </c>
      <c r="G406" s="25" t="s">
        <v>30</v>
      </c>
      <c r="H406" s="26">
        <v>45204</v>
      </c>
      <c r="I406" s="25">
        <v>54413</v>
      </c>
      <c r="J406" s="25" t="s">
        <v>67</v>
      </c>
      <c r="K406" s="25" t="s">
        <v>874</v>
      </c>
      <c r="L406" s="27" t="s">
        <v>24</v>
      </c>
      <c r="M406" s="28" t="str">
        <f>_xlfn.XLOOKUP(F406,Department!$A$2:$A$6,Department!$B$2:$B$6)</f>
        <v>Finance</v>
      </c>
      <c r="N406" s="30">
        <f>_xlfn.XLOOKUP(A406,Performance!$A$2:$A$501,Performance!$C$2:$C$501)</f>
        <v>4</v>
      </c>
      <c r="O406" s="28" cm="1">
        <f t="array" ref="O406">_xlfn.IFS(N406=5,I406*15%,N406=4,I406*10%,N406=3,I406*7%,N406&lt;3,I406*5%)</f>
        <v>5441.3</v>
      </c>
    </row>
    <row r="407" spans="1:15">
      <c r="A407" s="24" t="s">
        <v>875</v>
      </c>
      <c r="B407" s="25" t="s">
        <v>126</v>
      </c>
      <c r="C407" s="25" t="s">
        <v>27</v>
      </c>
      <c r="D407" s="25" t="s">
        <v>28</v>
      </c>
      <c r="E407" s="25">
        <v>37</v>
      </c>
      <c r="F407" s="25" t="s">
        <v>35</v>
      </c>
      <c r="G407" s="25" t="s">
        <v>102</v>
      </c>
      <c r="H407" s="26">
        <v>44959</v>
      </c>
      <c r="I407" s="25">
        <v>40061</v>
      </c>
      <c r="J407" s="25" t="s">
        <v>67</v>
      </c>
      <c r="K407" s="25" t="s">
        <v>876</v>
      </c>
      <c r="L407" s="27" t="s">
        <v>24</v>
      </c>
      <c r="M407" s="28" t="str">
        <f>_xlfn.XLOOKUP(F407,Department!$A$2:$A$6,Department!$B$2:$B$6)</f>
        <v>Sales</v>
      </c>
      <c r="N407" s="30">
        <f>_xlfn.XLOOKUP(A407,Performance!$A$2:$A$501,Performance!$C$2:$C$501)</f>
        <v>3</v>
      </c>
      <c r="O407" s="28" cm="1">
        <f t="array" ref="O407">_xlfn.IFS(N407=5,I407*15%,N407=4,I407*10%,N407=3,I407*7%,N407&lt;3,I407*5%)</f>
        <v>2804.2700000000004</v>
      </c>
    </row>
    <row r="408" spans="1:15">
      <c r="A408" s="24" t="s">
        <v>877</v>
      </c>
      <c r="B408" s="25" t="s">
        <v>34</v>
      </c>
      <c r="C408" s="25" t="s">
        <v>93</v>
      </c>
      <c r="D408" s="25" t="s">
        <v>28</v>
      </c>
      <c r="E408" s="25">
        <v>45</v>
      </c>
      <c r="F408" s="25" t="s">
        <v>43</v>
      </c>
      <c r="G408" s="25" t="s">
        <v>102</v>
      </c>
      <c r="H408" s="26">
        <v>45040</v>
      </c>
      <c r="I408" s="25">
        <v>89039</v>
      </c>
      <c r="J408" s="25" t="s">
        <v>37</v>
      </c>
      <c r="K408" s="25" t="s">
        <v>878</v>
      </c>
      <c r="L408" s="27" t="s">
        <v>24</v>
      </c>
      <c r="M408" s="28" t="str">
        <f>_xlfn.XLOOKUP(F408,Department!$A$2:$A$6,Department!$B$2:$B$6)</f>
        <v>Marketing</v>
      </c>
      <c r="N408" s="30">
        <f>_xlfn.XLOOKUP(A408,Performance!$A$2:$A$501,Performance!$C$2:$C$501)</f>
        <v>3</v>
      </c>
      <c r="O408" s="28" cm="1">
        <f t="array" ref="O408">_xlfn.IFS(N408=5,I408*15%,N408=4,I408*10%,N408=3,I408*7%,N408&lt;3,I408*5%)</f>
        <v>6232.7300000000005</v>
      </c>
    </row>
    <row r="409" spans="1:15">
      <c r="A409" s="24" t="s">
        <v>879</v>
      </c>
      <c r="B409" s="25" t="s">
        <v>74</v>
      </c>
      <c r="C409" s="25" t="s">
        <v>66</v>
      </c>
      <c r="D409" s="25" t="s">
        <v>19</v>
      </c>
      <c r="E409" s="25">
        <v>30</v>
      </c>
      <c r="F409" s="25" t="s">
        <v>43</v>
      </c>
      <c r="G409" s="25" t="s">
        <v>44</v>
      </c>
      <c r="H409" s="26">
        <v>44858</v>
      </c>
      <c r="I409" s="25">
        <v>41334</v>
      </c>
      <c r="J409" s="25" t="s">
        <v>37</v>
      </c>
      <c r="K409" s="25" t="s">
        <v>880</v>
      </c>
      <c r="L409" s="27" t="s">
        <v>24</v>
      </c>
      <c r="M409" s="28" t="str">
        <f>_xlfn.XLOOKUP(F409,Department!$A$2:$A$6,Department!$B$2:$B$6)</f>
        <v>Marketing</v>
      </c>
      <c r="N409" s="30">
        <f>_xlfn.XLOOKUP(A409,Performance!$A$2:$A$501,Performance!$C$2:$C$501)</f>
        <v>5</v>
      </c>
      <c r="O409" s="28" cm="1">
        <f t="array" ref="O409">_xlfn.IFS(N409=5,I409*15%,N409=4,I409*10%,N409=3,I409*7%,N409&lt;3,I409*5%)</f>
        <v>6200.0999999999995</v>
      </c>
    </row>
    <row r="410" spans="1:15">
      <c r="A410" s="24" t="s">
        <v>881</v>
      </c>
      <c r="B410" s="25" t="s">
        <v>53</v>
      </c>
      <c r="C410" s="25" t="s">
        <v>141</v>
      </c>
      <c r="D410" s="25" t="s">
        <v>19</v>
      </c>
      <c r="E410" s="25">
        <v>55</v>
      </c>
      <c r="F410" s="25" t="s">
        <v>29</v>
      </c>
      <c r="G410" s="25" t="s">
        <v>21</v>
      </c>
      <c r="H410" s="26">
        <v>45355</v>
      </c>
      <c r="I410" s="25">
        <v>108930</v>
      </c>
      <c r="J410" s="25" t="s">
        <v>62</v>
      </c>
      <c r="K410" s="25" t="s">
        <v>882</v>
      </c>
      <c r="L410" s="27" t="s">
        <v>39</v>
      </c>
      <c r="M410" s="28" t="str">
        <f>_xlfn.XLOOKUP(F410,Department!$A$2:$A$6,Department!$B$2:$B$6)</f>
        <v>IT</v>
      </c>
      <c r="N410" s="30">
        <f>_xlfn.XLOOKUP(A410,Performance!$A$2:$A$501,Performance!$C$2:$C$501)</f>
        <v>1</v>
      </c>
      <c r="O410" s="28" cm="1">
        <f t="array" ref="O410">_xlfn.IFS(N410=5,I410*15%,N410=4,I410*10%,N410=3,I410*7%,N410&lt;3,I410*5%)</f>
        <v>5446.5</v>
      </c>
    </row>
    <row r="411" spans="1:15">
      <c r="A411" s="24" t="s">
        <v>883</v>
      </c>
      <c r="B411" s="25" t="s">
        <v>74</v>
      </c>
      <c r="C411" s="25" t="s">
        <v>89</v>
      </c>
      <c r="D411" s="25" t="s">
        <v>19</v>
      </c>
      <c r="E411" s="25">
        <v>31</v>
      </c>
      <c r="F411" s="25" t="s">
        <v>54</v>
      </c>
      <c r="G411" s="25" t="s">
        <v>30</v>
      </c>
      <c r="H411" s="26">
        <v>43466</v>
      </c>
      <c r="I411" s="25">
        <v>78935</v>
      </c>
      <c r="J411" s="25" t="s">
        <v>22</v>
      </c>
      <c r="K411" s="25" t="s">
        <v>884</v>
      </c>
      <c r="L411" s="27" t="s">
        <v>39</v>
      </c>
      <c r="M411" s="28" t="str">
        <f>_xlfn.XLOOKUP(F411,Department!$A$2:$A$6,Department!$B$2:$B$6)</f>
        <v>Finance</v>
      </c>
      <c r="N411" s="30">
        <f>_xlfn.XLOOKUP(A411,Performance!$A$2:$A$501,Performance!$C$2:$C$501)</f>
        <v>5</v>
      </c>
      <c r="O411" s="28" cm="1">
        <f t="array" ref="O411">_xlfn.IFS(N411=5,I411*15%,N411=4,I411*10%,N411=3,I411*7%,N411&lt;3,I411*5%)</f>
        <v>11840.25</v>
      </c>
    </row>
    <row r="412" spans="1:15">
      <c r="A412" s="24" t="s">
        <v>885</v>
      </c>
      <c r="B412" s="25" t="s">
        <v>42</v>
      </c>
      <c r="C412" s="25" t="s">
        <v>80</v>
      </c>
      <c r="D412" s="25" t="s">
        <v>28</v>
      </c>
      <c r="E412" s="25">
        <v>34</v>
      </c>
      <c r="F412" s="25" t="s">
        <v>54</v>
      </c>
      <c r="G412" s="25" t="s">
        <v>44</v>
      </c>
      <c r="H412" s="26">
        <v>45516</v>
      </c>
      <c r="I412" s="25">
        <v>68187</v>
      </c>
      <c r="J412" s="25" t="s">
        <v>22</v>
      </c>
      <c r="K412" s="25" t="s">
        <v>886</v>
      </c>
      <c r="L412" s="27" t="s">
        <v>24</v>
      </c>
      <c r="M412" s="28" t="str">
        <f>_xlfn.XLOOKUP(F412,Department!$A$2:$A$6,Department!$B$2:$B$6)</f>
        <v>Finance</v>
      </c>
      <c r="N412" s="30">
        <f>_xlfn.XLOOKUP(A412,Performance!$A$2:$A$501,Performance!$C$2:$C$501)</f>
        <v>1</v>
      </c>
      <c r="O412" s="28" cm="1">
        <f t="array" ref="O412">_xlfn.IFS(N412=5,I412*15%,N412=4,I412*10%,N412=3,I412*7%,N412&lt;3,I412*5%)</f>
        <v>3409.3500000000004</v>
      </c>
    </row>
    <row r="413" spans="1:15">
      <c r="A413" s="24" t="s">
        <v>887</v>
      </c>
      <c r="B413" s="25" t="s">
        <v>17</v>
      </c>
      <c r="C413" s="25" t="s">
        <v>49</v>
      </c>
      <c r="D413" s="25" t="s">
        <v>19</v>
      </c>
      <c r="E413" s="25">
        <v>51</v>
      </c>
      <c r="F413" s="25" t="s">
        <v>29</v>
      </c>
      <c r="G413" s="25" t="s">
        <v>30</v>
      </c>
      <c r="H413" s="26">
        <v>44905</v>
      </c>
      <c r="I413" s="25">
        <v>56816</v>
      </c>
      <c r="J413" s="25" t="s">
        <v>67</v>
      </c>
      <c r="K413" s="25" t="s">
        <v>888</v>
      </c>
      <c r="L413" s="27" t="s">
        <v>24</v>
      </c>
      <c r="M413" s="28" t="str">
        <f>_xlfn.XLOOKUP(F413,Department!$A$2:$A$6,Department!$B$2:$B$6)</f>
        <v>IT</v>
      </c>
      <c r="N413" s="30">
        <f>_xlfn.XLOOKUP(A413,Performance!$A$2:$A$501,Performance!$C$2:$C$501)</f>
        <v>3</v>
      </c>
      <c r="O413" s="28" cm="1">
        <f t="array" ref="O413">_xlfn.IFS(N413=5,I413*15%,N413=4,I413*10%,N413=3,I413*7%,N413&lt;3,I413*5%)</f>
        <v>3977.1200000000003</v>
      </c>
    </row>
    <row r="414" spans="1:15">
      <c r="A414" s="24" t="s">
        <v>889</v>
      </c>
      <c r="B414" s="25" t="s">
        <v>61</v>
      </c>
      <c r="C414" s="25" t="s">
        <v>18</v>
      </c>
      <c r="D414" s="25" t="s">
        <v>19</v>
      </c>
      <c r="E414" s="25">
        <v>29</v>
      </c>
      <c r="F414" s="25" t="s">
        <v>29</v>
      </c>
      <c r="G414" s="25" t="s">
        <v>21</v>
      </c>
      <c r="H414" s="26">
        <v>43361</v>
      </c>
      <c r="I414" s="25">
        <v>102232</v>
      </c>
      <c r="J414" s="25" t="s">
        <v>22</v>
      </c>
      <c r="K414" s="25" t="s">
        <v>890</v>
      </c>
      <c r="L414" s="27" t="s">
        <v>24</v>
      </c>
      <c r="M414" s="28" t="str">
        <f>_xlfn.XLOOKUP(F414,Department!$A$2:$A$6,Department!$B$2:$B$6)</f>
        <v>IT</v>
      </c>
      <c r="N414" s="30">
        <f>_xlfn.XLOOKUP(A414,Performance!$A$2:$A$501,Performance!$C$2:$C$501)</f>
        <v>4</v>
      </c>
      <c r="O414" s="28" cm="1">
        <f t="array" ref="O414">_xlfn.IFS(N414=5,I414*15%,N414=4,I414*10%,N414=3,I414*7%,N414&lt;3,I414*5%)</f>
        <v>10223.200000000001</v>
      </c>
    </row>
    <row r="415" spans="1:15">
      <c r="A415" s="24" t="s">
        <v>891</v>
      </c>
      <c r="B415" s="25" t="s">
        <v>61</v>
      </c>
      <c r="C415" s="25" t="s">
        <v>49</v>
      </c>
      <c r="D415" s="25" t="s">
        <v>28</v>
      </c>
      <c r="E415" s="25">
        <v>38</v>
      </c>
      <c r="F415" s="25" t="s">
        <v>54</v>
      </c>
      <c r="G415" s="25" t="s">
        <v>102</v>
      </c>
      <c r="H415" s="26">
        <v>45322</v>
      </c>
      <c r="I415" s="25">
        <v>99123</v>
      </c>
      <c r="J415" s="25" t="s">
        <v>22</v>
      </c>
      <c r="K415" s="25" t="s">
        <v>892</v>
      </c>
      <c r="L415" s="27" t="s">
        <v>39</v>
      </c>
      <c r="M415" s="28" t="str">
        <f>_xlfn.XLOOKUP(F415,Department!$A$2:$A$6,Department!$B$2:$B$6)</f>
        <v>Finance</v>
      </c>
      <c r="N415" s="30">
        <f>_xlfn.XLOOKUP(A415,Performance!$A$2:$A$501,Performance!$C$2:$C$501)</f>
        <v>3</v>
      </c>
      <c r="O415" s="28" cm="1">
        <f t="array" ref="O415">_xlfn.IFS(N415=5,I415*15%,N415=4,I415*10%,N415=3,I415*7%,N415&lt;3,I415*5%)</f>
        <v>6938.6100000000006</v>
      </c>
    </row>
    <row r="416" spans="1:15">
      <c r="A416" s="24" t="s">
        <v>893</v>
      </c>
      <c r="B416" s="25" t="s">
        <v>58</v>
      </c>
      <c r="C416" s="25" t="s">
        <v>18</v>
      </c>
      <c r="D416" s="25" t="s">
        <v>19</v>
      </c>
      <c r="E416" s="25">
        <v>23</v>
      </c>
      <c r="F416" s="25" t="s">
        <v>43</v>
      </c>
      <c r="G416" s="25" t="s">
        <v>36</v>
      </c>
      <c r="H416" s="26">
        <v>44335</v>
      </c>
      <c r="I416" s="25">
        <v>44686</v>
      </c>
      <c r="J416" s="25" t="s">
        <v>62</v>
      </c>
      <c r="K416" s="25" t="s">
        <v>894</v>
      </c>
      <c r="L416" s="27" t="s">
        <v>24</v>
      </c>
      <c r="M416" s="28" t="str">
        <f>_xlfn.XLOOKUP(F416,Department!$A$2:$A$6,Department!$B$2:$B$6)</f>
        <v>Marketing</v>
      </c>
      <c r="N416" s="30">
        <f>_xlfn.XLOOKUP(A416,Performance!$A$2:$A$501,Performance!$C$2:$C$501)</f>
        <v>1</v>
      </c>
      <c r="O416" s="28" cm="1">
        <f t="array" ref="O416">_xlfn.IFS(N416=5,I416*15%,N416=4,I416*10%,N416=3,I416*7%,N416&lt;3,I416*5%)</f>
        <v>2234.3000000000002</v>
      </c>
    </row>
    <row r="417" spans="1:15">
      <c r="A417" s="24" t="s">
        <v>895</v>
      </c>
      <c r="B417" s="25" t="s">
        <v>58</v>
      </c>
      <c r="C417" s="25" t="s">
        <v>141</v>
      </c>
      <c r="D417" s="25" t="s">
        <v>28</v>
      </c>
      <c r="E417" s="25">
        <v>57</v>
      </c>
      <c r="F417" s="25" t="s">
        <v>35</v>
      </c>
      <c r="G417" s="25" t="s">
        <v>30</v>
      </c>
      <c r="H417" s="26">
        <v>45426</v>
      </c>
      <c r="I417" s="25">
        <v>104342</v>
      </c>
      <c r="J417" s="25" t="s">
        <v>81</v>
      </c>
      <c r="K417" s="25" t="s">
        <v>896</v>
      </c>
      <c r="L417" s="27" t="s">
        <v>39</v>
      </c>
      <c r="M417" s="28" t="str">
        <f>_xlfn.XLOOKUP(F417,Department!$A$2:$A$6,Department!$B$2:$B$6)</f>
        <v>Sales</v>
      </c>
      <c r="N417" s="30">
        <f>_xlfn.XLOOKUP(A417,Performance!$A$2:$A$501,Performance!$C$2:$C$501)</f>
        <v>2</v>
      </c>
      <c r="O417" s="28" cm="1">
        <f t="array" ref="O417">_xlfn.IFS(N417=5,I417*15%,N417=4,I417*10%,N417=3,I417*7%,N417&lt;3,I417*5%)</f>
        <v>5217.1000000000004</v>
      </c>
    </row>
    <row r="418" spans="1:15">
      <c r="A418" s="24" t="s">
        <v>897</v>
      </c>
      <c r="B418" s="25" t="s">
        <v>34</v>
      </c>
      <c r="C418" s="25" t="s">
        <v>84</v>
      </c>
      <c r="D418" s="25" t="s">
        <v>28</v>
      </c>
      <c r="E418" s="25">
        <v>40</v>
      </c>
      <c r="F418" s="25" t="s">
        <v>20</v>
      </c>
      <c r="G418" s="25" t="s">
        <v>30</v>
      </c>
      <c r="H418" s="26">
        <v>44391</v>
      </c>
      <c r="I418" s="25">
        <v>116236</v>
      </c>
      <c r="J418" s="25" t="s">
        <v>67</v>
      </c>
      <c r="K418" s="25" t="s">
        <v>898</v>
      </c>
      <c r="L418" s="27" t="s">
        <v>39</v>
      </c>
      <c r="M418" s="28" t="str">
        <f>_xlfn.XLOOKUP(F418,Department!$A$2:$A$6,Department!$B$2:$B$6)</f>
        <v>HR</v>
      </c>
      <c r="N418" s="30">
        <f>_xlfn.XLOOKUP(A418,Performance!$A$2:$A$501,Performance!$C$2:$C$501)</f>
        <v>1</v>
      </c>
      <c r="O418" s="28" cm="1">
        <f t="array" ref="O418">_xlfn.IFS(N418=5,I418*15%,N418=4,I418*10%,N418=3,I418*7%,N418&lt;3,I418*5%)</f>
        <v>5811.8</v>
      </c>
    </row>
    <row r="419" spans="1:15">
      <c r="A419" s="24" t="s">
        <v>899</v>
      </c>
      <c r="B419" s="25" t="s">
        <v>48</v>
      </c>
      <c r="C419" s="25" t="s">
        <v>84</v>
      </c>
      <c r="D419" s="25" t="s">
        <v>28</v>
      </c>
      <c r="E419" s="25">
        <v>33</v>
      </c>
      <c r="F419" s="25" t="s">
        <v>43</v>
      </c>
      <c r="G419" s="25" t="s">
        <v>36</v>
      </c>
      <c r="H419" s="26">
        <v>43158</v>
      </c>
      <c r="I419" s="25">
        <v>63416</v>
      </c>
      <c r="J419" s="25" t="s">
        <v>22</v>
      </c>
      <c r="K419" s="25" t="s">
        <v>900</v>
      </c>
      <c r="L419" s="27" t="s">
        <v>39</v>
      </c>
      <c r="M419" s="28" t="str">
        <f>_xlfn.XLOOKUP(F419,Department!$A$2:$A$6,Department!$B$2:$B$6)</f>
        <v>Marketing</v>
      </c>
      <c r="N419" s="30">
        <f>_xlfn.XLOOKUP(A419,Performance!$A$2:$A$501,Performance!$C$2:$C$501)</f>
        <v>3</v>
      </c>
      <c r="O419" s="28" cm="1">
        <f t="array" ref="O419">_xlfn.IFS(N419=5,I419*15%,N419=4,I419*10%,N419=3,I419*7%,N419&lt;3,I419*5%)</f>
        <v>4439.1200000000008</v>
      </c>
    </row>
    <row r="420" spans="1:15">
      <c r="A420" s="24" t="s">
        <v>901</v>
      </c>
      <c r="B420" s="25" t="s">
        <v>92</v>
      </c>
      <c r="C420" s="25" t="s">
        <v>80</v>
      </c>
      <c r="D420" s="25" t="s">
        <v>19</v>
      </c>
      <c r="E420" s="25">
        <v>46</v>
      </c>
      <c r="F420" s="25" t="s">
        <v>29</v>
      </c>
      <c r="G420" s="25" t="s">
        <v>44</v>
      </c>
      <c r="H420" s="26">
        <v>44171</v>
      </c>
      <c r="I420" s="25">
        <v>48319</v>
      </c>
      <c r="J420" s="25" t="s">
        <v>81</v>
      </c>
      <c r="K420" s="25" t="s">
        <v>902</v>
      </c>
      <c r="L420" s="27" t="s">
        <v>24</v>
      </c>
      <c r="M420" s="28" t="str">
        <f>_xlfn.XLOOKUP(F420,Department!$A$2:$A$6,Department!$B$2:$B$6)</f>
        <v>IT</v>
      </c>
      <c r="N420" s="30">
        <f>_xlfn.XLOOKUP(A420,Performance!$A$2:$A$501,Performance!$C$2:$C$501)</f>
        <v>3</v>
      </c>
      <c r="O420" s="28" cm="1">
        <f t="array" ref="O420">_xlfn.IFS(N420=5,I420*15%,N420=4,I420*10%,N420=3,I420*7%,N420&lt;3,I420*5%)</f>
        <v>3382.3300000000004</v>
      </c>
    </row>
    <row r="421" spans="1:15">
      <c r="A421" s="24" t="s">
        <v>903</v>
      </c>
      <c r="B421" s="25" t="s">
        <v>17</v>
      </c>
      <c r="C421" s="25" t="s">
        <v>117</v>
      </c>
      <c r="D421" s="25" t="s">
        <v>19</v>
      </c>
      <c r="E421" s="25">
        <v>36</v>
      </c>
      <c r="F421" s="25" t="s">
        <v>43</v>
      </c>
      <c r="G421" s="25" t="s">
        <v>21</v>
      </c>
      <c r="H421" s="26">
        <v>45562</v>
      </c>
      <c r="I421" s="25">
        <v>82168</v>
      </c>
      <c r="J421" s="25" t="s">
        <v>22</v>
      </c>
      <c r="K421" s="25" t="s">
        <v>904</v>
      </c>
      <c r="L421" s="27" t="s">
        <v>24</v>
      </c>
      <c r="M421" s="28" t="str">
        <f>_xlfn.XLOOKUP(F421,Department!$A$2:$A$6,Department!$B$2:$B$6)</f>
        <v>Marketing</v>
      </c>
      <c r="N421" s="30">
        <f>_xlfn.XLOOKUP(A421,Performance!$A$2:$A$501,Performance!$C$2:$C$501)</f>
        <v>1</v>
      </c>
      <c r="O421" s="28" cm="1">
        <f t="array" ref="O421">_xlfn.IFS(N421=5,I421*15%,N421=4,I421*10%,N421=3,I421*7%,N421&lt;3,I421*5%)</f>
        <v>4108.4000000000005</v>
      </c>
    </row>
    <row r="422" spans="1:15">
      <c r="A422" s="24" t="s">
        <v>905</v>
      </c>
      <c r="B422" s="25" t="s">
        <v>74</v>
      </c>
      <c r="C422" s="25" t="s">
        <v>66</v>
      </c>
      <c r="D422" s="25" t="s">
        <v>28</v>
      </c>
      <c r="E422" s="25">
        <v>32</v>
      </c>
      <c r="F422" s="25" t="s">
        <v>29</v>
      </c>
      <c r="G422" s="25" t="s">
        <v>44</v>
      </c>
      <c r="H422" s="26">
        <v>43981</v>
      </c>
      <c r="I422" s="25">
        <v>83994</v>
      </c>
      <c r="J422" s="25" t="s">
        <v>22</v>
      </c>
      <c r="K422" s="25" t="s">
        <v>906</v>
      </c>
      <c r="L422" s="27" t="s">
        <v>39</v>
      </c>
      <c r="M422" s="28" t="str">
        <f>_xlfn.XLOOKUP(F422,Department!$A$2:$A$6,Department!$B$2:$B$6)</f>
        <v>IT</v>
      </c>
      <c r="N422" s="30">
        <f>_xlfn.XLOOKUP(A422,Performance!$A$2:$A$501,Performance!$C$2:$C$501)</f>
        <v>1</v>
      </c>
      <c r="O422" s="28" cm="1">
        <f t="array" ref="O422">_xlfn.IFS(N422=5,I422*15%,N422=4,I422*10%,N422=3,I422*7%,N422&lt;3,I422*5%)</f>
        <v>4199.7</v>
      </c>
    </row>
    <row r="423" spans="1:15">
      <c r="A423" s="24" t="s">
        <v>907</v>
      </c>
      <c r="B423" s="25" t="s">
        <v>34</v>
      </c>
      <c r="C423" s="25" t="s">
        <v>89</v>
      </c>
      <c r="D423" s="25" t="s">
        <v>19</v>
      </c>
      <c r="E423" s="25">
        <v>43</v>
      </c>
      <c r="F423" s="25" t="s">
        <v>29</v>
      </c>
      <c r="G423" s="25" t="s">
        <v>36</v>
      </c>
      <c r="H423" s="26">
        <v>43446</v>
      </c>
      <c r="I423" s="25">
        <v>45200</v>
      </c>
      <c r="J423" s="25" t="s">
        <v>22</v>
      </c>
      <c r="K423" s="25" t="s">
        <v>908</v>
      </c>
      <c r="L423" s="27" t="s">
        <v>39</v>
      </c>
      <c r="M423" s="28" t="str">
        <f>_xlfn.XLOOKUP(F423,Department!$A$2:$A$6,Department!$B$2:$B$6)</f>
        <v>IT</v>
      </c>
      <c r="N423" s="30">
        <f>_xlfn.XLOOKUP(A423,Performance!$A$2:$A$501,Performance!$C$2:$C$501)</f>
        <v>4</v>
      </c>
      <c r="O423" s="28" cm="1">
        <f t="array" ref="O423">_xlfn.IFS(N423=5,I423*15%,N423=4,I423*10%,N423=3,I423*7%,N423&lt;3,I423*5%)</f>
        <v>4520</v>
      </c>
    </row>
    <row r="424" spans="1:15">
      <c r="A424" s="24" t="s">
        <v>909</v>
      </c>
      <c r="B424" s="25" t="s">
        <v>42</v>
      </c>
      <c r="C424" s="25" t="s">
        <v>66</v>
      </c>
      <c r="D424" s="25" t="s">
        <v>28</v>
      </c>
      <c r="E424" s="25">
        <v>25</v>
      </c>
      <c r="F424" s="25" t="s">
        <v>35</v>
      </c>
      <c r="G424" s="25" t="s">
        <v>21</v>
      </c>
      <c r="H424" s="26">
        <v>45480</v>
      </c>
      <c r="I424" s="25">
        <v>84722</v>
      </c>
      <c r="J424" s="25" t="s">
        <v>67</v>
      </c>
      <c r="K424" s="25" t="s">
        <v>910</v>
      </c>
      <c r="L424" s="27" t="s">
        <v>39</v>
      </c>
      <c r="M424" s="28" t="str">
        <f>_xlfn.XLOOKUP(F424,Department!$A$2:$A$6,Department!$B$2:$B$6)</f>
        <v>Sales</v>
      </c>
      <c r="N424" s="30">
        <f>_xlfn.XLOOKUP(A424,Performance!$A$2:$A$501,Performance!$C$2:$C$501)</f>
        <v>4</v>
      </c>
      <c r="O424" s="28" cm="1">
        <f t="array" ref="O424">_xlfn.IFS(N424=5,I424*15%,N424=4,I424*10%,N424=3,I424*7%,N424&lt;3,I424*5%)</f>
        <v>8472.2000000000007</v>
      </c>
    </row>
    <row r="425" spans="1:15">
      <c r="A425" s="24" t="s">
        <v>911</v>
      </c>
      <c r="B425" s="25" t="s">
        <v>17</v>
      </c>
      <c r="C425" s="25" t="s">
        <v>66</v>
      </c>
      <c r="D425" s="25" t="s">
        <v>19</v>
      </c>
      <c r="E425" s="25">
        <v>24</v>
      </c>
      <c r="F425" s="25" t="s">
        <v>35</v>
      </c>
      <c r="G425" s="25" t="s">
        <v>21</v>
      </c>
      <c r="H425" s="26">
        <v>43645</v>
      </c>
      <c r="I425" s="25">
        <v>57088</v>
      </c>
      <c r="J425" s="25" t="s">
        <v>22</v>
      </c>
      <c r="K425" s="25" t="s">
        <v>912</v>
      </c>
      <c r="L425" s="27" t="s">
        <v>24</v>
      </c>
      <c r="M425" s="28" t="str">
        <f>_xlfn.XLOOKUP(F425,Department!$A$2:$A$6,Department!$B$2:$B$6)</f>
        <v>Sales</v>
      </c>
      <c r="N425" s="30">
        <f>_xlfn.XLOOKUP(A425,Performance!$A$2:$A$501,Performance!$C$2:$C$501)</f>
        <v>3</v>
      </c>
      <c r="O425" s="28" cm="1">
        <f t="array" ref="O425">_xlfn.IFS(N425=5,I425*15%,N425=4,I425*10%,N425=3,I425*7%,N425&lt;3,I425*5%)</f>
        <v>3996.1600000000003</v>
      </c>
    </row>
    <row r="426" spans="1:15">
      <c r="A426" s="24" t="s">
        <v>913</v>
      </c>
      <c r="B426" s="25" t="s">
        <v>61</v>
      </c>
      <c r="C426" s="25" t="s">
        <v>66</v>
      </c>
      <c r="D426" s="25" t="s">
        <v>28</v>
      </c>
      <c r="E426" s="25">
        <v>52</v>
      </c>
      <c r="F426" s="25" t="s">
        <v>54</v>
      </c>
      <c r="G426" s="25" t="s">
        <v>102</v>
      </c>
      <c r="H426" s="26">
        <v>43672</v>
      </c>
      <c r="I426" s="25">
        <v>106181</v>
      </c>
      <c r="J426" s="25" t="s">
        <v>37</v>
      </c>
      <c r="K426" s="25" t="s">
        <v>914</v>
      </c>
      <c r="L426" s="27" t="s">
        <v>24</v>
      </c>
      <c r="M426" s="28" t="str">
        <f>_xlfn.XLOOKUP(F426,Department!$A$2:$A$6,Department!$B$2:$B$6)</f>
        <v>Finance</v>
      </c>
      <c r="N426" s="30">
        <f>_xlfn.XLOOKUP(A426,Performance!$A$2:$A$501,Performance!$C$2:$C$501)</f>
        <v>2</v>
      </c>
      <c r="O426" s="28" cm="1">
        <f t="array" ref="O426">_xlfn.IFS(N426=5,I426*15%,N426=4,I426*10%,N426=3,I426*7%,N426&lt;3,I426*5%)</f>
        <v>5309.05</v>
      </c>
    </row>
    <row r="427" spans="1:15">
      <c r="A427" s="24" t="s">
        <v>915</v>
      </c>
      <c r="B427" s="25" t="s">
        <v>74</v>
      </c>
      <c r="C427" s="25" t="s">
        <v>89</v>
      </c>
      <c r="D427" s="25" t="s">
        <v>19</v>
      </c>
      <c r="E427" s="25">
        <v>48</v>
      </c>
      <c r="F427" s="25" t="s">
        <v>29</v>
      </c>
      <c r="G427" s="25" t="s">
        <v>21</v>
      </c>
      <c r="H427" s="26">
        <v>44668</v>
      </c>
      <c r="I427" s="25">
        <v>117192</v>
      </c>
      <c r="J427" s="25" t="s">
        <v>62</v>
      </c>
      <c r="K427" s="25" t="s">
        <v>916</v>
      </c>
      <c r="L427" s="27" t="s">
        <v>24</v>
      </c>
      <c r="M427" s="28" t="str">
        <f>_xlfn.XLOOKUP(F427,Department!$A$2:$A$6,Department!$B$2:$B$6)</f>
        <v>IT</v>
      </c>
      <c r="N427" s="30">
        <f>_xlfn.XLOOKUP(A427,Performance!$A$2:$A$501,Performance!$C$2:$C$501)</f>
        <v>5</v>
      </c>
      <c r="O427" s="28" cm="1">
        <f t="array" ref="O427">_xlfn.IFS(N427=5,I427*15%,N427=4,I427*10%,N427=3,I427*7%,N427&lt;3,I427*5%)</f>
        <v>17578.8</v>
      </c>
    </row>
    <row r="428" spans="1:15">
      <c r="A428" s="24" t="s">
        <v>917</v>
      </c>
      <c r="B428" s="25" t="s">
        <v>92</v>
      </c>
      <c r="C428" s="25" t="s">
        <v>18</v>
      </c>
      <c r="D428" s="25" t="s">
        <v>19</v>
      </c>
      <c r="E428" s="25">
        <v>43</v>
      </c>
      <c r="F428" s="25" t="s">
        <v>29</v>
      </c>
      <c r="G428" s="25" t="s">
        <v>102</v>
      </c>
      <c r="H428" s="26">
        <v>44273</v>
      </c>
      <c r="I428" s="25">
        <v>114670</v>
      </c>
      <c r="J428" s="25" t="s">
        <v>62</v>
      </c>
      <c r="K428" s="25" t="s">
        <v>918</v>
      </c>
      <c r="L428" s="27" t="s">
        <v>39</v>
      </c>
      <c r="M428" s="28" t="str">
        <f>_xlfn.XLOOKUP(F428,Department!$A$2:$A$6,Department!$B$2:$B$6)</f>
        <v>IT</v>
      </c>
      <c r="N428" s="30">
        <f>_xlfn.XLOOKUP(A428,Performance!$A$2:$A$501,Performance!$C$2:$C$501)</f>
        <v>3</v>
      </c>
      <c r="O428" s="28" cm="1">
        <f t="array" ref="O428">_xlfn.IFS(N428=5,I428*15%,N428=4,I428*10%,N428=3,I428*7%,N428&lt;3,I428*5%)</f>
        <v>8026.9000000000005</v>
      </c>
    </row>
    <row r="429" spans="1:15">
      <c r="A429" s="24" t="s">
        <v>919</v>
      </c>
      <c r="B429" s="25" t="s">
        <v>34</v>
      </c>
      <c r="C429" s="25" t="s">
        <v>66</v>
      </c>
      <c r="D429" s="25" t="s">
        <v>19</v>
      </c>
      <c r="E429" s="25">
        <v>36</v>
      </c>
      <c r="F429" s="25" t="s">
        <v>20</v>
      </c>
      <c r="G429" s="25" t="s">
        <v>44</v>
      </c>
      <c r="H429" s="26">
        <v>44878</v>
      </c>
      <c r="I429" s="25">
        <v>116951</v>
      </c>
      <c r="J429" s="25" t="s">
        <v>81</v>
      </c>
      <c r="K429" s="25" t="s">
        <v>920</v>
      </c>
      <c r="L429" s="27" t="s">
        <v>24</v>
      </c>
      <c r="M429" s="28" t="str">
        <f>_xlfn.XLOOKUP(F429,Department!$A$2:$A$6,Department!$B$2:$B$6)</f>
        <v>HR</v>
      </c>
      <c r="N429" s="30">
        <f>_xlfn.XLOOKUP(A429,Performance!$A$2:$A$501,Performance!$C$2:$C$501)</f>
        <v>2</v>
      </c>
      <c r="O429" s="28" cm="1">
        <f t="array" ref="O429">_xlfn.IFS(N429=5,I429*15%,N429=4,I429*10%,N429=3,I429*7%,N429&lt;3,I429*5%)</f>
        <v>5847.55</v>
      </c>
    </row>
    <row r="430" spans="1:15">
      <c r="A430" s="24" t="s">
        <v>921</v>
      </c>
      <c r="B430" s="25" t="s">
        <v>74</v>
      </c>
      <c r="C430" s="25" t="s">
        <v>84</v>
      </c>
      <c r="D430" s="25" t="s">
        <v>19</v>
      </c>
      <c r="E430" s="25">
        <v>43</v>
      </c>
      <c r="F430" s="25" t="s">
        <v>20</v>
      </c>
      <c r="G430" s="25" t="s">
        <v>30</v>
      </c>
      <c r="H430" s="26">
        <v>45032</v>
      </c>
      <c r="I430" s="25">
        <v>86123</v>
      </c>
      <c r="J430" s="25" t="s">
        <v>37</v>
      </c>
      <c r="K430" s="25" t="s">
        <v>922</v>
      </c>
      <c r="L430" s="27" t="s">
        <v>39</v>
      </c>
      <c r="M430" s="28" t="str">
        <f>_xlfn.XLOOKUP(F430,Department!$A$2:$A$6,Department!$B$2:$B$6)</f>
        <v>HR</v>
      </c>
      <c r="N430" s="30">
        <f>_xlfn.XLOOKUP(A430,Performance!$A$2:$A$501,Performance!$C$2:$C$501)</f>
        <v>1</v>
      </c>
      <c r="O430" s="28" cm="1">
        <f t="array" ref="O430">_xlfn.IFS(N430=5,I430*15%,N430=4,I430*10%,N430=3,I430*7%,N430&lt;3,I430*5%)</f>
        <v>4306.1500000000005</v>
      </c>
    </row>
    <row r="431" spans="1:15">
      <c r="A431" s="24" t="s">
        <v>923</v>
      </c>
      <c r="B431" s="25" t="s">
        <v>17</v>
      </c>
      <c r="C431" s="25" t="s">
        <v>89</v>
      </c>
      <c r="D431" s="25" t="s">
        <v>19</v>
      </c>
      <c r="E431" s="25">
        <v>45</v>
      </c>
      <c r="F431" s="25" t="s">
        <v>54</v>
      </c>
      <c r="G431" s="25" t="s">
        <v>21</v>
      </c>
      <c r="H431" s="26">
        <v>44452</v>
      </c>
      <c r="I431" s="25">
        <v>68220</v>
      </c>
      <c r="J431" s="25" t="s">
        <v>81</v>
      </c>
      <c r="K431" s="25" t="s">
        <v>924</v>
      </c>
      <c r="L431" s="27" t="s">
        <v>24</v>
      </c>
      <c r="M431" s="28" t="str">
        <f>_xlfn.XLOOKUP(F431,Department!$A$2:$A$6,Department!$B$2:$B$6)</f>
        <v>Finance</v>
      </c>
      <c r="N431" s="30">
        <f>_xlfn.XLOOKUP(A431,Performance!$A$2:$A$501,Performance!$C$2:$C$501)</f>
        <v>5</v>
      </c>
      <c r="O431" s="28" cm="1">
        <f t="array" ref="O431">_xlfn.IFS(N431=5,I431*15%,N431=4,I431*10%,N431=3,I431*7%,N431&lt;3,I431*5%)</f>
        <v>10233</v>
      </c>
    </row>
    <row r="432" spans="1:15">
      <c r="A432" s="24" t="s">
        <v>925</v>
      </c>
      <c r="B432" s="25" t="s">
        <v>53</v>
      </c>
      <c r="C432" s="25" t="s">
        <v>117</v>
      </c>
      <c r="D432" s="25" t="s">
        <v>19</v>
      </c>
      <c r="E432" s="25">
        <v>60</v>
      </c>
      <c r="F432" s="25" t="s">
        <v>43</v>
      </c>
      <c r="G432" s="25" t="s">
        <v>36</v>
      </c>
      <c r="H432" s="26">
        <v>45348</v>
      </c>
      <c r="I432" s="25">
        <v>115147</v>
      </c>
      <c r="J432" s="25" t="s">
        <v>37</v>
      </c>
      <c r="K432" s="25" t="s">
        <v>926</v>
      </c>
      <c r="L432" s="27" t="s">
        <v>39</v>
      </c>
      <c r="M432" s="28" t="str">
        <f>_xlfn.XLOOKUP(F432,Department!$A$2:$A$6,Department!$B$2:$B$6)</f>
        <v>Marketing</v>
      </c>
      <c r="N432" s="30">
        <f>_xlfn.XLOOKUP(A432,Performance!$A$2:$A$501,Performance!$C$2:$C$501)</f>
        <v>2</v>
      </c>
      <c r="O432" s="28" cm="1">
        <f t="array" ref="O432">_xlfn.IFS(N432=5,I432*15%,N432=4,I432*10%,N432=3,I432*7%,N432&lt;3,I432*5%)</f>
        <v>5757.35</v>
      </c>
    </row>
    <row r="433" spans="1:15">
      <c r="A433" s="24" t="s">
        <v>927</v>
      </c>
      <c r="B433" s="25" t="s">
        <v>92</v>
      </c>
      <c r="C433" s="25" t="s">
        <v>49</v>
      </c>
      <c r="D433" s="25" t="s">
        <v>19</v>
      </c>
      <c r="E433" s="25">
        <v>54</v>
      </c>
      <c r="F433" s="25" t="s">
        <v>54</v>
      </c>
      <c r="G433" s="25" t="s">
        <v>30</v>
      </c>
      <c r="H433" s="26">
        <v>45327</v>
      </c>
      <c r="I433" s="25">
        <v>68028</v>
      </c>
      <c r="J433" s="25" t="s">
        <v>22</v>
      </c>
      <c r="K433" s="25" t="s">
        <v>928</v>
      </c>
      <c r="L433" s="27" t="s">
        <v>39</v>
      </c>
      <c r="M433" s="28" t="str">
        <f>_xlfn.XLOOKUP(F433,Department!$A$2:$A$6,Department!$B$2:$B$6)</f>
        <v>Finance</v>
      </c>
      <c r="N433" s="30">
        <f>_xlfn.XLOOKUP(A433,Performance!$A$2:$A$501,Performance!$C$2:$C$501)</f>
        <v>4</v>
      </c>
      <c r="O433" s="28" cm="1">
        <f t="array" ref="O433">_xlfn.IFS(N433=5,I433*15%,N433=4,I433*10%,N433=3,I433*7%,N433&lt;3,I433*5%)</f>
        <v>6802.8</v>
      </c>
    </row>
    <row r="434" spans="1:15">
      <c r="A434" s="24" t="s">
        <v>929</v>
      </c>
      <c r="B434" s="25" t="s">
        <v>42</v>
      </c>
      <c r="C434" s="25" t="s">
        <v>49</v>
      </c>
      <c r="D434" s="25" t="s">
        <v>28</v>
      </c>
      <c r="E434" s="25">
        <v>52</v>
      </c>
      <c r="F434" s="25" t="s">
        <v>43</v>
      </c>
      <c r="G434" s="25" t="s">
        <v>102</v>
      </c>
      <c r="H434" s="26">
        <v>44976</v>
      </c>
      <c r="I434" s="25">
        <v>46732</v>
      </c>
      <c r="J434" s="25" t="s">
        <v>67</v>
      </c>
      <c r="K434" s="25" t="s">
        <v>930</v>
      </c>
      <c r="L434" s="27" t="s">
        <v>39</v>
      </c>
      <c r="M434" s="28" t="str">
        <f>_xlfn.XLOOKUP(F434,Department!$A$2:$A$6,Department!$B$2:$B$6)</f>
        <v>Marketing</v>
      </c>
      <c r="N434" s="30">
        <f>_xlfn.XLOOKUP(A434,Performance!$A$2:$A$501,Performance!$C$2:$C$501)</f>
        <v>1</v>
      </c>
      <c r="O434" s="28" cm="1">
        <f t="array" ref="O434">_xlfn.IFS(N434=5,I434*15%,N434=4,I434*10%,N434=3,I434*7%,N434&lt;3,I434*5%)</f>
        <v>2336.6</v>
      </c>
    </row>
    <row r="435" spans="1:15">
      <c r="A435" s="24" t="s">
        <v>931</v>
      </c>
      <c r="B435" s="25" t="s">
        <v>48</v>
      </c>
      <c r="C435" s="25" t="s">
        <v>117</v>
      </c>
      <c r="D435" s="25" t="s">
        <v>28</v>
      </c>
      <c r="E435" s="25">
        <v>53</v>
      </c>
      <c r="F435" s="25" t="s">
        <v>20</v>
      </c>
      <c r="G435" s="25" t="s">
        <v>102</v>
      </c>
      <c r="H435" s="26">
        <v>45383</v>
      </c>
      <c r="I435" s="25">
        <v>37701</v>
      </c>
      <c r="J435" s="25" t="s">
        <v>37</v>
      </c>
      <c r="K435" s="25" t="s">
        <v>932</v>
      </c>
      <c r="L435" s="27" t="s">
        <v>39</v>
      </c>
      <c r="M435" s="28" t="str">
        <f>_xlfn.XLOOKUP(F435,Department!$A$2:$A$6,Department!$B$2:$B$6)</f>
        <v>HR</v>
      </c>
      <c r="N435" s="30">
        <f>_xlfn.XLOOKUP(A435,Performance!$A$2:$A$501,Performance!$C$2:$C$501)</f>
        <v>4</v>
      </c>
      <c r="O435" s="28" cm="1">
        <f t="array" ref="O435">_xlfn.IFS(N435=5,I435*15%,N435=4,I435*10%,N435=3,I435*7%,N435&lt;3,I435*5%)</f>
        <v>3770.1000000000004</v>
      </c>
    </row>
    <row r="436" spans="1:15">
      <c r="A436" s="24" t="s">
        <v>933</v>
      </c>
      <c r="B436" s="25" t="s">
        <v>53</v>
      </c>
      <c r="C436" s="25" t="s">
        <v>49</v>
      </c>
      <c r="D436" s="25" t="s">
        <v>19</v>
      </c>
      <c r="E436" s="25">
        <v>51</v>
      </c>
      <c r="F436" s="25" t="s">
        <v>20</v>
      </c>
      <c r="G436" s="25" t="s">
        <v>30</v>
      </c>
      <c r="H436" s="26">
        <v>43183</v>
      </c>
      <c r="I436" s="25">
        <v>103930</v>
      </c>
      <c r="J436" s="25" t="s">
        <v>62</v>
      </c>
      <c r="K436" s="25" t="s">
        <v>934</v>
      </c>
      <c r="L436" s="27" t="s">
        <v>39</v>
      </c>
      <c r="M436" s="28" t="str">
        <f>_xlfn.XLOOKUP(F436,Department!$A$2:$A$6,Department!$B$2:$B$6)</f>
        <v>HR</v>
      </c>
      <c r="N436" s="30">
        <f>_xlfn.XLOOKUP(A436,Performance!$A$2:$A$501,Performance!$C$2:$C$501)</f>
        <v>1</v>
      </c>
      <c r="O436" s="28" cm="1">
        <f t="array" ref="O436">_xlfn.IFS(N436=5,I436*15%,N436=4,I436*10%,N436=3,I436*7%,N436&lt;3,I436*5%)</f>
        <v>5196.5</v>
      </c>
    </row>
    <row r="437" spans="1:15">
      <c r="A437" s="24" t="s">
        <v>935</v>
      </c>
      <c r="B437" s="25" t="s">
        <v>126</v>
      </c>
      <c r="C437" s="25" t="s">
        <v>89</v>
      </c>
      <c r="D437" s="25" t="s">
        <v>19</v>
      </c>
      <c r="E437" s="25">
        <v>41</v>
      </c>
      <c r="F437" s="25" t="s">
        <v>29</v>
      </c>
      <c r="G437" s="25" t="s">
        <v>21</v>
      </c>
      <c r="H437" s="26">
        <v>45464</v>
      </c>
      <c r="I437" s="25">
        <v>83188</v>
      </c>
      <c r="J437" s="25" t="s">
        <v>81</v>
      </c>
      <c r="K437" s="25" t="s">
        <v>936</v>
      </c>
      <c r="L437" s="27" t="s">
        <v>24</v>
      </c>
      <c r="M437" s="28" t="str">
        <f>_xlfn.XLOOKUP(F437,Department!$A$2:$A$6,Department!$B$2:$B$6)</f>
        <v>IT</v>
      </c>
      <c r="N437" s="30">
        <f>_xlfn.XLOOKUP(A437,Performance!$A$2:$A$501,Performance!$C$2:$C$501)</f>
        <v>1</v>
      </c>
      <c r="O437" s="28" cm="1">
        <f t="array" ref="O437">_xlfn.IFS(N437=5,I437*15%,N437=4,I437*10%,N437=3,I437*7%,N437&lt;3,I437*5%)</f>
        <v>4159.4000000000005</v>
      </c>
    </row>
    <row r="438" spans="1:15">
      <c r="A438" s="24" t="s">
        <v>937</v>
      </c>
      <c r="B438" s="25" t="s">
        <v>17</v>
      </c>
      <c r="C438" s="25" t="s">
        <v>93</v>
      </c>
      <c r="D438" s="25" t="s">
        <v>28</v>
      </c>
      <c r="E438" s="25">
        <v>23</v>
      </c>
      <c r="F438" s="25" t="s">
        <v>43</v>
      </c>
      <c r="G438" s="25" t="s">
        <v>30</v>
      </c>
      <c r="H438" s="26">
        <v>43486</v>
      </c>
      <c r="I438" s="25">
        <v>50616</v>
      </c>
      <c r="J438" s="25" t="s">
        <v>62</v>
      </c>
      <c r="K438" s="25" t="s">
        <v>938</v>
      </c>
      <c r="L438" s="27" t="s">
        <v>39</v>
      </c>
      <c r="M438" s="28" t="str">
        <f>_xlfn.XLOOKUP(F438,Department!$A$2:$A$6,Department!$B$2:$B$6)</f>
        <v>Marketing</v>
      </c>
      <c r="N438" s="30">
        <f>_xlfn.XLOOKUP(A438,Performance!$A$2:$A$501,Performance!$C$2:$C$501)</f>
        <v>2</v>
      </c>
      <c r="O438" s="28" cm="1">
        <f t="array" ref="O438">_xlfn.IFS(N438=5,I438*15%,N438=4,I438*10%,N438=3,I438*7%,N438&lt;3,I438*5%)</f>
        <v>2530.8000000000002</v>
      </c>
    </row>
    <row r="439" spans="1:15">
      <c r="A439" s="24" t="s">
        <v>939</v>
      </c>
      <c r="B439" s="25" t="s">
        <v>92</v>
      </c>
      <c r="C439" s="25" t="s">
        <v>117</v>
      </c>
      <c r="D439" s="25" t="s">
        <v>28</v>
      </c>
      <c r="E439" s="25">
        <v>52</v>
      </c>
      <c r="F439" s="25" t="s">
        <v>43</v>
      </c>
      <c r="G439" s="25" t="s">
        <v>21</v>
      </c>
      <c r="H439" s="26">
        <v>44555</v>
      </c>
      <c r="I439" s="25">
        <v>80964</v>
      </c>
      <c r="J439" s="25" t="s">
        <v>62</v>
      </c>
      <c r="K439" s="25" t="s">
        <v>940</v>
      </c>
      <c r="L439" s="27" t="s">
        <v>24</v>
      </c>
      <c r="M439" s="28" t="str">
        <f>_xlfn.XLOOKUP(F439,Department!$A$2:$A$6,Department!$B$2:$B$6)</f>
        <v>Marketing</v>
      </c>
      <c r="N439" s="30">
        <f>_xlfn.XLOOKUP(A439,Performance!$A$2:$A$501,Performance!$C$2:$C$501)</f>
        <v>2</v>
      </c>
      <c r="O439" s="28" cm="1">
        <f t="array" ref="O439">_xlfn.IFS(N439=5,I439*15%,N439=4,I439*10%,N439=3,I439*7%,N439&lt;3,I439*5%)</f>
        <v>4048.2000000000003</v>
      </c>
    </row>
    <row r="440" spans="1:15">
      <c r="A440" s="24" t="s">
        <v>941</v>
      </c>
      <c r="B440" s="25" t="s">
        <v>42</v>
      </c>
      <c r="C440" s="25" t="s">
        <v>84</v>
      </c>
      <c r="D440" s="25" t="s">
        <v>28</v>
      </c>
      <c r="E440" s="25">
        <v>28</v>
      </c>
      <c r="F440" s="25" t="s">
        <v>43</v>
      </c>
      <c r="G440" s="25" t="s">
        <v>30</v>
      </c>
      <c r="H440" s="26">
        <v>43481</v>
      </c>
      <c r="I440" s="25">
        <v>38806</v>
      </c>
      <c r="J440" s="25" t="s">
        <v>62</v>
      </c>
      <c r="K440" s="25" t="s">
        <v>942</v>
      </c>
      <c r="L440" s="27" t="s">
        <v>39</v>
      </c>
      <c r="M440" s="28" t="str">
        <f>_xlfn.XLOOKUP(F440,Department!$A$2:$A$6,Department!$B$2:$B$6)</f>
        <v>Marketing</v>
      </c>
      <c r="N440" s="30">
        <f>_xlfn.XLOOKUP(A440,Performance!$A$2:$A$501,Performance!$C$2:$C$501)</f>
        <v>2</v>
      </c>
      <c r="O440" s="28" cm="1">
        <f t="array" ref="O440">_xlfn.IFS(N440=5,I440*15%,N440=4,I440*10%,N440=3,I440*7%,N440&lt;3,I440*5%)</f>
        <v>1940.3000000000002</v>
      </c>
    </row>
    <row r="441" spans="1:15">
      <c r="A441" s="24" t="s">
        <v>943</v>
      </c>
      <c r="B441" s="25" t="s">
        <v>92</v>
      </c>
      <c r="C441" s="25" t="s">
        <v>84</v>
      </c>
      <c r="D441" s="25" t="s">
        <v>19</v>
      </c>
      <c r="E441" s="25">
        <v>29</v>
      </c>
      <c r="F441" s="25" t="s">
        <v>20</v>
      </c>
      <c r="G441" s="25" t="s">
        <v>36</v>
      </c>
      <c r="H441" s="26">
        <v>44131</v>
      </c>
      <c r="I441" s="25">
        <v>71247</v>
      </c>
      <c r="J441" s="25" t="s">
        <v>62</v>
      </c>
      <c r="K441" s="25" t="s">
        <v>944</v>
      </c>
      <c r="L441" s="27" t="s">
        <v>39</v>
      </c>
      <c r="M441" s="28" t="str">
        <f>_xlfn.XLOOKUP(F441,Department!$A$2:$A$6,Department!$B$2:$B$6)</f>
        <v>HR</v>
      </c>
      <c r="N441" s="30">
        <f>_xlfn.XLOOKUP(A441,Performance!$A$2:$A$501,Performance!$C$2:$C$501)</f>
        <v>4</v>
      </c>
      <c r="O441" s="28" cm="1">
        <f t="array" ref="O441">_xlfn.IFS(N441=5,I441*15%,N441=4,I441*10%,N441=3,I441*7%,N441&lt;3,I441*5%)</f>
        <v>7124.7000000000007</v>
      </c>
    </row>
    <row r="442" spans="1:15">
      <c r="A442" s="24" t="s">
        <v>945</v>
      </c>
      <c r="B442" s="25" t="s">
        <v>61</v>
      </c>
      <c r="C442" s="25" t="s">
        <v>141</v>
      </c>
      <c r="D442" s="25" t="s">
        <v>19</v>
      </c>
      <c r="E442" s="25">
        <v>29</v>
      </c>
      <c r="F442" s="25" t="s">
        <v>43</v>
      </c>
      <c r="G442" s="25" t="s">
        <v>44</v>
      </c>
      <c r="H442" s="26">
        <v>44023</v>
      </c>
      <c r="I442" s="25">
        <v>109197</v>
      </c>
      <c r="J442" s="25" t="s">
        <v>81</v>
      </c>
      <c r="K442" s="25" t="s">
        <v>946</v>
      </c>
      <c r="L442" s="27" t="s">
        <v>39</v>
      </c>
      <c r="M442" s="28" t="str">
        <f>_xlfn.XLOOKUP(F442,Department!$A$2:$A$6,Department!$B$2:$B$6)</f>
        <v>Marketing</v>
      </c>
      <c r="N442" s="30">
        <f>_xlfn.XLOOKUP(A442,Performance!$A$2:$A$501,Performance!$C$2:$C$501)</f>
        <v>2</v>
      </c>
      <c r="O442" s="28" cm="1">
        <f t="array" ref="O442">_xlfn.IFS(N442=5,I442*15%,N442=4,I442*10%,N442=3,I442*7%,N442&lt;3,I442*5%)</f>
        <v>5459.85</v>
      </c>
    </row>
    <row r="443" spans="1:15">
      <c r="A443" s="24" t="s">
        <v>947</v>
      </c>
      <c r="B443" s="25" t="s">
        <v>48</v>
      </c>
      <c r="C443" s="25" t="s">
        <v>66</v>
      </c>
      <c r="D443" s="25" t="s">
        <v>28</v>
      </c>
      <c r="E443" s="25">
        <v>47</v>
      </c>
      <c r="F443" s="25" t="s">
        <v>35</v>
      </c>
      <c r="G443" s="25" t="s">
        <v>44</v>
      </c>
      <c r="H443" s="26">
        <v>44707</v>
      </c>
      <c r="I443" s="25">
        <v>77368</v>
      </c>
      <c r="J443" s="25" t="s">
        <v>22</v>
      </c>
      <c r="K443" s="25" t="s">
        <v>948</v>
      </c>
      <c r="L443" s="27" t="s">
        <v>24</v>
      </c>
      <c r="M443" s="28" t="str">
        <f>_xlfn.XLOOKUP(F443,Department!$A$2:$A$6,Department!$B$2:$B$6)</f>
        <v>Sales</v>
      </c>
      <c r="N443" s="30">
        <f>_xlfn.XLOOKUP(A443,Performance!$A$2:$A$501,Performance!$C$2:$C$501)</f>
        <v>2</v>
      </c>
      <c r="O443" s="28" cm="1">
        <f t="array" ref="O443">_xlfn.IFS(N443=5,I443*15%,N443=4,I443*10%,N443=3,I443*7%,N443&lt;3,I443*5%)</f>
        <v>3868.4</v>
      </c>
    </row>
    <row r="444" spans="1:15">
      <c r="A444" s="24" t="s">
        <v>949</v>
      </c>
      <c r="B444" s="25" t="s">
        <v>74</v>
      </c>
      <c r="C444" s="25" t="s">
        <v>141</v>
      </c>
      <c r="D444" s="25" t="s">
        <v>28</v>
      </c>
      <c r="E444" s="25">
        <v>41</v>
      </c>
      <c r="F444" s="25" t="s">
        <v>20</v>
      </c>
      <c r="G444" s="25" t="s">
        <v>36</v>
      </c>
      <c r="H444" s="26">
        <v>45295</v>
      </c>
      <c r="I444" s="25">
        <v>62102</v>
      </c>
      <c r="J444" s="25" t="s">
        <v>81</v>
      </c>
      <c r="K444" s="25" t="s">
        <v>950</v>
      </c>
      <c r="L444" s="27" t="s">
        <v>39</v>
      </c>
      <c r="M444" s="28" t="str">
        <f>_xlfn.XLOOKUP(F444,Department!$A$2:$A$6,Department!$B$2:$B$6)</f>
        <v>HR</v>
      </c>
      <c r="N444" s="30">
        <f>_xlfn.XLOOKUP(A444,Performance!$A$2:$A$501,Performance!$C$2:$C$501)</f>
        <v>2</v>
      </c>
      <c r="O444" s="28" cm="1">
        <f t="array" ref="O444">_xlfn.IFS(N444=5,I444*15%,N444=4,I444*10%,N444=3,I444*7%,N444&lt;3,I444*5%)</f>
        <v>3105.1000000000004</v>
      </c>
    </row>
    <row r="445" spans="1:15">
      <c r="A445" s="24" t="s">
        <v>951</v>
      </c>
      <c r="B445" s="25" t="s">
        <v>48</v>
      </c>
      <c r="C445" s="25" t="s">
        <v>18</v>
      </c>
      <c r="D445" s="25" t="s">
        <v>28</v>
      </c>
      <c r="E445" s="25">
        <v>40</v>
      </c>
      <c r="F445" s="25" t="s">
        <v>20</v>
      </c>
      <c r="G445" s="25" t="s">
        <v>44</v>
      </c>
      <c r="H445" s="26">
        <v>44794</v>
      </c>
      <c r="I445" s="25">
        <v>66499</v>
      </c>
      <c r="J445" s="25" t="s">
        <v>81</v>
      </c>
      <c r="K445" s="25" t="s">
        <v>952</v>
      </c>
      <c r="L445" s="27" t="s">
        <v>24</v>
      </c>
      <c r="M445" s="28" t="str">
        <f>_xlfn.XLOOKUP(F445,Department!$A$2:$A$6,Department!$B$2:$B$6)</f>
        <v>HR</v>
      </c>
      <c r="N445" s="30">
        <f>_xlfn.XLOOKUP(A445,Performance!$A$2:$A$501,Performance!$C$2:$C$501)</f>
        <v>2</v>
      </c>
      <c r="O445" s="28" cm="1">
        <f t="array" ref="O445">_xlfn.IFS(N445=5,I445*15%,N445=4,I445*10%,N445=3,I445*7%,N445&lt;3,I445*5%)</f>
        <v>3324.9500000000003</v>
      </c>
    </row>
    <row r="446" spans="1:15">
      <c r="A446" s="24" t="s">
        <v>953</v>
      </c>
      <c r="B446" s="25" t="s">
        <v>17</v>
      </c>
      <c r="C446" s="25" t="s">
        <v>27</v>
      </c>
      <c r="D446" s="25" t="s">
        <v>28</v>
      </c>
      <c r="E446" s="25">
        <v>47</v>
      </c>
      <c r="F446" s="25" t="s">
        <v>35</v>
      </c>
      <c r="G446" s="25" t="s">
        <v>102</v>
      </c>
      <c r="H446" s="26">
        <v>43109</v>
      </c>
      <c r="I446" s="25">
        <v>114326</v>
      </c>
      <c r="J446" s="25" t="s">
        <v>37</v>
      </c>
      <c r="K446" s="25" t="s">
        <v>954</v>
      </c>
      <c r="L446" s="27" t="s">
        <v>39</v>
      </c>
      <c r="M446" s="28" t="str">
        <f>_xlfn.XLOOKUP(F446,Department!$A$2:$A$6,Department!$B$2:$B$6)</f>
        <v>Sales</v>
      </c>
      <c r="N446" s="30">
        <f>_xlfn.XLOOKUP(A446,Performance!$A$2:$A$501,Performance!$C$2:$C$501)</f>
        <v>2</v>
      </c>
      <c r="O446" s="28" cm="1">
        <f t="array" ref="O446">_xlfn.IFS(N446=5,I446*15%,N446=4,I446*10%,N446=3,I446*7%,N446&lt;3,I446*5%)</f>
        <v>5716.3</v>
      </c>
    </row>
    <row r="447" spans="1:15">
      <c r="A447" s="24" t="s">
        <v>955</v>
      </c>
      <c r="B447" s="25" t="s">
        <v>58</v>
      </c>
      <c r="C447" s="25" t="s">
        <v>80</v>
      </c>
      <c r="D447" s="25" t="s">
        <v>19</v>
      </c>
      <c r="E447" s="25">
        <v>49</v>
      </c>
      <c r="F447" s="25" t="s">
        <v>29</v>
      </c>
      <c r="G447" s="25" t="s">
        <v>36</v>
      </c>
      <c r="H447" s="26">
        <v>44384</v>
      </c>
      <c r="I447" s="25">
        <v>98144</v>
      </c>
      <c r="J447" s="25" t="s">
        <v>67</v>
      </c>
      <c r="K447" s="25" t="s">
        <v>956</v>
      </c>
      <c r="L447" s="27" t="s">
        <v>39</v>
      </c>
      <c r="M447" s="28" t="str">
        <f>_xlfn.XLOOKUP(F447,Department!$A$2:$A$6,Department!$B$2:$B$6)</f>
        <v>IT</v>
      </c>
      <c r="N447" s="30">
        <f>_xlfn.XLOOKUP(A447,Performance!$A$2:$A$501,Performance!$C$2:$C$501)</f>
        <v>1</v>
      </c>
      <c r="O447" s="28" cm="1">
        <f t="array" ref="O447">_xlfn.IFS(N447=5,I447*15%,N447=4,I447*10%,N447=3,I447*7%,N447&lt;3,I447*5%)</f>
        <v>4907.2</v>
      </c>
    </row>
    <row r="448" spans="1:15">
      <c r="A448" s="24" t="s">
        <v>957</v>
      </c>
      <c r="B448" s="25" t="s">
        <v>126</v>
      </c>
      <c r="C448" s="25" t="s">
        <v>93</v>
      </c>
      <c r="D448" s="25" t="s">
        <v>19</v>
      </c>
      <c r="E448" s="25">
        <v>50</v>
      </c>
      <c r="F448" s="25" t="s">
        <v>54</v>
      </c>
      <c r="G448" s="25" t="s">
        <v>44</v>
      </c>
      <c r="H448" s="26">
        <v>44420</v>
      </c>
      <c r="I448" s="25">
        <v>61804</v>
      </c>
      <c r="J448" s="25" t="s">
        <v>62</v>
      </c>
      <c r="K448" s="25" t="s">
        <v>958</v>
      </c>
      <c r="L448" s="27" t="s">
        <v>24</v>
      </c>
      <c r="M448" s="28" t="str">
        <f>_xlfn.XLOOKUP(F448,Department!$A$2:$A$6,Department!$B$2:$B$6)</f>
        <v>Finance</v>
      </c>
      <c r="N448" s="30">
        <f>_xlfn.XLOOKUP(A448,Performance!$A$2:$A$501,Performance!$C$2:$C$501)</f>
        <v>1</v>
      </c>
      <c r="O448" s="28" cm="1">
        <f t="array" ref="O448">_xlfn.IFS(N448=5,I448*15%,N448=4,I448*10%,N448=3,I448*7%,N448&lt;3,I448*5%)</f>
        <v>3090.2000000000003</v>
      </c>
    </row>
    <row r="449" spans="1:15">
      <c r="A449" s="24" t="s">
        <v>959</v>
      </c>
      <c r="B449" s="25" t="s">
        <v>92</v>
      </c>
      <c r="C449" s="25" t="s">
        <v>117</v>
      </c>
      <c r="D449" s="25" t="s">
        <v>19</v>
      </c>
      <c r="E449" s="25">
        <v>24</v>
      </c>
      <c r="F449" s="25" t="s">
        <v>20</v>
      </c>
      <c r="G449" s="25" t="s">
        <v>36</v>
      </c>
      <c r="H449" s="26">
        <v>45437</v>
      </c>
      <c r="I449" s="25">
        <v>42829</v>
      </c>
      <c r="J449" s="25" t="s">
        <v>81</v>
      </c>
      <c r="K449" s="25" t="s">
        <v>960</v>
      </c>
      <c r="L449" s="27" t="s">
        <v>24</v>
      </c>
      <c r="M449" s="28" t="str">
        <f>_xlfn.XLOOKUP(F449,Department!$A$2:$A$6,Department!$B$2:$B$6)</f>
        <v>HR</v>
      </c>
      <c r="N449" s="30">
        <f>_xlfn.XLOOKUP(A449,Performance!$A$2:$A$501,Performance!$C$2:$C$501)</f>
        <v>4</v>
      </c>
      <c r="O449" s="28" cm="1">
        <f t="array" ref="O449">_xlfn.IFS(N449=5,I449*15%,N449=4,I449*10%,N449=3,I449*7%,N449&lt;3,I449*5%)</f>
        <v>4282.9000000000005</v>
      </c>
    </row>
    <row r="450" spans="1:15">
      <c r="A450" s="24" t="s">
        <v>961</v>
      </c>
      <c r="B450" s="25" t="s">
        <v>17</v>
      </c>
      <c r="C450" s="25" t="s">
        <v>49</v>
      </c>
      <c r="D450" s="25" t="s">
        <v>28</v>
      </c>
      <c r="E450" s="25">
        <v>39</v>
      </c>
      <c r="F450" s="25" t="s">
        <v>54</v>
      </c>
      <c r="G450" s="25" t="s">
        <v>102</v>
      </c>
      <c r="H450" s="26">
        <v>43694</v>
      </c>
      <c r="I450" s="25">
        <v>55874</v>
      </c>
      <c r="J450" s="25" t="s">
        <v>62</v>
      </c>
      <c r="K450" s="25" t="s">
        <v>962</v>
      </c>
      <c r="L450" s="27" t="s">
        <v>39</v>
      </c>
      <c r="M450" s="28" t="str">
        <f>_xlfn.XLOOKUP(F450,Department!$A$2:$A$6,Department!$B$2:$B$6)</f>
        <v>Finance</v>
      </c>
      <c r="N450" s="30">
        <f>_xlfn.XLOOKUP(A450,Performance!$A$2:$A$501,Performance!$C$2:$C$501)</f>
        <v>1</v>
      </c>
      <c r="O450" s="28" cm="1">
        <f t="array" ref="O450">_xlfn.IFS(N450=5,I450*15%,N450=4,I450*10%,N450=3,I450*7%,N450&lt;3,I450*5%)</f>
        <v>2793.7000000000003</v>
      </c>
    </row>
    <row r="451" spans="1:15">
      <c r="A451" s="24" t="s">
        <v>963</v>
      </c>
      <c r="B451" s="25" t="s">
        <v>53</v>
      </c>
      <c r="C451" s="25" t="s">
        <v>80</v>
      </c>
      <c r="D451" s="25" t="s">
        <v>19</v>
      </c>
      <c r="E451" s="25">
        <v>48</v>
      </c>
      <c r="F451" s="25" t="s">
        <v>35</v>
      </c>
      <c r="G451" s="25" t="s">
        <v>102</v>
      </c>
      <c r="H451" s="26">
        <v>44064</v>
      </c>
      <c r="I451" s="25">
        <v>110269</v>
      </c>
      <c r="J451" s="25" t="s">
        <v>67</v>
      </c>
      <c r="K451" s="25" t="s">
        <v>964</v>
      </c>
      <c r="L451" s="27" t="s">
        <v>39</v>
      </c>
      <c r="M451" s="28" t="str">
        <f>_xlfn.XLOOKUP(F451,Department!$A$2:$A$6,Department!$B$2:$B$6)</f>
        <v>Sales</v>
      </c>
      <c r="N451" s="30">
        <f>_xlfn.XLOOKUP(A451,Performance!$A$2:$A$501,Performance!$C$2:$C$501)</f>
        <v>2</v>
      </c>
      <c r="O451" s="28" cm="1">
        <f t="array" ref="O451">_xlfn.IFS(N451=5,I451*15%,N451=4,I451*10%,N451=3,I451*7%,N451&lt;3,I451*5%)</f>
        <v>5513.4500000000007</v>
      </c>
    </row>
    <row r="452" spans="1:15">
      <c r="A452" s="24" t="s">
        <v>965</v>
      </c>
      <c r="B452" s="25" t="s">
        <v>74</v>
      </c>
      <c r="C452" s="25" t="s">
        <v>141</v>
      </c>
      <c r="D452" s="25" t="s">
        <v>19</v>
      </c>
      <c r="E452" s="25">
        <v>49</v>
      </c>
      <c r="F452" s="25" t="s">
        <v>54</v>
      </c>
      <c r="G452" s="25" t="s">
        <v>21</v>
      </c>
      <c r="H452" s="26">
        <v>43856</v>
      </c>
      <c r="I452" s="25">
        <v>97118</v>
      </c>
      <c r="J452" s="25" t="s">
        <v>67</v>
      </c>
      <c r="K452" s="25" t="s">
        <v>966</v>
      </c>
      <c r="L452" s="27" t="s">
        <v>39</v>
      </c>
      <c r="M452" s="28" t="str">
        <f>_xlfn.XLOOKUP(F452,Department!$A$2:$A$6,Department!$B$2:$B$6)</f>
        <v>Finance</v>
      </c>
      <c r="N452" s="30">
        <f>_xlfn.XLOOKUP(A452,Performance!$A$2:$A$501,Performance!$C$2:$C$501)</f>
        <v>5</v>
      </c>
      <c r="O452" s="28" cm="1">
        <f t="array" ref="O452">_xlfn.IFS(N452=5,I452*15%,N452=4,I452*10%,N452=3,I452*7%,N452&lt;3,I452*5%)</f>
        <v>14567.699999999999</v>
      </c>
    </row>
    <row r="453" spans="1:15">
      <c r="A453" s="24" t="s">
        <v>967</v>
      </c>
      <c r="B453" s="25" t="s">
        <v>53</v>
      </c>
      <c r="C453" s="25" t="s">
        <v>27</v>
      </c>
      <c r="D453" s="25" t="s">
        <v>19</v>
      </c>
      <c r="E453" s="25">
        <v>25</v>
      </c>
      <c r="F453" s="25" t="s">
        <v>54</v>
      </c>
      <c r="G453" s="25" t="s">
        <v>102</v>
      </c>
      <c r="H453" s="26">
        <v>45402</v>
      </c>
      <c r="I453" s="25">
        <v>73245</v>
      </c>
      <c r="J453" s="25" t="s">
        <v>37</v>
      </c>
      <c r="K453" s="25" t="s">
        <v>968</v>
      </c>
      <c r="L453" s="27" t="s">
        <v>39</v>
      </c>
      <c r="M453" s="28" t="str">
        <f>_xlfn.XLOOKUP(F453,Department!$A$2:$A$6,Department!$B$2:$B$6)</f>
        <v>Finance</v>
      </c>
      <c r="N453" s="30">
        <f>_xlfn.XLOOKUP(A453,Performance!$A$2:$A$501,Performance!$C$2:$C$501)</f>
        <v>3</v>
      </c>
      <c r="O453" s="28" cm="1">
        <f t="array" ref="O453">_xlfn.IFS(N453=5,I453*15%,N453=4,I453*10%,N453=3,I453*7%,N453&lt;3,I453*5%)</f>
        <v>5127.1500000000005</v>
      </c>
    </row>
    <row r="454" spans="1:15">
      <c r="A454" s="24" t="s">
        <v>969</v>
      </c>
      <c r="B454" s="25" t="s">
        <v>42</v>
      </c>
      <c r="C454" s="25" t="s">
        <v>117</v>
      </c>
      <c r="D454" s="25" t="s">
        <v>19</v>
      </c>
      <c r="E454" s="25">
        <v>53</v>
      </c>
      <c r="F454" s="25" t="s">
        <v>54</v>
      </c>
      <c r="G454" s="25" t="s">
        <v>102</v>
      </c>
      <c r="H454" s="26">
        <v>44880</v>
      </c>
      <c r="I454" s="25">
        <v>35589</v>
      </c>
      <c r="J454" s="25" t="s">
        <v>62</v>
      </c>
      <c r="K454" s="25" t="s">
        <v>970</v>
      </c>
      <c r="L454" s="27" t="s">
        <v>39</v>
      </c>
      <c r="M454" s="28" t="str">
        <f>_xlfn.XLOOKUP(F454,Department!$A$2:$A$6,Department!$B$2:$B$6)</f>
        <v>Finance</v>
      </c>
      <c r="N454" s="30">
        <f>_xlfn.XLOOKUP(A454,Performance!$A$2:$A$501,Performance!$C$2:$C$501)</f>
        <v>4</v>
      </c>
      <c r="O454" s="28" cm="1">
        <f t="array" ref="O454">_xlfn.IFS(N454=5,I454*15%,N454=4,I454*10%,N454=3,I454*7%,N454&lt;3,I454*5%)</f>
        <v>3558.9</v>
      </c>
    </row>
    <row r="455" spans="1:15">
      <c r="A455" s="24" t="s">
        <v>971</v>
      </c>
      <c r="B455" s="25" t="s">
        <v>34</v>
      </c>
      <c r="C455" s="25" t="s">
        <v>89</v>
      </c>
      <c r="D455" s="25" t="s">
        <v>28</v>
      </c>
      <c r="E455" s="25">
        <v>35</v>
      </c>
      <c r="F455" s="25" t="s">
        <v>43</v>
      </c>
      <c r="G455" s="25" t="s">
        <v>44</v>
      </c>
      <c r="H455" s="26">
        <v>44877</v>
      </c>
      <c r="I455" s="25">
        <v>79751</v>
      </c>
      <c r="J455" s="25" t="s">
        <v>22</v>
      </c>
      <c r="K455" s="25" t="s">
        <v>972</v>
      </c>
      <c r="L455" s="27" t="s">
        <v>24</v>
      </c>
      <c r="M455" s="28" t="str">
        <f>_xlfn.XLOOKUP(F455,Department!$A$2:$A$6,Department!$B$2:$B$6)</f>
        <v>Marketing</v>
      </c>
      <c r="N455" s="30">
        <f>_xlfn.XLOOKUP(A455,Performance!$A$2:$A$501,Performance!$C$2:$C$501)</f>
        <v>2</v>
      </c>
      <c r="O455" s="28" cm="1">
        <f t="array" ref="O455">_xlfn.IFS(N455=5,I455*15%,N455=4,I455*10%,N455=3,I455*7%,N455&lt;3,I455*5%)</f>
        <v>3987.55</v>
      </c>
    </row>
    <row r="456" spans="1:15">
      <c r="A456" s="24" t="s">
        <v>973</v>
      </c>
      <c r="B456" s="25" t="s">
        <v>126</v>
      </c>
      <c r="C456" s="25" t="s">
        <v>18</v>
      </c>
      <c r="D456" s="25" t="s">
        <v>28</v>
      </c>
      <c r="E456" s="25">
        <v>53</v>
      </c>
      <c r="F456" s="25" t="s">
        <v>29</v>
      </c>
      <c r="G456" s="25" t="s">
        <v>102</v>
      </c>
      <c r="H456" s="26">
        <v>45149</v>
      </c>
      <c r="I456" s="25">
        <v>67994</v>
      </c>
      <c r="J456" s="25" t="s">
        <v>37</v>
      </c>
      <c r="K456" s="25" t="s">
        <v>974</v>
      </c>
      <c r="L456" s="27" t="s">
        <v>24</v>
      </c>
      <c r="M456" s="28" t="str">
        <f>_xlfn.XLOOKUP(F456,Department!$A$2:$A$6,Department!$B$2:$B$6)</f>
        <v>IT</v>
      </c>
      <c r="N456" s="30">
        <f>_xlfn.XLOOKUP(A456,Performance!$A$2:$A$501,Performance!$C$2:$C$501)</f>
        <v>3</v>
      </c>
      <c r="O456" s="28" cm="1">
        <f t="array" ref="O456">_xlfn.IFS(N456=5,I456*15%,N456=4,I456*10%,N456=3,I456*7%,N456&lt;3,I456*5%)</f>
        <v>4759.5800000000008</v>
      </c>
    </row>
    <row r="457" spans="1:15">
      <c r="A457" s="24" t="s">
        <v>975</v>
      </c>
      <c r="B457" s="25" t="s">
        <v>126</v>
      </c>
      <c r="C457" s="25" t="s">
        <v>80</v>
      </c>
      <c r="D457" s="25" t="s">
        <v>28</v>
      </c>
      <c r="E457" s="25">
        <v>28</v>
      </c>
      <c r="F457" s="25" t="s">
        <v>43</v>
      </c>
      <c r="G457" s="25" t="s">
        <v>30</v>
      </c>
      <c r="H457" s="26">
        <v>45364</v>
      </c>
      <c r="I457" s="25">
        <v>51178</v>
      </c>
      <c r="J457" s="25" t="s">
        <v>22</v>
      </c>
      <c r="K457" s="25" t="s">
        <v>976</v>
      </c>
      <c r="L457" s="27" t="s">
        <v>24</v>
      </c>
      <c r="M457" s="28" t="str">
        <f>_xlfn.XLOOKUP(F457,Department!$A$2:$A$6,Department!$B$2:$B$6)</f>
        <v>Marketing</v>
      </c>
      <c r="N457" s="30">
        <f>_xlfn.XLOOKUP(A457,Performance!$A$2:$A$501,Performance!$C$2:$C$501)</f>
        <v>4</v>
      </c>
      <c r="O457" s="28" cm="1">
        <f t="array" ref="O457">_xlfn.IFS(N457=5,I457*15%,N457=4,I457*10%,N457=3,I457*7%,N457&lt;3,I457*5%)</f>
        <v>5117.8</v>
      </c>
    </row>
    <row r="458" spans="1:15">
      <c r="A458" s="24" t="s">
        <v>977</v>
      </c>
      <c r="B458" s="25" t="s">
        <v>48</v>
      </c>
      <c r="C458" s="25" t="s">
        <v>141</v>
      </c>
      <c r="D458" s="25" t="s">
        <v>19</v>
      </c>
      <c r="E458" s="25">
        <v>29</v>
      </c>
      <c r="F458" s="25" t="s">
        <v>20</v>
      </c>
      <c r="G458" s="25" t="s">
        <v>102</v>
      </c>
      <c r="H458" s="26">
        <v>44603</v>
      </c>
      <c r="I458" s="25">
        <v>40759</v>
      </c>
      <c r="J458" s="25" t="s">
        <v>67</v>
      </c>
      <c r="K458" s="25" t="s">
        <v>978</v>
      </c>
      <c r="L458" s="27" t="s">
        <v>24</v>
      </c>
      <c r="M458" s="28" t="str">
        <f>_xlfn.XLOOKUP(F458,Department!$A$2:$A$6,Department!$B$2:$B$6)</f>
        <v>HR</v>
      </c>
      <c r="N458" s="30">
        <f>_xlfn.XLOOKUP(A458,Performance!$A$2:$A$501,Performance!$C$2:$C$501)</f>
        <v>1</v>
      </c>
      <c r="O458" s="28" cm="1">
        <f t="array" ref="O458">_xlfn.IFS(N458=5,I458*15%,N458=4,I458*10%,N458=3,I458*7%,N458&lt;3,I458*5%)</f>
        <v>2037.95</v>
      </c>
    </row>
    <row r="459" spans="1:15">
      <c r="A459" s="24" t="s">
        <v>979</v>
      </c>
      <c r="B459" s="25" t="s">
        <v>42</v>
      </c>
      <c r="C459" s="25" t="s">
        <v>80</v>
      </c>
      <c r="D459" s="25" t="s">
        <v>19</v>
      </c>
      <c r="E459" s="25">
        <v>32</v>
      </c>
      <c r="F459" s="25" t="s">
        <v>20</v>
      </c>
      <c r="G459" s="25" t="s">
        <v>30</v>
      </c>
      <c r="H459" s="26">
        <v>43559</v>
      </c>
      <c r="I459" s="25">
        <v>98394</v>
      </c>
      <c r="J459" s="25" t="s">
        <v>22</v>
      </c>
      <c r="K459" s="25" t="s">
        <v>980</v>
      </c>
      <c r="L459" s="27" t="s">
        <v>39</v>
      </c>
      <c r="M459" s="28" t="str">
        <f>_xlfn.XLOOKUP(F459,Department!$A$2:$A$6,Department!$B$2:$B$6)</f>
        <v>HR</v>
      </c>
      <c r="N459" s="30">
        <f>_xlfn.XLOOKUP(A459,Performance!$A$2:$A$501,Performance!$C$2:$C$501)</f>
        <v>4</v>
      </c>
      <c r="O459" s="28" cm="1">
        <f t="array" ref="O459">_xlfn.IFS(N459=5,I459*15%,N459=4,I459*10%,N459=3,I459*7%,N459&lt;3,I459*5%)</f>
        <v>9839.4000000000015</v>
      </c>
    </row>
    <row r="460" spans="1:15">
      <c r="A460" s="24" t="s">
        <v>981</v>
      </c>
      <c r="B460" s="25" t="s">
        <v>58</v>
      </c>
      <c r="C460" s="25" t="s">
        <v>18</v>
      </c>
      <c r="D460" s="25" t="s">
        <v>19</v>
      </c>
      <c r="E460" s="25">
        <v>37</v>
      </c>
      <c r="F460" s="25" t="s">
        <v>54</v>
      </c>
      <c r="G460" s="25" t="s">
        <v>36</v>
      </c>
      <c r="H460" s="26">
        <v>43552</v>
      </c>
      <c r="I460" s="25">
        <v>90148</v>
      </c>
      <c r="J460" s="25" t="s">
        <v>67</v>
      </c>
      <c r="K460" s="25" t="s">
        <v>982</v>
      </c>
      <c r="L460" s="27" t="s">
        <v>24</v>
      </c>
      <c r="M460" s="28" t="str">
        <f>_xlfn.XLOOKUP(F460,Department!$A$2:$A$6,Department!$B$2:$B$6)</f>
        <v>Finance</v>
      </c>
      <c r="N460" s="30">
        <f>_xlfn.XLOOKUP(A460,Performance!$A$2:$A$501,Performance!$C$2:$C$501)</f>
        <v>3</v>
      </c>
      <c r="O460" s="28" cm="1">
        <f t="array" ref="O460">_xlfn.IFS(N460=5,I460*15%,N460=4,I460*10%,N460=3,I460*7%,N460&lt;3,I460*5%)</f>
        <v>6310.3600000000006</v>
      </c>
    </row>
    <row r="461" spans="1:15">
      <c r="A461" s="24" t="s">
        <v>983</v>
      </c>
      <c r="B461" s="25" t="s">
        <v>34</v>
      </c>
      <c r="C461" s="25" t="s">
        <v>49</v>
      </c>
      <c r="D461" s="25" t="s">
        <v>28</v>
      </c>
      <c r="E461" s="25">
        <v>32</v>
      </c>
      <c r="F461" s="25" t="s">
        <v>35</v>
      </c>
      <c r="G461" s="25" t="s">
        <v>21</v>
      </c>
      <c r="H461" s="26">
        <v>44230</v>
      </c>
      <c r="I461" s="25">
        <v>63176</v>
      </c>
      <c r="J461" s="25" t="s">
        <v>37</v>
      </c>
      <c r="K461" s="25" t="s">
        <v>984</v>
      </c>
      <c r="L461" s="27" t="s">
        <v>24</v>
      </c>
      <c r="M461" s="28" t="str">
        <f>_xlfn.XLOOKUP(F461,Department!$A$2:$A$6,Department!$B$2:$B$6)</f>
        <v>Sales</v>
      </c>
      <c r="N461" s="30">
        <f>_xlfn.XLOOKUP(A461,Performance!$A$2:$A$501,Performance!$C$2:$C$501)</f>
        <v>1</v>
      </c>
      <c r="O461" s="28" cm="1">
        <f t="array" ref="O461">_xlfn.IFS(N461=5,I461*15%,N461=4,I461*10%,N461=3,I461*7%,N461&lt;3,I461*5%)</f>
        <v>3158.8</v>
      </c>
    </row>
    <row r="462" spans="1:15">
      <c r="A462" s="24" t="s">
        <v>985</v>
      </c>
      <c r="B462" s="25" t="s">
        <v>92</v>
      </c>
      <c r="C462" s="25" t="s">
        <v>89</v>
      </c>
      <c r="D462" s="25" t="s">
        <v>28</v>
      </c>
      <c r="E462" s="25">
        <v>55</v>
      </c>
      <c r="F462" s="25" t="s">
        <v>29</v>
      </c>
      <c r="G462" s="25" t="s">
        <v>30</v>
      </c>
      <c r="H462" s="26">
        <v>45350</v>
      </c>
      <c r="I462" s="25">
        <v>86434</v>
      </c>
      <c r="J462" s="25" t="s">
        <v>67</v>
      </c>
      <c r="K462" s="25" t="s">
        <v>986</v>
      </c>
      <c r="L462" s="27" t="s">
        <v>39</v>
      </c>
      <c r="M462" s="28" t="str">
        <f>_xlfn.XLOOKUP(F462,Department!$A$2:$A$6,Department!$B$2:$B$6)</f>
        <v>IT</v>
      </c>
      <c r="N462" s="30">
        <f>_xlfn.XLOOKUP(A462,Performance!$A$2:$A$501,Performance!$C$2:$C$501)</f>
        <v>2</v>
      </c>
      <c r="O462" s="28" cm="1">
        <f t="array" ref="O462">_xlfn.IFS(N462=5,I462*15%,N462=4,I462*10%,N462=3,I462*7%,N462&lt;3,I462*5%)</f>
        <v>4321.7</v>
      </c>
    </row>
    <row r="463" spans="1:15">
      <c r="A463" s="24" t="s">
        <v>987</v>
      </c>
      <c r="B463" s="25" t="s">
        <v>126</v>
      </c>
      <c r="C463" s="25" t="s">
        <v>89</v>
      </c>
      <c r="D463" s="25" t="s">
        <v>19</v>
      </c>
      <c r="E463" s="25">
        <v>42</v>
      </c>
      <c r="F463" s="25" t="s">
        <v>43</v>
      </c>
      <c r="G463" s="25" t="s">
        <v>21</v>
      </c>
      <c r="H463" s="26">
        <v>45073</v>
      </c>
      <c r="I463" s="25">
        <v>70836</v>
      </c>
      <c r="J463" s="25" t="s">
        <v>67</v>
      </c>
      <c r="K463" s="25" t="s">
        <v>988</v>
      </c>
      <c r="L463" s="27" t="s">
        <v>39</v>
      </c>
      <c r="M463" s="28" t="str">
        <f>_xlfn.XLOOKUP(F463,Department!$A$2:$A$6,Department!$B$2:$B$6)</f>
        <v>Marketing</v>
      </c>
      <c r="N463" s="30">
        <f>_xlfn.XLOOKUP(A463,Performance!$A$2:$A$501,Performance!$C$2:$C$501)</f>
        <v>2</v>
      </c>
      <c r="O463" s="28" cm="1">
        <f t="array" ref="O463">_xlfn.IFS(N463=5,I463*15%,N463=4,I463*10%,N463=3,I463*7%,N463&lt;3,I463*5%)</f>
        <v>3541.8</v>
      </c>
    </row>
    <row r="464" spans="1:15">
      <c r="A464" s="24" t="s">
        <v>989</v>
      </c>
      <c r="B464" s="25" t="s">
        <v>42</v>
      </c>
      <c r="C464" s="25" t="s">
        <v>93</v>
      </c>
      <c r="D464" s="25" t="s">
        <v>28</v>
      </c>
      <c r="E464" s="25">
        <v>49</v>
      </c>
      <c r="F464" s="25" t="s">
        <v>35</v>
      </c>
      <c r="G464" s="25" t="s">
        <v>36</v>
      </c>
      <c r="H464" s="26">
        <v>45474</v>
      </c>
      <c r="I464" s="25">
        <v>40805</v>
      </c>
      <c r="J464" s="25" t="s">
        <v>22</v>
      </c>
      <c r="K464" s="25" t="s">
        <v>990</v>
      </c>
      <c r="L464" s="27" t="s">
        <v>24</v>
      </c>
      <c r="M464" s="28" t="str">
        <f>_xlfn.XLOOKUP(F464,Department!$A$2:$A$6,Department!$B$2:$B$6)</f>
        <v>Sales</v>
      </c>
      <c r="N464" s="30">
        <f>_xlfn.XLOOKUP(A464,Performance!$A$2:$A$501,Performance!$C$2:$C$501)</f>
        <v>1</v>
      </c>
      <c r="O464" s="28" cm="1">
        <f t="array" ref="O464">_xlfn.IFS(N464=5,I464*15%,N464=4,I464*10%,N464=3,I464*7%,N464&lt;3,I464*5%)</f>
        <v>2040.25</v>
      </c>
    </row>
    <row r="465" spans="1:15">
      <c r="A465" s="24" t="s">
        <v>991</v>
      </c>
      <c r="B465" s="25" t="s">
        <v>48</v>
      </c>
      <c r="C465" s="25" t="s">
        <v>141</v>
      </c>
      <c r="D465" s="25" t="s">
        <v>28</v>
      </c>
      <c r="E465" s="25">
        <v>23</v>
      </c>
      <c r="F465" s="25" t="s">
        <v>20</v>
      </c>
      <c r="G465" s="25" t="s">
        <v>44</v>
      </c>
      <c r="H465" s="26">
        <v>44653</v>
      </c>
      <c r="I465" s="25">
        <v>117635</v>
      </c>
      <c r="J465" s="25" t="s">
        <v>37</v>
      </c>
      <c r="K465" s="25" t="s">
        <v>992</v>
      </c>
      <c r="L465" s="27" t="s">
        <v>24</v>
      </c>
      <c r="M465" s="28" t="str">
        <f>_xlfn.XLOOKUP(F465,Department!$A$2:$A$6,Department!$B$2:$B$6)</f>
        <v>HR</v>
      </c>
      <c r="N465" s="30">
        <f>_xlfn.XLOOKUP(A465,Performance!$A$2:$A$501,Performance!$C$2:$C$501)</f>
        <v>4</v>
      </c>
      <c r="O465" s="28" cm="1">
        <f t="array" ref="O465">_xlfn.IFS(N465=5,I465*15%,N465=4,I465*10%,N465=3,I465*7%,N465&lt;3,I465*5%)</f>
        <v>11763.5</v>
      </c>
    </row>
    <row r="466" spans="1:15">
      <c r="A466" s="24" t="s">
        <v>993</v>
      </c>
      <c r="B466" s="25" t="s">
        <v>17</v>
      </c>
      <c r="C466" s="25" t="s">
        <v>84</v>
      </c>
      <c r="D466" s="25" t="s">
        <v>28</v>
      </c>
      <c r="E466" s="25">
        <v>45</v>
      </c>
      <c r="F466" s="25" t="s">
        <v>54</v>
      </c>
      <c r="G466" s="25" t="s">
        <v>44</v>
      </c>
      <c r="H466" s="26">
        <v>43961</v>
      </c>
      <c r="I466" s="25">
        <v>100678</v>
      </c>
      <c r="J466" s="25" t="s">
        <v>22</v>
      </c>
      <c r="K466" s="25" t="s">
        <v>994</v>
      </c>
      <c r="L466" s="27" t="s">
        <v>39</v>
      </c>
      <c r="M466" s="28" t="str">
        <f>_xlfn.XLOOKUP(F466,Department!$A$2:$A$6,Department!$B$2:$B$6)</f>
        <v>Finance</v>
      </c>
      <c r="N466" s="30">
        <f>_xlfn.XLOOKUP(A466,Performance!$A$2:$A$501,Performance!$C$2:$C$501)</f>
        <v>3</v>
      </c>
      <c r="O466" s="28" cm="1">
        <f t="array" ref="O466">_xlfn.IFS(N466=5,I466*15%,N466=4,I466*10%,N466=3,I466*7%,N466&lt;3,I466*5%)</f>
        <v>7047.4600000000009</v>
      </c>
    </row>
    <row r="467" spans="1:15">
      <c r="A467" s="24" t="s">
        <v>995</v>
      </c>
      <c r="B467" s="25" t="s">
        <v>34</v>
      </c>
      <c r="C467" s="25" t="s">
        <v>93</v>
      </c>
      <c r="D467" s="25" t="s">
        <v>28</v>
      </c>
      <c r="E467" s="25">
        <v>39</v>
      </c>
      <c r="F467" s="25" t="s">
        <v>20</v>
      </c>
      <c r="G467" s="25" t="s">
        <v>102</v>
      </c>
      <c r="H467" s="26">
        <v>45014</v>
      </c>
      <c r="I467" s="25">
        <v>76443</v>
      </c>
      <c r="J467" s="25" t="s">
        <v>67</v>
      </c>
      <c r="K467" s="25" t="s">
        <v>996</v>
      </c>
      <c r="L467" s="27" t="s">
        <v>39</v>
      </c>
      <c r="M467" s="28" t="str">
        <f>_xlfn.XLOOKUP(F467,Department!$A$2:$A$6,Department!$B$2:$B$6)</f>
        <v>HR</v>
      </c>
      <c r="N467" s="30">
        <f>_xlfn.XLOOKUP(A467,Performance!$A$2:$A$501,Performance!$C$2:$C$501)</f>
        <v>1</v>
      </c>
      <c r="O467" s="28" cm="1">
        <f t="array" ref="O467">_xlfn.IFS(N467=5,I467*15%,N467=4,I467*10%,N467=3,I467*7%,N467&lt;3,I467*5%)</f>
        <v>3822.15</v>
      </c>
    </row>
    <row r="468" spans="1:15">
      <c r="A468" s="24" t="s">
        <v>997</v>
      </c>
      <c r="B468" s="25" t="s">
        <v>34</v>
      </c>
      <c r="C468" s="25" t="s">
        <v>89</v>
      </c>
      <c r="D468" s="25" t="s">
        <v>28</v>
      </c>
      <c r="E468" s="25">
        <v>44</v>
      </c>
      <c r="F468" s="25" t="s">
        <v>54</v>
      </c>
      <c r="G468" s="25" t="s">
        <v>30</v>
      </c>
      <c r="H468" s="26">
        <v>45135</v>
      </c>
      <c r="I468" s="25">
        <v>98210</v>
      </c>
      <c r="J468" s="25" t="s">
        <v>37</v>
      </c>
      <c r="K468" s="25" t="s">
        <v>998</v>
      </c>
      <c r="L468" s="27" t="s">
        <v>24</v>
      </c>
      <c r="M468" s="28" t="str">
        <f>_xlfn.XLOOKUP(F468,Department!$A$2:$A$6,Department!$B$2:$B$6)</f>
        <v>Finance</v>
      </c>
      <c r="N468" s="30">
        <f>_xlfn.XLOOKUP(A468,Performance!$A$2:$A$501,Performance!$C$2:$C$501)</f>
        <v>2</v>
      </c>
      <c r="O468" s="28" cm="1">
        <f t="array" ref="O468">_xlfn.IFS(N468=5,I468*15%,N468=4,I468*10%,N468=3,I468*7%,N468&lt;3,I468*5%)</f>
        <v>4910.5</v>
      </c>
    </row>
    <row r="469" spans="1:15">
      <c r="A469" s="24" t="s">
        <v>999</v>
      </c>
      <c r="B469" s="25" t="s">
        <v>34</v>
      </c>
      <c r="C469" s="25" t="s">
        <v>84</v>
      </c>
      <c r="D469" s="25" t="s">
        <v>28</v>
      </c>
      <c r="E469" s="25">
        <v>60</v>
      </c>
      <c r="F469" s="25" t="s">
        <v>20</v>
      </c>
      <c r="G469" s="25" t="s">
        <v>44</v>
      </c>
      <c r="H469" s="26">
        <v>44953</v>
      </c>
      <c r="I469" s="25">
        <v>83719</v>
      </c>
      <c r="J469" s="25" t="s">
        <v>37</v>
      </c>
      <c r="K469" s="25" t="s">
        <v>1000</v>
      </c>
      <c r="L469" s="27" t="s">
        <v>39</v>
      </c>
      <c r="M469" s="28" t="str">
        <f>_xlfn.XLOOKUP(F469,Department!$A$2:$A$6,Department!$B$2:$B$6)</f>
        <v>HR</v>
      </c>
      <c r="N469" s="30">
        <f>_xlfn.XLOOKUP(A469,Performance!$A$2:$A$501,Performance!$C$2:$C$501)</f>
        <v>2</v>
      </c>
      <c r="O469" s="28" cm="1">
        <f t="array" ref="O469">_xlfn.IFS(N469=5,I469*15%,N469=4,I469*10%,N469=3,I469*7%,N469&lt;3,I469*5%)</f>
        <v>4185.95</v>
      </c>
    </row>
    <row r="470" spans="1:15">
      <c r="A470" s="24" t="s">
        <v>1001</v>
      </c>
      <c r="B470" s="25" t="s">
        <v>53</v>
      </c>
      <c r="C470" s="25" t="s">
        <v>18</v>
      </c>
      <c r="D470" s="25" t="s">
        <v>28</v>
      </c>
      <c r="E470" s="25">
        <v>53</v>
      </c>
      <c r="F470" s="25" t="s">
        <v>29</v>
      </c>
      <c r="G470" s="25" t="s">
        <v>30</v>
      </c>
      <c r="H470" s="26">
        <v>45590</v>
      </c>
      <c r="I470" s="25">
        <v>50965</v>
      </c>
      <c r="J470" s="25" t="s">
        <v>62</v>
      </c>
      <c r="K470" s="25" t="s">
        <v>1002</v>
      </c>
      <c r="L470" s="27" t="s">
        <v>24</v>
      </c>
      <c r="M470" s="28" t="str">
        <f>_xlfn.XLOOKUP(F470,Department!$A$2:$A$6,Department!$B$2:$B$6)</f>
        <v>IT</v>
      </c>
      <c r="N470" s="30">
        <f>_xlfn.XLOOKUP(A470,Performance!$A$2:$A$501,Performance!$C$2:$C$501)</f>
        <v>4</v>
      </c>
      <c r="O470" s="28" cm="1">
        <f t="array" ref="O470">_xlfn.IFS(N470=5,I470*15%,N470=4,I470*10%,N470=3,I470*7%,N470&lt;3,I470*5%)</f>
        <v>5096.5</v>
      </c>
    </row>
    <row r="471" spans="1:15">
      <c r="A471" s="24" t="s">
        <v>1003</v>
      </c>
      <c r="B471" s="25" t="s">
        <v>92</v>
      </c>
      <c r="C471" s="25" t="s">
        <v>66</v>
      </c>
      <c r="D471" s="25" t="s">
        <v>28</v>
      </c>
      <c r="E471" s="25">
        <v>60</v>
      </c>
      <c r="F471" s="25" t="s">
        <v>54</v>
      </c>
      <c r="G471" s="25" t="s">
        <v>30</v>
      </c>
      <c r="H471" s="26">
        <v>43419</v>
      </c>
      <c r="I471" s="25">
        <v>113605</v>
      </c>
      <c r="J471" s="25" t="s">
        <v>62</v>
      </c>
      <c r="K471" s="25" t="s">
        <v>1004</v>
      </c>
      <c r="L471" s="27" t="s">
        <v>24</v>
      </c>
      <c r="M471" s="28" t="str">
        <f>_xlfn.XLOOKUP(F471,Department!$A$2:$A$6,Department!$B$2:$B$6)</f>
        <v>Finance</v>
      </c>
      <c r="N471" s="30">
        <f>_xlfn.XLOOKUP(A471,Performance!$A$2:$A$501,Performance!$C$2:$C$501)</f>
        <v>1</v>
      </c>
      <c r="O471" s="28" cm="1">
        <f t="array" ref="O471">_xlfn.IFS(N471=5,I471*15%,N471=4,I471*10%,N471=3,I471*7%,N471&lt;3,I471*5%)</f>
        <v>5680.25</v>
      </c>
    </row>
    <row r="472" spans="1:15">
      <c r="A472" s="24" t="s">
        <v>1005</v>
      </c>
      <c r="B472" s="25" t="s">
        <v>61</v>
      </c>
      <c r="C472" s="25" t="s">
        <v>80</v>
      </c>
      <c r="D472" s="25" t="s">
        <v>19</v>
      </c>
      <c r="E472" s="25">
        <v>57</v>
      </c>
      <c r="F472" s="25" t="s">
        <v>43</v>
      </c>
      <c r="G472" s="25" t="s">
        <v>44</v>
      </c>
      <c r="H472" s="26">
        <v>44968</v>
      </c>
      <c r="I472" s="25">
        <v>80135</v>
      </c>
      <c r="J472" s="25" t="s">
        <v>37</v>
      </c>
      <c r="K472" s="25" t="s">
        <v>1006</v>
      </c>
      <c r="L472" s="27" t="s">
        <v>24</v>
      </c>
      <c r="M472" s="28" t="str">
        <f>_xlfn.XLOOKUP(F472,Department!$A$2:$A$6,Department!$B$2:$B$6)</f>
        <v>Marketing</v>
      </c>
      <c r="N472" s="30">
        <f>_xlfn.XLOOKUP(A472,Performance!$A$2:$A$501,Performance!$C$2:$C$501)</f>
        <v>4</v>
      </c>
      <c r="O472" s="28" cm="1">
        <f t="array" ref="O472">_xlfn.IFS(N472=5,I472*15%,N472=4,I472*10%,N472=3,I472*7%,N472&lt;3,I472*5%)</f>
        <v>8013.5</v>
      </c>
    </row>
    <row r="473" spans="1:15">
      <c r="A473" s="24" t="s">
        <v>1007</v>
      </c>
      <c r="B473" s="25" t="s">
        <v>74</v>
      </c>
      <c r="C473" s="25" t="s">
        <v>27</v>
      </c>
      <c r="D473" s="25" t="s">
        <v>28</v>
      </c>
      <c r="E473" s="25">
        <v>53</v>
      </c>
      <c r="F473" s="25" t="s">
        <v>54</v>
      </c>
      <c r="G473" s="25" t="s">
        <v>102</v>
      </c>
      <c r="H473" s="26">
        <v>43252</v>
      </c>
      <c r="I473" s="25">
        <v>56690</v>
      </c>
      <c r="J473" s="25" t="s">
        <v>62</v>
      </c>
      <c r="K473" s="25" t="s">
        <v>1008</v>
      </c>
      <c r="L473" s="27" t="s">
        <v>24</v>
      </c>
      <c r="M473" s="28" t="str">
        <f>_xlfn.XLOOKUP(F473,Department!$A$2:$A$6,Department!$B$2:$B$6)</f>
        <v>Finance</v>
      </c>
      <c r="N473" s="30">
        <f>_xlfn.XLOOKUP(A473,Performance!$A$2:$A$501,Performance!$C$2:$C$501)</f>
        <v>4</v>
      </c>
      <c r="O473" s="28" cm="1">
        <f t="array" ref="O473">_xlfn.IFS(N473=5,I473*15%,N473=4,I473*10%,N473=3,I473*7%,N473&lt;3,I473*5%)</f>
        <v>5669</v>
      </c>
    </row>
    <row r="474" spans="1:15">
      <c r="A474" s="24" t="s">
        <v>1009</v>
      </c>
      <c r="B474" s="25" t="s">
        <v>53</v>
      </c>
      <c r="C474" s="25" t="s">
        <v>49</v>
      </c>
      <c r="D474" s="25" t="s">
        <v>28</v>
      </c>
      <c r="E474" s="25">
        <v>30</v>
      </c>
      <c r="F474" s="25" t="s">
        <v>54</v>
      </c>
      <c r="G474" s="25" t="s">
        <v>36</v>
      </c>
      <c r="H474" s="26">
        <v>43697</v>
      </c>
      <c r="I474" s="25">
        <v>40070</v>
      </c>
      <c r="J474" s="25" t="s">
        <v>81</v>
      </c>
      <c r="K474" s="25" t="s">
        <v>1010</v>
      </c>
      <c r="L474" s="27" t="s">
        <v>24</v>
      </c>
      <c r="M474" s="28" t="str">
        <f>_xlfn.XLOOKUP(F474,Department!$A$2:$A$6,Department!$B$2:$B$6)</f>
        <v>Finance</v>
      </c>
      <c r="N474" s="30">
        <f>_xlfn.XLOOKUP(A474,Performance!$A$2:$A$501,Performance!$C$2:$C$501)</f>
        <v>5</v>
      </c>
      <c r="O474" s="28" cm="1">
        <f t="array" ref="O474">_xlfn.IFS(N474=5,I474*15%,N474=4,I474*10%,N474=3,I474*7%,N474&lt;3,I474*5%)</f>
        <v>6010.5</v>
      </c>
    </row>
    <row r="475" spans="1:15">
      <c r="A475" s="24" t="s">
        <v>1011</v>
      </c>
      <c r="B475" s="25" t="s">
        <v>34</v>
      </c>
      <c r="C475" s="25" t="s">
        <v>141</v>
      </c>
      <c r="D475" s="25" t="s">
        <v>28</v>
      </c>
      <c r="E475" s="25">
        <v>57</v>
      </c>
      <c r="F475" s="25" t="s">
        <v>20</v>
      </c>
      <c r="G475" s="25" t="s">
        <v>44</v>
      </c>
      <c r="H475" s="26">
        <v>43864</v>
      </c>
      <c r="I475" s="25">
        <v>83252</v>
      </c>
      <c r="J475" s="25" t="s">
        <v>62</v>
      </c>
      <c r="K475" s="25" t="s">
        <v>1012</v>
      </c>
      <c r="L475" s="27" t="s">
        <v>24</v>
      </c>
      <c r="M475" s="28" t="str">
        <f>_xlfn.XLOOKUP(F475,Department!$A$2:$A$6,Department!$B$2:$B$6)</f>
        <v>HR</v>
      </c>
      <c r="N475" s="30">
        <f>_xlfn.XLOOKUP(A475,Performance!$A$2:$A$501,Performance!$C$2:$C$501)</f>
        <v>4</v>
      </c>
      <c r="O475" s="28" cm="1">
        <f t="array" ref="O475">_xlfn.IFS(N475=5,I475*15%,N475=4,I475*10%,N475=3,I475*7%,N475&lt;3,I475*5%)</f>
        <v>8325.2000000000007</v>
      </c>
    </row>
    <row r="476" spans="1:15">
      <c r="A476" s="24" t="s">
        <v>1013</v>
      </c>
      <c r="B476" s="25" t="s">
        <v>74</v>
      </c>
      <c r="C476" s="25" t="s">
        <v>89</v>
      </c>
      <c r="D476" s="25" t="s">
        <v>28</v>
      </c>
      <c r="E476" s="25">
        <v>48</v>
      </c>
      <c r="F476" s="25" t="s">
        <v>35</v>
      </c>
      <c r="G476" s="25" t="s">
        <v>44</v>
      </c>
      <c r="H476" s="26">
        <v>43122</v>
      </c>
      <c r="I476" s="25">
        <v>66939</v>
      </c>
      <c r="J476" s="25" t="s">
        <v>22</v>
      </c>
      <c r="K476" s="25" t="s">
        <v>1014</v>
      </c>
      <c r="L476" s="27" t="s">
        <v>39</v>
      </c>
      <c r="M476" s="28" t="str">
        <f>_xlfn.XLOOKUP(F476,Department!$A$2:$A$6,Department!$B$2:$B$6)</f>
        <v>Sales</v>
      </c>
      <c r="N476" s="30">
        <f>_xlfn.XLOOKUP(A476,Performance!$A$2:$A$501,Performance!$C$2:$C$501)</f>
        <v>4</v>
      </c>
      <c r="O476" s="28" cm="1">
        <f t="array" ref="O476">_xlfn.IFS(N476=5,I476*15%,N476=4,I476*10%,N476=3,I476*7%,N476&lt;3,I476*5%)</f>
        <v>6693.9000000000005</v>
      </c>
    </row>
    <row r="477" spans="1:15">
      <c r="A477" s="24" t="s">
        <v>1015</v>
      </c>
      <c r="B477" s="25" t="s">
        <v>17</v>
      </c>
      <c r="C477" s="25" t="s">
        <v>89</v>
      </c>
      <c r="D477" s="25" t="s">
        <v>28</v>
      </c>
      <c r="E477" s="25">
        <v>58</v>
      </c>
      <c r="F477" s="25" t="s">
        <v>35</v>
      </c>
      <c r="G477" s="25" t="s">
        <v>21</v>
      </c>
      <c r="H477" s="26">
        <v>43218</v>
      </c>
      <c r="I477" s="25">
        <v>51367</v>
      </c>
      <c r="J477" s="25" t="s">
        <v>67</v>
      </c>
      <c r="K477" s="25" t="s">
        <v>1016</v>
      </c>
      <c r="L477" s="27" t="s">
        <v>24</v>
      </c>
      <c r="M477" s="28" t="str">
        <f>_xlfn.XLOOKUP(F477,Department!$A$2:$A$6,Department!$B$2:$B$6)</f>
        <v>Sales</v>
      </c>
      <c r="N477" s="30">
        <f>_xlfn.XLOOKUP(A477,Performance!$A$2:$A$501,Performance!$C$2:$C$501)</f>
        <v>5</v>
      </c>
      <c r="O477" s="28" cm="1">
        <f t="array" ref="O477">_xlfn.IFS(N477=5,I477*15%,N477=4,I477*10%,N477=3,I477*7%,N477&lt;3,I477*5%)</f>
        <v>7705.0499999999993</v>
      </c>
    </row>
    <row r="478" spans="1:15">
      <c r="A478" s="24" t="s">
        <v>1017</v>
      </c>
      <c r="B478" s="25" t="s">
        <v>126</v>
      </c>
      <c r="C478" s="25" t="s">
        <v>93</v>
      </c>
      <c r="D478" s="25" t="s">
        <v>19</v>
      </c>
      <c r="E478" s="25">
        <v>60</v>
      </c>
      <c r="F478" s="25" t="s">
        <v>35</v>
      </c>
      <c r="G478" s="25" t="s">
        <v>21</v>
      </c>
      <c r="H478" s="26">
        <v>43757</v>
      </c>
      <c r="I478" s="25">
        <v>94212</v>
      </c>
      <c r="J478" s="25" t="s">
        <v>37</v>
      </c>
      <c r="K478" s="25" t="s">
        <v>1018</v>
      </c>
      <c r="L478" s="27" t="s">
        <v>24</v>
      </c>
      <c r="M478" s="28" t="str">
        <f>_xlfn.XLOOKUP(F478,Department!$A$2:$A$6,Department!$B$2:$B$6)</f>
        <v>Sales</v>
      </c>
      <c r="N478" s="30">
        <f>_xlfn.XLOOKUP(A478,Performance!$A$2:$A$501,Performance!$C$2:$C$501)</f>
        <v>3</v>
      </c>
      <c r="O478" s="28" cm="1">
        <f t="array" ref="O478">_xlfn.IFS(N478=5,I478*15%,N478=4,I478*10%,N478=3,I478*7%,N478&lt;3,I478*5%)</f>
        <v>6594.8400000000011</v>
      </c>
    </row>
    <row r="479" spans="1:15">
      <c r="A479" s="24" t="s">
        <v>1019</v>
      </c>
      <c r="B479" s="25" t="s">
        <v>48</v>
      </c>
      <c r="C479" s="25" t="s">
        <v>117</v>
      </c>
      <c r="D479" s="25" t="s">
        <v>28</v>
      </c>
      <c r="E479" s="25">
        <v>44</v>
      </c>
      <c r="F479" s="25" t="s">
        <v>54</v>
      </c>
      <c r="G479" s="25" t="s">
        <v>44</v>
      </c>
      <c r="H479" s="26">
        <v>43531</v>
      </c>
      <c r="I479" s="25">
        <v>47411</v>
      </c>
      <c r="J479" s="25" t="s">
        <v>62</v>
      </c>
      <c r="K479" s="25" t="s">
        <v>1020</v>
      </c>
      <c r="L479" s="27" t="s">
        <v>39</v>
      </c>
      <c r="M479" s="28" t="str">
        <f>_xlfn.XLOOKUP(F479,Department!$A$2:$A$6,Department!$B$2:$B$6)</f>
        <v>Finance</v>
      </c>
      <c r="N479" s="30">
        <f>_xlfn.XLOOKUP(A479,Performance!$A$2:$A$501,Performance!$C$2:$C$501)</f>
        <v>3</v>
      </c>
      <c r="O479" s="28" cm="1">
        <f t="array" ref="O479">_xlfn.IFS(N479=5,I479*15%,N479=4,I479*10%,N479=3,I479*7%,N479&lt;3,I479*5%)</f>
        <v>3318.7700000000004</v>
      </c>
    </row>
    <row r="480" spans="1:15">
      <c r="A480" s="24" t="s">
        <v>1021</v>
      </c>
      <c r="B480" s="25" t="s">
        <v>58</v>
      </c>
      <c r="C480" s="25" t="s">
        <v>27</v>
      </c>
      <c r="D480" s="25" t="s">
        <v>19</v>
      </c>
      <c r="E480" s="25">
        <v>49</v>
      </c>
      <c r="F480" s="25" t="s">
        <v>35</v>
      </c>
      <c r="G480" s="25" t="s">
        <v>30</v>
      </c>
      <c r="H480" s="26">
        <v>45296</v>
      </c>
      <c r="I480" s="25">
        <v>67896</v>
      </c>
      <c r="J480" s="25" t="s">
        <v>37</v>
      </c>
      <c r="K480" s="25" t="s">
        <v>1022</v>
      </c>
      <c r="L480" s="27" t="s">
        <v>39</v>
      </c>
      <c r="M480" s="28" t="str">
        <f>_xlfn.XLOOKUP(F480,Department!$A$2:$A$6,Department!$B$2:$B$6)</f>
        <v>Sales</v>
      </c>
      <c r="N480" s="30">
        <f>_xlfn.XLOOKUP(A480,Performance!$A$2:$A$501,Performance!$C$2:$C$501)</f>
        <v>3</v>
      </c>
      <c r="O480" s="28" cm="1">
        <f t="array" ref="O480">_xlfn.IFS(N480=5,I480*15%,N480=4,I480*10%,N480=3,I480*7%,N480&lt;3,I480*5%)</f>
        <v>4752.72</v>
      </c>
    </row>
    <row r="481" spans="1:15">
      <c r="A481" s="24" t="s">
        <v>1023</v>
      </c>
      <c r="B481" s="25" t="s">
        <v>53</v>
      </c>
      <c r="C481" s="25" t="s">
        <v>141</v>
      </c>
      <c r="D481" s="25" t="s">
        <v>28</v>
      </c>
      <c r="E481" s="25">
        <v>58</v>
      </c>
      <c r="F481" s="25" t="s">
        <v>43</v>
      </c>
      <c r="G481" s="25" t="s">
        <v>44</v>
      </c>
      <c r="H481" s="26">
        <v>44963</v>
      </c>
      <c r="I481" s="25">
        <v>81285</v>
      </c>
      <c r="J481" s="25" t="s">
        <v>37</v>
      </c>
      <c r="K481" s="25" t="s">
        <v>1024</v>
      </c>
      <c r="L481" s="27" t="s">
        <v>24</v>
      </c>
      <c r="M481" s="28" t="str">
        <f>_xlfn.XLOOKUP(F481,Department!$A$2:$A$6,Department!$B$2:$B$6)</f>
        <v>Marketing</v>
      </c>
      <c r="N481" s="30">
        <f>_xlfn.XLOOKUP(A481,Performance!$A$2:$A$501,Performance!$C$2:$C$501)</f>
        <v>2</v>
      </c>
      <c r="O481" s="28" cm="1">
        <f t="array" ref="O481">_xlfn.IFS(N481=5,I481*15%,N481=4,I481*10%,N481=3,I481*7%,N481&lt;3,I481*5%)</f>
        <v>4064.25</v>
      </c>
    </row>
    <row r="482" spans="1:15">
      <c r="A482" s="24" t="s">
        <v>1025</v>
      </c>
      <c r="B482" s="25" t="s">
        <v>53</v>
      </c>
      <c r="C482" s="25" t="s">
        <v>66</v>
      </c>
      <c r="D482" s="25" t="s">
        <v>19</v>
      </c>
      <c r="E482" s="25">
        <v>53</v>
      </c>
      <c r="F482" s="25" t="s">
        <v>43</v>
      </c>
      <c r="G482" s="25" t="s">
        <v>102</v>
      </c>
      <c r="H482" s="26">
        <v>44817</v>
      </c>
      <c r="I482" s="25">
        <v>100041</v>
      </c>
      <c r="J482" s="25" t="s">
        <v>22</v>
      </c>
      <c r="K482" s="25" t="s">
        <v>1026</v>
      </c>
      <c r="L482" s="27" t="s">
        <v>24</v>
      </c>
      <c r="M482" s="28" t="str">
        <f>_xlfn.XLOOKUP(F482,Department!$A$2:$A$6,Department!$B$2:$B$6)</f>
        <v>Marketing</v>
      </c>
      <c r="N482" s="30">
        <f>_xlfn.XLOOKUP(A482,Performance!$A$2:$A$501,Performance!$C$2:$C$501)</f>
        <v>5</v>
      </c>
      <c r="O482" s="28" cm="1">
        <f t="array" ref="O482">_xlfn.IFS(N482=5,I482*15%,N482=4,I482*10%,N482=3,I482*7%,N482&lt;3,I482*5%)</f>
        <v>15006.15</v>
      </c>
    </row>
    <row r="483" spans="1:15">
      <c r="A483" s="24" t="s">
        <v>1027</v>
      </c>
      <c r="B483" s="25" t="s">
        <v>17</v>
      </c>
      <c r="C483" s="25" t="s">
        <v>84</v>
      </c>
      <c r="D483" s="25" t="s">
        <v>28</v>
      </c>
      <c r="E483" s="25">
        <v>48</v>
      </c>
      <c r="F483" s="25" t="s">
        <v>43</v>
      </c>
      <c r="G483" s="25" t="s">
        <v>102</v>
      </c>
      <c r="H483" s="26">
        <v>44503</v>
      </c>
      <c r="I483" s="25">
        <v>88033</v>
      </c>
      <c r="J483" s="25" t="s">
        <v>81</v>
      </c>
      <c r="K483" s="25" t="s">
        <v>1028</v>
      </c>
      <c r="L483" s="27" t="s">
        <v>24</v>
      </c>
      <c r="M483" s="28" t="str">
        <f>_xlfn.XLOOKUP(F483,Department!$A$2:$A$6,Department!$B$2:$B$6)</f>
        <v>Marketing</v>
      </c>
      <c r="N483" s="30">
        <f>_xlfn.XLOOKUP(A483,Performance!$A$2:$A$501,Performance!$C$2:$C$501)</f>
        <v>3</v>
      </c>
      <c r="O483" s="28" cm="1">
        <f t="array" ref="O483">_xlfn.IFS(N483=5,I483*15%,N483=4,I483*10%,N483=3,I483*7%,N483&lt;3,I483*5%)</f>
        <v>6162.31</v>
      </c>
    </row>
    <row r="484" spans="1:15">
      <c r="A484" s="24" t="s">
        <v>1029</v>
      </c>
      <c r="B484" s="25" t="s">
        <v>42</v>
      </c>
      <c r="C484" s="25" t="s">
        <v>49</v>
      </c>
      <c r="D484" s="25" t="s">
        <v>19</v>
      </c>
      <c r="E484" s="25">
        <v>40</v>
      </c>
      <c r="F484" s="25" t="s">
        <v>35</v>
      </c>
      <c r="G484" s="25" t="s">
        <v>102</v>
      </c>
      <c r="H484" s="26">
        <v>44196</v>
      </c>
      <c r="I484" s="25">
        <v>71291</v>
      </c>
      <c r="J484" s="25" t="s">
        <v>37</v>
      </c>
      <c r="K484" s="25" t="s">
        <v>1030</v>
      </c>
      <c r="L484" s="27" t="s">
        <v>39</v>
      </c>
      <c r="M484" s="31" t="str">
        <f>_xlfn.XLOOKUP(F484,Department!$A$2:$A$6,Department!$B$2:$B$6)</f>
        <v>Sales</v>
      </c>
      <c r="N484" s="30">
        <f>_xlfn.XLOOKUP(A484,Performance!$A$2:$A$501,Performance!$C$2:$C$501)</f>
        <v>3</v>
      </c>
      <c r="O484" s="28" cm="1">
        <f t="array" ref="O484">_xlfn.IFS(N484=5,I484*15%,N484=4,I484*10%,N484=3,I484*7%,N484&lt;3,I484*5%)</f>
        <v>4990.3700000000008</v>
      </c>
    </row>
    <row r="485" spans="1:15">
      <c r="A485" s="24" t="s">
        <v>1031</v>
      </c>
      <c r="B485" s="25" t="s">
        <v>126</v>
      </c>
      <c r="C485" s="25" t="s">
        <v>49</v>
      </c>
      <c r="D485" s="25" t="s">
        <v>19</v>
      </c>
      <c r="E485" s="25">
        <v>27</v>
      </c>
      <c r="F485" s="25" t="s">
        <v>29</v>
      </c>
      <c r="G485" s="25" t="s">
        <v>44</v>
      </c>
      <c r="H485" s="26">
        <v>45594</v>
      </c>
      <c r="I485" s="25">
        <v>48563</v>
      </c>
      <c r="J485" s="25" t="s">
        <v>37</v>
      </c>
      <c r="K485" s="25" t="s">
        <v>1032</v>
      </c>
      <c r="L485" s="27" t="s">
        <v>39</v>
      </c>
      <c r="M485" s="28" t="str">
        <f>_xlfn.XLOOKUP(F485,Department!$A$2:$A$6,Department!$B$2:$B$6)</f>
        <v>IT</v>
      </c>
      <c r="N485" s="30">
        <f>_xlfn.XLOOKUP(A485,Performance!$A$2:$A$501,Performance!$C$2:$C$501)</f>
        <v>2</v>
      </c>
      <c r="O485" s="28" cm="1">
        <f t="array" ref="O485">_xlfn.IFS(N485=5,I485*15%,N485=4,I485*10%,N485=3,I485*7%,N485&lt;3,I485*5%)</f>
        <v>2428.15</v>
      </c>
    </row>
    <row r="486" spans="1:15">
      <c r="A486" s="24" t="s">
        <v>1033</v>
      </c>
      <c r="B486" s="25" t="s">
        <v>61</v>
      </c>
      <c r="C486" s="25" t="s">
        <v>49</v>
      </c>
      <c r="D486" s="25" t="s">
        <v>28</v>
      </c>
      <c r="E486" s="25">
        <v>37</v>
      </c>
      <c r="F486" s="25" t="s">
        <v>29</v>
      </c>
      <c r="G486" s="25" t="s">
        <v>36</v>
      </c>
      <c r="H486" s="26">
        <v>44406</v>
      </c>
      <c r="I486" s="25">
        <v>71454</v>
      </c>
      <c r="J486" s="25" t="s">
        <v>22</v>
      </c>
      <c r="K486" s="25" t="s">
        <v>1034</v>
      </c>
      <c r="L486" s="27" t="s">
        <v>24</v>
      </c>
      <c r="M486" s="28" t="str">
        <f>_xlfn.XLOOKUP(F486,Department!$A$2:$A$6,Department!$B$2:$B$6)</f>
        <v>IT</v>
      </c>
      <c r="N486" s="30">
        <f>_xlfn.XLOOKUP(A486,Performance!$A$2:$A$501,Performance!$C$2:$C$501)</f>
        <v>4</v>
      </c>
      <c r="O486" s="28" cm="1">
        <f t="array" ref="O486">_xlfn.IFS(N486=5,I486*15%,N486=4,I486*10%,N486=3,I486*7%,N486&lt;3,I486*5%)</f>
        <v>7145.4000000000005</v>
      </c>
    </row>
    <row r="487" spans="1:15">
      <c r="A487" s="24" t="s">
        <v>1035</v>
      </c>
      <c r="B487" s="25" t="s">
        <v>92</v>
      </c>
      <c r="C487" s="25" t="s">
        <v>66</v>
      </c>
      <c r="D487" s="25" t="s">
        <v>28</v>
      </c>
      <c r="E487" s="25">
        <v>39</v>
      </c>
      <c r="F487" s="25" t="s">
        <v>29</v>
      </c>
      <c r="G487" s="25" t="s">
        <v>36</v>
      </c>
      <c r="H487" s="26">
        <v>44740</v>
      </c>
      <c r="I487" s="25">
        <v>44271</v>
      </c>
      <c r="J487" s="25" t="s">
        <v>37</v>
      </c>
      <c r="K487" s="25" t="s">
        <v>1036</v>
      </c>
      <c r="L487" s="27" t="s">
        <v>39</v>
      </c>
      <c r="M487" s="28" t="str">
        <f>_xlfn.XLOOKUP(F487,Department!$A$2:$A$6,Department!$B$2:$B$6)</f>
        <v>IT</v>
      </c>
      <c r="N487" s="30">
        <f>_xlfn.XLOOKUP(A487,Performance!$A$2:$A$501,Performance!$C$2:$C$501)</f>
        <v>4</v>
      </c>
      <c r="O487" s="28" cm="1">
        <f t="array" ref="O487">_xlfn.IFS(N487=5,I487*15%,N487=4,I487*10%,N487=3,I487*7%,N487&lt;3,I487*5%)</f>
        <v>4427.1000000000004</v>
      </c>
    </row>
    <row r="488" spans="1:15">
      <c r="A488" s="24" t="s">
        <v>1037</v>
      </c>
      <c r="B488" s="25" t="s">
        <v>42</v>
      </c>
      <c r="C488" s="25" t="s">
        <v>18</v>
      </c>
      <c r="D488" s="25" t="s">
        <v>19</v>
      </c>
      <c r="E488" s="25">
        <v>56</v>
      </c>
      <c r="F488" s="25" t="s">
        <v>20</v>
      </c>
      <c r="G488" s="25" t="s">
        <v>21</v>
      </c>
      <c r="H488" s="26">
        <v>43378</v>
      </c>
      <c r="I488" s="25">
        <v>93401</v>
      </c>
      <c r="J488" s="25" t="s">
        <v>67</v>
      </c>
      <c r="K488" s="25" t="s">
        <v>1038</v>
      </c>
      <c r="L488" s="27" t="s">
        <v>24</v>
      </c>
      <c r="M488" s="28" t="str">
        <f>_xlfn.XLOOKUP(F488,Department!$A$2:$A$6,Department!$B$2:$B$6)</f>
        <v>HR</v>
      </c>
      <c r="N488" s="30">
        <f>_xlfn.XLOOKUP(A488,Performance!$A$2:$A$501,Performance!$C$2:$C$501)</f>
        <v>2</v>
      </c>
      <c r="O488" s="28" cm="1">
        <f t="array" ref="O488">_xlfn.IFS(N488=5,I488*15%,N488=4,I488*10%,N488=3,I488*7%,N488&lt;3,I488*5%)</f>
        <v>4670.05</v>
      </c>
    </row>
    <row r="489" spans="1:15">
      <c r="A489" s="24" t="s">
        <v>1039</v>
      </c>
      <c r="B489" s="25" t="s">
        <v>74</v>
      </c>
      <c r="C489" s="25" t="s">
        <v>66</v>
      </c>
      <c r="D489" s="25" t="s">
        <v>28</v>
      </c>
      <c r="E489" s="25">
        <v>22</v>
      </c>
      <c r="F489" s="25" t="s">
        <v>29</v>
      </c>
      <c r="G489" s="25" t="s">
        <v>36</v>
      </c>
      <c r="H489" s="26">
        <v>44031</v>
      </c>
      <c r="I489" s="25">
        <v>56106</v>
      </c>
      <c r="J489" s="25" t="s">
        <v>22</v>
      </c>
      <c r="K489" s="25" t="s">
        <v>1040</v>
      </c>
      <c r="L489" s="27" t="s">
        <v>39</v>
      </c>
      <c r="M489" s="28" t="str">
        <f>_xlfn.XLOOKUP(F489,Department!$A$2:$A$6,Department!$B$2:$B$6)</f>
        <v>IT</v>
      </c>
      <c r="N489" s="30">
        <f>_xlfn.XLOOKUP(A489,Performance!$A$2:$A$501,Performance!$C$2:$C$501)</f>
        <v>1</v>
      </c>
      <c r="O489" s="28" cm="1">
        <f t="array" ref="O489">_xlfn.IFS(N489=5,I489*15%,N489=4,I489*10%,N489=3,I489*7%,N489&lt;3,I489*5%)</f>
        <v>2805.3</v>
      </c>
    </row>
    <row r="490" spans="1:15">
      <c r="A490" s="24" t="s">
        <v>1041</v>
      </c>
      <c r="B490" s="25" t="s">
        <v>92</v>
      </c>
      <c r="C490" s="25" t="s">
        <v>93</v>
      </c>
      <c r="D490" s="25" t="s">
        <v>19</v>
      </c>
      <c r="E490" s="25">
        <v>38</v>
      </c>
      <c r="F490" s="25" t="s">
        <v>43</v>
      </c>
      <c r="G490" s="25" t="s">
        <v>36</v>
      </c>
      <c r="H490" s="26">
        <v>44598</v>
      </c>
      <c r="I490" s="25">
        <v>106273</v>
      </c>
      <c r="J490" s="25" t="s">
        <v>22</v>
      </c>
      <c r="K490" s="25" t="s">
        <v>1042</v>
      </c>
      <c r="L490" s="27" t="s">
        <v>39</v>
      </c>
      <c r="M490" s="28" t="str">
        <f>_xlfn.XLOOKUP(F490,Department!$A$2:$A$6,Department!$B$2:$B$6)</f>
        <v>Marketing</v>
      </c>
      <c r="N490" s="30">
        <f>_xlfn.XLOOKUP(A490,Performance!$A$2:$A$501,Performance!$C$2:$C$501)</f>
        <v>5</v>
      </c>
      <c r="O490" s="28" cm="1">
        <f t="array" ref="O490">_xlfn.IFS(N490=5,I490*15%,N490=4,I490*10%,N490=3,I490*7%,N490&lt;3,I490*5%)</f>
        <v>15940.949999999999</v>
      </c>
    </row>
    <row r="491" spans="1:15">
      <c r="A491" s="24" t="s">
        <v>1043</v>
      </c>
      <c r="B491" s="25" t="s">
        <v>74</v>
      </c>
      <c r="C491" s="25" t="s">
        <v>117</v>
      </c>
      <c r="D491" s="25" t="s">
        <v>28</v>
      </c>
      <c r="E491" s="25">
        <v>45</v>
      </c>
      <c r="F491" s="25" t="s">
        <v>54</v>
      </c>
      <c r="G491" s="25" t="s">
        <v>44</v>
      </c>
      <c r="H491" s="26">
        <v>43545</v>
      </c>
      <c r="I491" s="25">
        <v>105710</v>
      </c>
      <c r="J491" s="25" t="s">
        <v>81</v>
      </c>
      <c r="K491" s="25" t="s">
        <v>1044</v>
      </c>
      <c r="L491" s="27" t="s">
        <v>24</v>
      </c>
      <c r="M491" s="28" t="str">
        <f>_xlfn.XLOOKUP(F491,Department!$A$2:$A$6,Department!$B$2:$B$6)</f>
        <v>Finance</v>
      </c>
      <c r="N491" s="30">
        <f>_xlfn.XLOOKUP(A491,Performance!$A$2:$A$501,Performance!$C$2:$C$501)</f>
        <v>2</v>
      </c>
      <c r="O491" s="28" cm="1">
        <f t="array" ref="O491">_xlfn.IFS(N491=5,I491*15%,N491=4,I491*10%,N491=3,I491*7%,N491&lt;3,I491*5%)</f>
        <v>5285.5</v>
      </c>
    </row>
    <row r="492" spans="1:15">
      <c r="A492" s="24" t="s">
        <v>1045</v>
      </c>
      <c r="B492" s="25" t="s">
        <v>126</v>
      </c>
      <c r="C492" s="25" t="s">
        <v>18</v>
      </c>
      <c r="D492" s="25" t="s">
        <v>19</v>
      </c>
      <c r="E492" s="25">
        <v>46</v>
      </c>
      <c r="F492" s="25" t="s">
        <v>54</v>
      </c>
      <c r="G492" s="25" t="s">
        <v>102</v>
      </c>
      <c r="H492" s="26">
        <v>45156</v>
      </c>
      <c r="I492" s="25">
        <v>68751</v>
      </c>
      <c r="J492" s="25" t="s">
        <v>22</v>
      </c>
      <c r="K492" s="25" t="s">
        <v>1046</v>
      </c>
      <c r="L492" s="27" t="s">
        <v>24</v>
      </c>
      <c r="M492" s="28" t="str">
        <f>_xlfn.XLOOKUP(F492,Department!$A$2:$A$6,Department!$B$2:$B$6)</f>
        <v>Finance</v>
      </c>
      <c r="N492" s="30">
        <f>_xlfn.XLOOKUP(A492,Performance!$A$2:$A$501,Performance!$C$2:$C$501)</f>
        <v>4</v>
      </c>
      <c r="O492" s="28" cm="1">
        <f t="array" ref="O492">_xlfn.IFS(N492=5,I492*15%,N492=4,I492*10%,N492=3,I492*7%,N492&lt;3,I492*5%)</f>
        <v>6875.1</v>
      </c>
    </row>
    <row r="493" spans="1:15">
      <c r="A493" s="24" t="s">
        <v>1047</v>
      </c>
      <c r="B493" s="25" t="s">
        <v>42</v>
      </c>
      <c r="C493" s="25" t="s">
        <v>49</v>
      </c>
      <c r="D493" s="25" t="s">
        <v>19</v>
      </c>
      <c r="E493" s="25">
        <v>33</v>
      </c>
      <c r="F493" s="25" t="s">
        <v>20</v>
      </c>
      <c r="G493" s="25" t="s">
        <v>30</v>
      </c>
      <c r="H493" s="26">
        <v>43544</v>
      </c>
      <c r="I493" s="25">
        <v>63873</v>
      </c>
      <c r="J493" s="25" t="s">
        <v>67</v>
      </c>
      <c r="K493" s="25" t="s">
        <v>1048</v>
      </c>
      <c r="L493" s="27" t="s">
        <v>24</v>
      </c>
      <c r="M493" s="28" t="str">
        <f>_xlfn.XLOOKUP(F493,Department!$A$2:$A$6,Department!$B$2:$B$6)</f>
        <v>HR</v>
      </c>
      <c r="N493" s="30">
        <f>_xlfn.XLOOKUP(A493,Performance!$A$2:$A$501,Performance!$C$2:$C$501)</f>
        <v>5</v>
      </c>
      <c r="O493" s="28" cm="1">
        <f t="array" ref="O493">_xlfn.IFS(N493=5,I493*15%,N493=4,I493*10%,N493=3,I493*7%,N493&lt;3,I493*5%)</f>
        <v>9580.9499999999989</v>
      </c>
    </row>
    <row r="494" spans="1:15">
      <c r="A494" s="24" t="s">
        <v>1049</v>
      </c>
      <c r="B494" s="25" t="s">
        <v>53</v>
      </c>
      <c r="C494" s="25" t="s">
        <v>49</v>
      </c>
      <c r="D494" s="25" t="s">
        <v>28</v>
      </c>
      <c r="E494" s="25">
        <v>39</v>
      </c>
      <c r="F494" s="25" t="s">
        <v>54</v>
      </c>
      <c r="G494" s="25" t="s">
        <v>44</v>
      </c>
      <c r="H494" s="26">
        <v>44850</v>
      </c>
      <c r="I494" s="25">
        <v>117465</v>
      </c>
      <c r="J494" s="25" t="s">
        <v>37</v>
      </c>
      <c r="K494" s="25" t="s">
        <v>1050</v>
      </c>
      <c r="L494" s="27" t="s">
        <v>39</v>
      </c>
      <c r="M494" s="28" t="str">
        <f>_xlfn.XLOOKUP(F494,Department!$A$2:$A$6,Department!$B$2:$B$6)</f>
        <v>Finance</v>
      </c>
      <c r="N494" s="30">
        <f>_xlfn.XLOOKUP(A494,Performance!$A$2:$A$501,Performance!$C$2:$C$501)</f>
        <v>1</v>
      </c>
      <c r="O494" s="28" cm="1">
        <f t="array" ref="O494">_xlfn.IFS(N494=5,I494*15%,N494=4,I494*10%,N494=3,I494*7%,N494&lt;3,I494*5%)</f>
        <v>5873.25</v>
      </c>
    </row>
    <row r="495" spans="1:15">
      <c r="A495" s="24" t="s">
        <v>1051</v>
      </c>
      <c r="B495" s="25" t="s">
        <v>48</v>
      </c>
      <c r="C495" s="25" t="s">
        <v>117</v>
      </c>
      <c r="D495" s="25" t="s">
        <v>19</v>
      </c>
      <c r="E495" s="25">
        <v>44</v>
      </c>
      <c r="F495" s="25" t="s">
        <v>35</v>
      </c>
      <c r="G495" s="25" t="s">
        <v>30</v>
      </c>
      <c r="H495" s="26">
        <v>43991</v>
      </c>
      <c r="I495" s="25">
        <v>59582</v>
      </c>
      <c r="J495" s="25" t="s">
        <v>81</v>
      </c>
      <c r="K495" s="25" t="s">
        <v>1052</v>
      </c>
      <c r="L495" s="27" t="s">
        <v>39</v>
      </c>
      <c r="M495" s="28" t="str">
        <f>_xlfn.XLOOKUP(F495,Department!$A$2:$A$6,Department!$B$2:$B$6)</f>
        <v>Sales</v>
      </c>
      <c r="N495" s="30">
        <f>_xlfn.XLOOKUP(A495,Performance!$A$2:$A$501,Performance!$C$2:$C$501)</f>
        <v>5</v>
      </c>
      <c r="O495" s="28" cm="1">
        <f t="array" ref="O495">_xlfn.IFS(N495=5,I495*15%,N495=4,I495*10%,N495=3,I495*7%,N495&lt;3,I495*5%)</f>
        <v>8937.2999999999993</v>
      </c>
    </row>
    <row r="496" spans="1:15">
      <c r="A496" s="24" t="s">
        <v>1053</v>
      </c>
      <c r="B496" s="25" t="s">
        <v>61</v>
      </c>
      <c r="C496" s="25" t="s">
        <v>84</v>
      </c>
      <c r="D496" s="25" t="s">
        <v>19</v>
      </c>
      <c r="E496" s="25">
        <v>51</v>
      </c>
      <c r="F496" s="25" t="s">
        <v>35</v>
      </c>
      <c r="G496" s="25" t="s">
        <v>21</v>
      </c>
      <c r="H496" s="26">
        <v>43211</v>
      </c>
      <c r="I496" s="25">
        <v>117932</v>
      </c>
      <c r="J496" s="25" t="s">
        <v>81</v>
      </c>
      <c r="K496" s="25" t="s">
        <v>1054</v>
      </c>
      <c r="L496" s="27" t="s">
        <v>24</v>
      </c>
      <c r="M496" s="28" t="str">
        <f>_xlfn.XLOOKUP(F496,Department!$A$2:$A$6,Department!$B$2:$B$6)</f>
        <v>Sales</v>
      </c>
      <c r="N496" s="30">
        <f>_xlfn.XLOOKUP(A496,Performance!$A$2:$A$501,Performance!$C$2:$C$501)</f>
        <v>4</v>
      </c>
      <c r="O496" s="28" cm="1">
        <f t="array" ref="O496">_xlfn.IFS(N496=5,I496*15%,N496=4,I496*10%,N496=3,I496*7%,N496&lt;3,I496*5%)</f>
        <v>11793.2</v>
      </c>
    </row>
    <row r="497" spans="1:15">
      <c r="A497" s="24" t="s">
        <v>1055</v>
      </c>
      <c r="B497" s="25" t="s">
        <v>53</v>
      </c>
      <c r="C497" s="25" t="s">
        <v>49</v>
      </c>
      <c r="D497" s="25" t="s">
        <v>28</v>
      </c>
      <c r="E497" s="25">
        <v>58</v>
      </c>
      <c r="F497" s="25" t="s">
        <v>20</v>
      </c>
      <c r="G497" s="25" t="s">
        <v>44</v>
      </c>
      <c r="H497" s="26">
        <v>43156</v>
      </c>
      <c r="I497" s="25">
        <v>95198</v>
      </c>
      <c r="J497" s="25" t="s">
        <v>81</v>
      </c>
      <c r="K497" s="25" t="s">
        <v>1056</v>
      </c>
      <c r="L497" s="27" t="s">
        <v>24</v>
      </c>
      <c r="M497" s="28" t="str">
        <f>_xlfn.XLOOKUP(F497,Department!$A$2:$A$6,Department!$B$2:$B$6)</f>
        <v>HR</v>
      </c>
      <c r="N497" s="30">
        <f>_xlfn.XLOOKUP(A497,Performance!$A$2:$A$501,Performance!$C$2:$C$501)</f>
        <v>1</v>
      </c>
      <c r="O497" s="28" cm="1">
        <f t="array" ref="O497">_xlfn.IFS(N497=5,I497*15%,N497=4,I497*10%,N497=3,I497*7%,N497&lt;3,I497*5%)</f>
        <v>4759.9000000000005</v>
      </c>
    </row>
    <row r="498" spans="1:15">
      <c r="A498" s="24" t="s">
        <v>1057</v>
      </c>
      <c r="B498" s="25" t="s">
        <v>61</v>
      </c>
      <c r="C498" s="25" t="s">
        <v>141</v>
      </c>
      <c r="D498" s="25" t="s">
        <v>28</v>
      </c>
      <c r="E498" s="25">
        <v>24</v>
      </c>
      <c r="F498" s="25" t="s">
        <v>35</v>
      </c>
      <c r="G498" s="25" t="s">
        <v>36</v>
      </c>
      <c r="H498" s="26">
        <v>45457</v>
      </c>
      <c r="I498" s="25">
        <v>61647</v>
      </c>
      <c r="J498" s="25" t="s">
        <v>81</v>
      </c>
      <c r="K498" s="25" t="s">
        <v>1058</v>
      </c>
      <c r="L498" s="27" t="s">
        <v>39</v>
      </c>
      <c r="M498" s="28" t="str">
        <f>_xlfn.XLOOKUP(F498,Department!$A$2:$A$6,Department!$B$2:$B$6)</f>
        <v>Sales</v>
      </c>
      <c r="N498" s="30">
        <f>_xlfn.XLOOKUP(A498,Performance!$A$2:$A$501,Performance!$C$2:$C$501)</f>
        <v>2</v>
      </c>
      <c r="O498" s="28" cm="1">
        <f t="array" ref="O498">_xlfn.IFS(N498=5,I498*15%,N498=4,I498*10%,N498=3,I498*7%,N498&lt;3,I498*5%)</f>
        <v>3082.3500000000004</v>
      </c>
    </row>
    <row r="499" spans="1:15">
      <c r="A499" s="24" t="s">
        <v>1059</v>
      </c>
      <c r="B499" s="25" t="s">
        <v>92</v>
      </c>
      <c r="C499" s="25" t="s">
        <v>66</v>
      </c>
      <c r="D499" s="25" t="s">
        <v>19</v>
      </c>
      <c r="E499" s="25">
        <v>26</v>
      </c>
      <c r="F499" s="25" t="s">
        <v>54</v>
      </c>
      <c r="G499" s="25" t="s">
        <v>30</v>
      </c>
      <c r="H499" s="26">
        <v>45580</v>
      </c>
      <c r="I499" s="25">
        <v>41274</v>
      </c>
      <c r="J499" s="25" t="s">
        <v>81</v>
      </c>
      <c r="K499" s="25" t="s">
        <v>1060</v>
      </c>
      <c r="L499" s="27" t="s">
        <v>39</v>
      </c>
      <c r="M499" s="28" t="str">
        <f>_xlfn.XLOOKUP(F499,Department!$A$2:$A$6,Department!$B$2:$B$6)</f>
        <v>Finance</v>
      </c>
      <c r="N499" s="30">
        <f>_xlfn.XLOOKUP(A499,Performance!$A$2:$A$501,Performance!$C$2:$C$501)</f>
        <v>2</v>
      </c>
      <c r="O499" s="28" cm="1">
        <f t="array" ref="O499">_xlfn.IFS(N499=5,I499*15%,N499=4,I499*10%,N499=3,I499*7%,N499&lt;3,I499*5%)</f>
        <v>2063.7000000000003</v>
      </c>
    </row>
    <row r="500" spans="1:15">
      <c r="A500" s="24" t="s">
        <v>1061</v>
      </c>
      <c r="B500" s="25" t="s">
        <v>42</v>
      </c>
      <c r="C500" s="25" t="s">
        <v>84</v>
      </c>
      <c r="D500" s="25" t="s">
        <v>19</v>
      </c>
      <c r="E500" s="25">
        <v>40</v>
      </c>
      <c r="F500" s="25" t="s">
        <v>29</v>
      </c>
      <c r="G500" s="25" t="s">
        <v>44</v>
      </c>
      <c r="H500" s="26">
        <v>44151</v>
      </c>
      <c r="I500" s="25">
        <v>40450</v>
      </c>
      <c r="J500" s="25" t="s">
        <v>81</v>
      </c>
      <c r="K500" s="25" t="s">
        <v>1062</v>
      </c>
      <c r="L500" s="27" t="s">
        <v>24</v>
      </c>
      <c r="M500" s="28" t="str">
        <f>_xlfn.XLOOKUP(F500,Department!$A$2:$A$6,Department!$B$2:$B$6)</f>
        <v>IT</v>
      </c>
      <c r="N500" s="30">
        <f>_xlfn.XLOOKUP(A500,Performance!$A$2:$A$501,Performance!$C$2:$C$501)</f>
        <v>3</v>
      </c>
      <c r="O500" s="28" cm="1">
        <f t="array" ref="O500">_xlfn.IFS(N500=5,I500*15%,N500=4,I500*10%,N500=3,I500*7%,N500&lt;3,I500*5%)</f>
        <v>2831.5000000000005</v>
      </c>
    </row>
    <row r="501" spans="1:15">
      <c r="A501" s="24" t="s">
        <v>1063</v>
      </c>
      <c r="B501" s="25" t="s">
        <v>42</v>
      </c>
      <c r="C501" s="25" t="s">
        <v>66</v>
      </c>
      <c r="D501" s="25" t="s">
        <v>28</v>
      </c>
      <c r="E501" s="25">
        <v>58</v>
      </c>
      <c r="F501" s="25" t="s">
        <v>43</v>
      </c>
      <c r="G501" s="25" t="s">
        <v>30</v>
      </c>
      <c r="H501" s="26">
        <v>44211</v>
      </c>
      <c r="I501" s="25">
        <v>42662</v>
      </c>
      <c r="J501" s="25" t="s">
        <v>67</v>
      </c>
      <c r="K501" s="25" t="s">
        <v>1064</v>
      </c>
      <c r="L501" s="27" t="s">
        <v>24</v>
      </c>
      <c r="M501" s="28" t="str">
        <f>_xlfn.XLOOKUP(F501,Department!$A$2:$A$6,Department!$B$2:$B$6)</f>
        <v>Marketing</v>
      </c>
      <c r="N501" s="30">
        <f>_xlfn.XLOOKUP(A501,Performance!$A$2:$A$501,Performance!$C$2:$C$501)</f>
        <v>3</v>
      </c>
      <c r="O501" s="28" cm="1">
        <f t="array" ref="O501">_xlfn.IFS(N501=5,I501*15%,N501=4,I501*10%,N501=3,I501*7%,N501&lt;3,I501*5%)</f>
        <v>2986.34</v>
      </c>
    </row>
  </sheetData>
  <conditionalFormatting sqref="A2:O501">
    <cfRule type="expression" dxfId="0" priority="1">
      <formula>$H2&lt;DATE(2020,1,1)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E459-4D12-44DE-85C6-BC0106D802F9}">
  <dimension ref="A1:L21"/>
  <sheetViews>
    <sheetView workbookViewId="0">
      <selection activeCell="N8" sqref="N8"/>
    </sheetView>
  </sheetViews>
  <sheetFormatPr defaultRowHeight="15"/>
  <cols>
    <col min="1" max="1" width="11.85546875" bestFit="1" customWidth="1"/>
    <col min="2" max="2" width="10.28515625" bestFit="1" customWidth="1"/>
    <col min="3" max="3" width="10" bestFit="1" customWidth="1"/>
    <col min="4" max="4" width="7.7109375" bestFit="1" customWidth="1"/>
    <col min="5" max="5" width="4.5703125" bestFit="1" customWidth="1"/>
    <col min="6" max="6" width="14" bestFit="1" customWidth="1"/>
    <col min="7" max="7" width="8.140625" bestFit="1" customWidth="1"/>
    <col min="8" max="8" width="11" customWidth="1"/>
    <col min="9" max="9" width="7.7109375" bestFit="1" customWidth="1"/>
    <col min="10" max="10" width="7.5703125" bestFit="1" customWidth="1"/>
    <col min="11" max="11" width="28.7109375" bestFit="1" customWidth="1"/>
    <col min="12" max="12" width="8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16</v>
      </c>
      <c r="B2" s="5" t="s">
        <v>17</v>
      </c>
      <c r="C2" s="5" t="s">
        <v>18</v>
      </c>
      <c r="D2" s="5" t="s">
        <v>19</v>
      </c>
      <c r="E2" s="5">
        <v>30</v>
      </c>
      <c r="F2" s="5" t="s">
        <v>20</v>
      </c>
      <c r="G2" s="5" t="s">
        <v>21</v>
      </c>
      <c r="H2" s="6">
        <v>43517</v>
      </c>
      <c r="I2" s="5">
        <v>105257</v>
      </c>
      <c r="J2" s="5" t="s">
        <v>22</v>
      </c>
      <c r="K2" s="5" t="s">
        <v>23</v>
      </c>
      <c r="L2" s="5" t="s">
        <v>24</v>
      </c>
    </row>
    <row r="3" spans="1:12">
      <c r="A3" s="4" t="s">
        <v>108</v>
      </c>
      <c r="B3" s="5" t="s">
        <v>48</v>
      </c>
      <c r="C3" s="5" t="s">
        <v>66</v>
      </c>
      <c r="D3" s="5" t="s">
        <v>28</v>
      </c>
      <c r="E3" s="5">
        <v>35</v>
      </c>
      <c r="F3" s="5" t="s">
        <v>54</v>
      </c>
      <c r="G3" s="5" t="s">
        <v>21</v>
      </c>
      <c r="H3" s="6">
        <v>43624</v>
      </c>
      <c r="I3" s="5">
        <v>79578</v>
      </c>
      <c r="J3" s="5" t="s">
        <v>22</v>
      </c>
      <c r="K3" s="5" t="s">
        <v>109</v>
      </c>
      <c r="L3" s="5" t="s">
        <v>39</v>
      </c>
    </row>
    <row r="4" spans="1:12">
      <c r="A4" s="4" t="s">
        <v>277</v>
      </c>
      <c r="B4" s="5" t="s">
        <v>126</v>
      </c>
      <c r="C4" s="5" t="s">
        <v>66</v>
      </c>
      <c r="D4" s="5" t="s">
        <v>28</v>
      </c>
      <c r="E4" s="5">
        <v>27</v>
      </c>
      <c r="F4" s="5" t="s">
        <v>35</v>
      </c>
      <c r="G4" s="5" t="s">
        <v>21</v>
      </c>
      <c r="H4" s="6">
        <v>43582</v>
      </c>
      <c r="I4" s="5">
        <v>90958</v>
      </c>
      <c r="J4" s="5" t="s">
        <v>22</v>
      </c>
      <c r="K4" s="5" t="s">
        <v>278</v>
      </c>
      <c r="L4" s="5" t="s">
        <v>39</v>
      </c>
    </row>
    <row r="5" spans="1:12">
      <c r="A5" s="4" t="s">
        <v>299</v>
      </c>
      <c r="B5" s="5" t="s">
        <v>126</v>
      </c>
      <c r="C5" s="5" t="s">
        <v>80</v>
      </c>
      <c r="D5" s="5" t="s">
        <v>28</v>
      </c>
      <c r="E5" s="5">
        <v>24</v>
      </c>
      <c r="F5" s="5" t="s">
        <v>35</v>
      </c>
      <c r="G5" s="5" t="s">
        <v>21</v>
      </c>
      <c r="H5" s="6">
        <v>44746</v>
      </c>
      <c r="I5" s="5">
        <v>99200</v>
      </c>
      <c r="J5" s="5" t="s">
        <v>22</v>
      </c>
      <c r="K5" s="5" t="s">
        <v>300</v>
      </c>
      <c r="L5" s="5" t="s">
        <v>39</v>
      </c>
    </row>
    <row r="6" spans="1:12">
      <c r="A6" s="4" t="s">
        <v>397</v>
      </c>
      <c r="B6" s="5" t="s">
        <v>42</v>
      </c>
      <c r="C6" s="5" t="s">
        <v>80</v>
      </c>
      <c r="D6" s="5" t="s">
        <v>28</v>
      </c>
      <c r="E6" s="5">
        <v>41</v>
      </c>
      <c r="F6" s="5" t="s">
        <v>43</v>
      </c>
      <c r="G6" s="5" t="s">
        <v>21</v>
      </c>
      <c r="H6" s="56">
        <v>43425</v>
      </c>
      <c r="I6" s="5">
        <v>45748</v>
      </c>
      <c r="J6" s="5" t="s">
        <v>22</v>
      </c>
      <c r="K6" s="5" t="s">
        <v>398</v>
      </c>
      <c r="L6" s="5" t="s">
        <v>39</v>
      </c>
    </row>
    <row r="7" spans="1:12">
      <c r="A7" s="4" t="s">
        <v>429</v>
      </c>
      <c r="B7" s="5" t="s">
        <v>74</v>
      </c>
      <c r="C7" s="5" t="s">
        <v>84</v>
      </c>
      <c r="D7" s="5" t="s">
        <v>28</v>
      </c>
      <c r="E7" s="5">
        <v>60</v>
      </c>
      <c r="F7" s="5" t="s">
        <v>35</v>
      </c>
      <c r="G7" s="5" t="s">
        <v>21</v>
      </c>
      <c r="H7" s="6">
        <v>45463</v>
      </c>
      <c r="I7" s="5">
        <v>111243</v>
      </c>
      <c r="J7" s="5" t="s">
        <v>22</v>
      </c>
      <c r="K7" s="5" t="s">
        <v>430</v>
      </c>
      <c r="L7" s="5" t="s">
        <v>24</v>
      </c>
    </row>
    <row r="8" spans="1:12">
      <c r="A8" s="4" t="s">
        <v>433</v>
      </c>
      <c r="B8" s="5" t="s">
        <v>126</v>
      </c>
      <c r="C8" s="5" t="s">
        <v>49</v>
      </c>
      <c r="D8" s="5" t="s">
        <v>28</v>
      </c>
      <c r="E8" s="5">
        <v>35</v>
      </c>
      <c r="F8" s="5" t="s">
        <v>43</v>
      </c>
      <c r="G8" s="5" t="s">
        <v>21</v>
      </c>
      <c r="H8" s="6">
        <v>45478</v>
      </c>
      <c r="I8" s="5">
        <v>71247</v>
      </c>
      <c r="J8" s="5" t="s">
        <v>22</v>
      </c>
      <c r="K8" s="5" t="s">
        <v>434</v>
      </c>
      <c r="L8" s="5" t="s">
        <v>39</v>
      </c>
    </row>
    <row r="9" spans="1:12">
      <c r="A9" s="4" t="s">
        <v>591</v>
      </c>
      <c r="B9" s="5" t="s">
        <v>92</v>
      </c>
      <c r="C9" s="5" t="s">
        <v>117</v>
      </c>
      <c r="D9" s="5" t="s">
        <v>19</v>
      </c>
      <c r="E9" s="5">
        <v>44</v>
      </c>
      <c r="F9" s="5" t="s">
        <v>29</v>
      </c>
      <c r="G9" s="5" t="s">
        <v>21</v>
      </c>
      <c r="H9" s="6">
        <v>43183</v>
      </c>
      <c r="I9" s="5">
        <v>97265</v>
      </c>
      <c r="J9" s="5" t="s">
        <v>22</v>
      </c>
      <c r="K9" s="5" t="s">
        <v>592</v>
      </c>
      <c r="L9" s="5" t="s">
        <v>24</v>
      </c>
    </row>
    <row r="10" spans="1:12">
      <c r="A10" s="4" t="s">
        <v>685</v>
      </c>
      <c r="B10" s="5" t="s">
        <v>58</v>
      </c>
      <c r="C10" s="5" t="s">
        <v>27</v>
      </c>
      <c r="D10" s="5" t="s">
        <v>19</v>
      </c>
      <c r="E10" s="5">
        <v>27</v>
      </c>
      <c r="F10" s="5" t="s">
        <v>54</v>
      </c>
      <c r="G10" s="5" t="s">
        <v>21</v>
      </c>
      <c r="H10" s="6">
        <v>43322</v>
      </c>
      <c r="I10" s="5">
        <v>86048</v>
      </c>
      <c r="J10" s="5" t="s">
        <v>22</v>
      </c>
      <c r="K10" s="5" t="s">
        <v>686</v>
      </c>
      <c r="L10" s="5" t="s">
        <v>24</v>
      </c>
    </row>
    <row r="11" spans="1:12">
      <c r="A11" s="4" t="s">
        <v>701</v>
      </c>
      <c r="B11" s="5" t="s">
        <v>42</v>
      </c>
      <c r="C11" s="5" t="s">
        <v>93</v>
      </c>
      <c r="D11" s="5" t="s">
        <v>19</v>
      </c>
      <c r="E11" s="5">
        <v>53</v>
      </c>
      <c r="F11" s="5" t="s">
        <v>35</v>
      </c>
      <c r="G11" s="5" t="s">
        <v>21</v>
      </c>
      <c r="H11" s="6">
        <v>44038</v>
      </c>
      <c r="I11" s="5">
        <v>50653</v>
      </c>
      <c r="J11" s="5" t="s">
        <v>22</v>
      </c>
      <c r="K11" s="5" t="s">
        <v>702</v>
      </c>
      <c r="L11" s="5" t="s">
        <v>39</v>
      </c>
    </row>
    <row r="12" spans="1:12">
      <c r="A12" s="4" t="s">
        <v>787</v>
      </c>
      <c r="B12" s="5" t="s">
        <v>74</v>
      </c>
      <c r="C12" s="5" t="s">
        <v>18</v>
      </c>
      <c r="D12" s="5" t="s">
        <v>28</v>
      </c>
      <c r="E12" s="5">
        <v>60</v>
      </c>
      <c r="F12" s="5" t="s">
        <v>20</v>
      </c>
      <c r="G12" s="5" t="s">
        <v>21</v>
      </c>
      <c r="H12" s="6">
        <v>45444</v>
      </c>
      <c r="I12" s="5">
        <v>117041</v>
      </c>
      <c r="J12" s="5" t="s">
        <v>22</v>
      </c>
      <c r="K12" s="5" t="s">
        <v>788</v>
      </c>
      <c r="L12" s="5" t="s">
        <v>39</v>
      </c>
    </row>
    <row r="13" spans="1:12">
      <c r="A13" s="4" t="s">
        <v>797</v>
      </c>
      <c r="B13" s="5" t="s">
        <v>58</v>
      </c>
      <c r="C13" s="5" t="s">
        <v>80</v>
      </c>
      <c r="D13" s="5" t="s">
        <v>28</v>
      </c>
      <c r="E13" s="5">
        <v>42</v>
      </c>
      <c r="F13" s="5" t="s">
        <v>29</v>
      </c>
      <c r="G13" s="5" t="s">
        <v>21</v>
      </c>
      <c r="H13" s="6">
        <v>43599</v>
      </c>
      <c r="I13" s="5">
        <v>106833</v>
      </c>
      <c r="J13" s="5" t="s">
        <v>22</v>
      </c>
      <c r="K13" s="5" t="s">
        <v>798</v>
      </c>
      <c r="L13" s="5" t="s">
        <v>39</v>
      </c>
    </row>
    <row r="14" spans="1:12">
      <c r="A14" s="4" t="s">
        <v>815</v>
      </c>
      <c r="B14" s="5" t="s">
        <v>92</v>
      </c>
      <c r="C14" s="5" t="s">
        <v>18</v>
      </c>
      <c r="D14" s="5" t="s">
        <v>19</v>
      </c>
      <c r="E14" s="5">
        <v>28</v>
      </c>
      <c r="F14" s="5" t="s">
        <v>54</v>
      </c>
      <c r="G14" s="5" t="s">
        <v>21</v>
      </c>
      <c r="H14" s="6">
        <v>45553</v>
      </c>
      <c r="I14" s="5">
        <v>113590</v>
      </c>
      <c r="J14" s="5" t="s">
        <v>22</v>
      </c>
      <c r="K14" s="5" t="s">
        <v>816</v>
      </c>
      <c r="L14" s="5" t="s">
        <v>39</v>
      </c>
    </row>
    <row r="15" spans="1:12">
      <c r="A15" s="4" t="s">
        <v>871</v>
      </c>
      <c r="B15" s="5" t="s">
        <v>48</v>
      </c>
      <c r="C15" s="5" t="s">
        <v>18</v>
      </c>
      <c r="D15" s="5" t="s">
        <v>28</v>
      </c>
      <c r="E15" s="5">
        <v>57</v>
      </c>
      <c r="F15" s="5" t="s">
        <v>20</v>
      </c>
      <c r="G15" s="5" t="s">
        <v>21</v>
      </c>
      <c r="H15" s="6">
        <v>45201</v>
      </c>
      <c r="I15" s="5">
        <v>107382</v>
      </c>
      <c r="J15" s="5" t="s">
        <v>22</v>
      </c>
      <c r="K15" s="5" t="s">
        <v>872</v>
      </c>
      <c r="L15" s="5" t="s">
        <v>39</v>
      </c>
    </row>
    <row r="16" spans="1:12">
      <c r="A16" s="4" t="s">
        <v>889</v>
      </c>
      <c r="B16" s="5" t="s">
        <v>61</v>
      </c>
      <c r="C16" s="5" t="s">
        <v>18</v>
      </c>
      <c r="D16" s="5" t="s">
        <v>19</v>
      </c>
      <c r="E16" s="5">
        <v>29</v>
      </c>
      <c r="F16" s="5" t="s">
        <v>29</v>
      </c>
      <c r="G16" s="5" t="s">
        <v>21</v>
      </c>
      <c r="H16" s="6">
        <v>43361</v>
      </c>
      <c r="I16" s="5">
        <v>102232</v>
      </c>
      <c r="J16" s="5" t="s">
        <v>22</v>
      </c>
      <c r="K16" s="5" t="s">
        <v>890</v>
      </c>
      <c r="L16" s="5" t="s">
        <v>24</v>
      </c>
    </row>
    <row r="17" spans="1:12">
      <c r="A17" s="4" t="s">
        <v>903</v>
      </c>
      <c r="B17" s="5" t="s">
        <v>17</v>
      </c>
      <c r="C17" s="5" t="s">
        <v>117</v>
      </c>
      <c r="D17" s="5" t="s">
        <v>19</v>
      </c>
      <c r="E17" s="5">
        <v>36</v>
      </c>
      <c r="F17" s="5" t="s">
        <v>43</v>
      </c>
      <c r="G17" s="5" t="s">
        <v>21</v>
      </c>
      <c r="H17" s="6">
        <v>45562</v>
      </c>
      <c r="I17" s="5">
        <v>82168</v>
      </c>
      <c r="J17" s="5" t="s">
        <v>22</v>
      </c>
      <c r="K17" s="5" t="s">
        <v>904</v>
      </c>
      <c r="L17" s="5" t="s">
        <v>24</v>
      </c>
    </row>
    <row r="18" spans="1:12">
      <c r="A18" s="4" t="s">
        <v>911</v>
      </c>
      <c r="B18" s="5" t="s">
        <v>17</v>
      </c>
      <c r="C18" s="5" t="s">
        <v>66</v>
      </c>
      <c r="D18" s="5" t="s">
        <v>19</v>
      </c>
      <c r="E18" s="5">
        <v>24</v>
      </c>
      <c r="F18" s="5" t="s">
        <v>35</v>
      </c>
      <c r="G18" s="5" t="s">
        <v>21</v>
      </c>
      <c r="H18" s="6">
        <v>43645</v>
      </c>
      <c r="I18" s="5">
        <v>57088</v>
      </c>
      <c r="J18" s="5" t="s">
        <v>22</v>
      </c>
      <c r="K18" s="5" t="s">
        <v>912</v>
      </c>
      <c r="L18" s="5" t="s">
        <v>24</v>
      </c>
    </row>
    <row r="19" spans="1:12">
      <c r="H19" s="55"/>
    </row>
    <row r="20" spans="1:12">
      <c r="H20" s="55"/>
    </row>
    <row r="21" spans="1:12">
      <c r="H21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2026-08-19T09:44:54Z</dcterms:created>
  <dcterms:modified xsi:type="dcterms:W3CDTF">2026-08-19T12:17:16Z</dcterms:modified>
  <cp:category/>
  <cp:contentStatus/>
</cp:coreProperties>
</file>