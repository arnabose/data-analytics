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nab\Documents\Anudip-Data Analytics\Excel\Classwork\"/>
    </mc:Choice>
  </mc:AlternateContent>
  <xr:revisionPtr revIDLastSave="0" documentId="13_ncr:1_{D55A0E85-486F-4460-894F-F910FEFCB8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6" i="1" l="1"/>
  <c r="I51" i="1"/>
  <c r="I47" i="1"/>
  <c r="H43" i="1"/>
  <c r="H40" i="1"/>
  <c r="I60" i="1" l="1"/>
  <c r="I64" i="1"/>
  <c r="I68" i="1"/>
  <c r="I72" i="1"/>
  <c r="I37" i="1"/>
  <c r="I33" i="1"/>
  <c r="H29" i="1"/>
  <c r="H26" i="1"/>
  <c r="H23" i="1"/>
  <c r="I20" i="1"/>
  <c r="I16" i="1"/>
  <c r="H12" i="1"/>
  <c r="H9" i="1"/>
  <c r="H6" i="1"/>
  <c r="H3" i="1"/>
</calcChain>
</file>

<file path=xl/sharedStrings.xml><?xml version="1.0" encoding="utf-8"?>
<sst xmlns="http://schemas.openxmlformats.org/spreadsheetml/2006/main" count="139" uniqueCount="101">
  <si>
    <t>Emp ID</t>
  </si>
  <si>
    <t>Name</t>
  </si>
  <si>
    <t>Department</t>
  </si>
  <si>
    <t>Salary</t>
  </si>
  <si>
    <t>City</t>
  </si>
  <si>
    <t>E101</t>
  </si>
  <si>
    <t>E102</t>
  </si>
  <si>
    <t>E103</t>
  </si>
  <si>
    <t>E104</t>
  </si>
  <si>
    <t>E105</t>
  </si>
  <si>
    <t>E106</t>
  </si>
  <si>
    <t>E107</t>
  </si>
  <si>
    <t>E108</t>
  </si>
  <si>
    <t>Amit</t>
  </si>
  <si>
    <t>Neha</t>
  </si>
  <si>
    <t>Rahul</t>
  </si>
  <si>
    <t>Priya</t>
  </si>
  <si>
    <t>Arjun</t>
  </si>
  <si>
    <t>Riya</t>
  </si>
  <si>
    <t>Karan</t>
  </si>
  <si>
    <t>Sneha</t>
  </si>
  <si>
    <t>Marketing</t>
  </si>
  <si>
    <t>Finance</t>
  </si>
  <si>
    <t>HR</t>
  </si>
  <si>
    <t>IT</t>
  </si>
  <si>
    <t>Chennai</t>
  </si>
  <si>
    <t>Mumbai</t>
  </si>
  <si>
    <t>Delhi</t>
  </si>
  <si>
    <t>Pune</t>
  </si>
  <si>
    <t>Bangalore</t>
  </si>
  <si>
    <t>Kolkata</t>
  </si>
  <si>
    <r>
      <t xml:space="preserve">1. Find the </t>
    </r>
    <r>
      <rPr>
        <b/>
        <sz val="11"/>
        <color theme="1"/>
        <rFont val="Calibri"/>
        <family val="2"/>
        <scheme val="minor"/>
      </rPr>
      <t>Name of employee</t>
    </r>
    <r>
      <rPr>
        <sz val="11"/>
        <color theme="1"/>
        <rFont val="Calibri"/>
        <family val="2"/>
        <scheme val="minor"/>
      </rPr>
      <t xml:space="preserve"> with Emp </t>
    </r>
    <r>
      <rPr>
        <b/>
        <sz val="11"/>
        <color theme="1"/>
        <rFont val="Calibri"/>
        <family val="2"/>
        <scheme val="minor"/>
      </rPr>
      <t>ID E104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>.</t>
    </r>
  </si>
  <si>
    <r>
      <t xml:space="preserve">2. Find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E103</t>
    </r>
  </si>
  <si>
    <r>
      <t xml:space="preserve">3.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if Employee </t>
    </r>
    <r>
      <rPr>
        <b/>
        <sz val="11"/>
        <color theme="1"/>
        <rFont val="Calibri"/>
        <family val="2"/>
        <scheme val="minor"/>
      </rPr>
      <t>E108</t>
    </r>
    <r>
      <rPr>
        <sz val="11"/>
        <color theme="1"/>
        <rFont val="Calibri"/>
        <family val="2"/>
        <scheme val="minor"/>
      </rPr>
      <t>.</t>
    </r>
  </si>
  <si>
    <r>
      <t>4. Find the</t>
    </r>
    <r>
      <rPr>
        <b/>
        <sz val="11"/>
        <color theme="1"/>
        <rFont val="Calibri"/>
        <family val="2"/>
        <scheme val="minor"/>
      </rPr>
      <t xml:space="preserve"> City </t>
    </r>
    <r>
      <rPr>
        <sz val="11"/>
        <color theme="1"/>
        <rFont val="Calibri"/>
        <family val="2"/>
        <scheme val="minor"/>
      </rPr>
      <t xml:space="preserve">of employee </t>
    </r>
    <r>
      <rPr>
        <b/>
        <sz val="11"/>
        <color theme="1"/>
        <rFont val="Calibri"/>
        <family val="2"/>
        <scheme val="minor"/>
      </rPr>
      <t>E105</t>
    </r>
  </si>
  <si>
    <t>Put Emp ID</t>
  </si>
  <si>
    <r>
      <t xml:space="preserve">5. If Employee ID is </t>
    </r>
    <r>
      <rPr>
        <b/>
        <sz val="11"/>
        <color theme="1"/>
        <rFont val="Calibri"/>
        <family val="2"/>
        <scheme val="minor"/>
      </rPr>
      <t>entered in any cell</t>
    </r>
    <r>
      <rPr>
        <sz val="11"/>
        <color theme="1"/>
        <rFont val="Calibri"/>
        <family val="2"/>
        <scheme val="minor"/>
      </rPr>
      <t xml:space="preserve">, retrive the </t>
    </r>
    <r>
      <rPr>
        <b/>
        <sz val="11"/>
        <color theme="1"/>
        <rFont val="Calibri"/>
        <family val="2"/>
        <scheme val="minor"/>
      </rPr>
      <t>Department.</t>
    </r>
  </si>
  <si>
    <t>Student ID</t>
  </si>
  <si>
    <t>Maths</t>
  </si>
  <si>
    <t>Science</t>
  </si>
  <si>
    <t>English</t>
  </si>
  <si>
    <t>Kiran</t>
  </si>
  <si>
    <t>Meena</t>
  </si>
  <si>
    <t>Ravi</t>
  </si>
  <si>
    <t>Asha</t>
  </si>
  <si>
    <t>S101</t>
  </si>
  <si>
    <t>S102</t>
  </si>
  <si>
    <t>S103</t>
  </si>
  <si>
    <t>S104</t>
  </si>
  <si>
    <t>S105</t>
  </si>
  <si>
    <r>
      <t xml:space="preserve">1. Find </t>
    </r>
    <r>
      <rPr>
        <b/>
        <sz val="11"/>
        <color theme="1"/>
        <rFont val="Calibri"/>
        <family val="2"/>
        <scheme val="minor"/>
      </rPr>
      <t>Maths</t>
    </r>
    <r>
      <rPr>
        <sz val="11"/>
        <color theme="1"/>
        <rFont val="Calibri"/>
        <family val="2"/>
        <scheme val="minor"/>
      </rPr>
      <t xml:space="preserve"> marks of </t>
    </r>
    <r>
      <rPr>
        <b/>
        <sz val="11"/>
        <color theme="1"/>
        <rFont val="Calibri"/>
        <family val="2"/>
        <scheme val="minor"/>
      </rPr>
      <t>S103.</t>
    </r>
  </si>
  <si>
    <r>
      <t xml:space="preserve">2. Find </t>
    </r>
    <r>
      <rPr>
        <b/>
        <sz val="11"/>
        <color theme="1"/>
        <rFont val="Calibri"/>
        <family val="2"/>
        <scheme val="minor"/>
      </rPr>
      <t>Science</t>
    </r>
    <r>
      <rPr>
        <sz val="11"/>
        <color theme="1"/>
        <rFont val="Calibri"/>
        <family val="2"/>
        <scheme val="minor"/>
      </rPr>
      <t xml:space="preserve"> marks of</t>
    </r>
    <r>
      <rPr>
        <b/>
        <sz val="11"/>
        <color theme="1"/>
        <rFont val="Calibri"/>
        <family val="2"/>
        <scheme val="minor"/>
      </rPr>
      <t xml:space="preserve"> S102.</t>
    </r>
  </si>
  <si>
    <r>
      <t xml:space="preserve">3. Find </t>
    </r>
    <r>
      <rPr>
        <b/>
        <sz val="11"/>
        <color theme="1"/>
        <rFont val="Calibri"/>
        <family val="2"/>
        <scheme val="minor"/>
      </rPr>
      <t>English</t>
    </r>
    <r>
      <rPr>
        <sz val="11"/>
        <color theme="1"/>
        <rFont val="Calibri"/>
        <family val="2"/>
        <scheme val="minor"/>
      </rPr>
      <t xml:space="preserve"> marks of </t>
    </r>
    <r>
      <rPr>
        <b/>
        <sz val="11"/>
        <color theme="1"/>
        <rFont val="Calibri"/>
        <family val="2"/>
        <scheme val="minor"/>
      </rPr>
      <t>S105.</t>
    </r>
  </si>
  <si>
    <t>Put Student ID</t>
  </si>
  <si>
    <r>
      <t xml:space="preserve">5. Retrive </t>
    </r>
    <r>
      <rPr>
        <b/>
        <sz val="11"/>
        <color theme="1"/>
        <rFont val="Calibri"/>
        <family val="2"/>
        <scheme val="minor"/>
      </rPr>
      <t>Science marks dynamically</t>
    </r>
    <r>
      <rPr>
        <sz val="11"/>
        <color theme="1"/>
        <rFont val="Calibri"/>
        <family val="2"/>
        <scheme val="minor"/>
      </rPr>
      <t xml:space="preserve"> using Student ID in any cell.</t>
    </r>
  </si>
  <si>
    <t>Product ID</t>
  </si>
  <si>
    <t>P101</t>
  </si>
  <si>
    <t>P102</t>
  </si>
  <si>
    <t>P103</t>
  </si>
  <si>
    <t>P104</t>
  </si>
  <si>
    <t>P105</t>
  </si>
  <si>
    <t>Product Name</t>
  </si>
  <si>
    <t>Price</t>
  </si>
  <si>
    <t>Stock</t>
  </si>
  <si>
    <t>Laptop</t>
  </si>
  <si>
    <t>Mouse</t>
  </si>
  <si>
    <t>Keyboard</t>
  </si>
  <si>
    <t>Monitor</t>
  </si>
  <si>
    <t>Printer</t>
  </si>
  <si>
    <r>
      <t xml:space="preserve">1. Find the </t>
    </r>
    <r>
      <rPr>
        <b/>
        <sz val="11"/>
        <color theme="1"/>
        <rFont val="Calibri"/>
        <family val="2"/>
        <scheme val="minor"/>
      </rPr>
      <t>price of product P103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HLOOKUP</t>
    </r>
    <r>
      <rPr>
        <sz val="11"/>
        <color theme="1"/>
        <rFont val="Calibri"/>
        <family val="2"/>
        <scheme val="minor"/>
      </rPr>
      <t>.</t>
    </r>
  </si>
  <si>
    <t>VLOOKUP Classwork Assignments</t>
  </si>
  <si>
    <r>
      <t xml:space="preserve">2. Find the </t>
    </r>
    <r>
      <rPr>
        <b/>
        <sz val="11"/>
        <color theme="1"/>
        <rFont val="Calibri"/>
        <family val="2"/>
        <scheme val="minor"/>
      </rPr>
      <t>Stock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P104</t>
    </r>
    <r>
      <rPr>
        <sz val="11"/>
        <color theme="1"/>
        <rFont val="Calibri"/>
        <family val="2"/>
        <scheme val="minor"/>
      </rPr>
      <t>.</t>
    </r>
  </si>
  <si>
    <r>
      <t xml:space="preserve">3. Retrive product name of </t>
    </r>
    <r>
      <rPr>
        <b/>
        <sz val="11"/>
        <color theme="1"/>
        <rFont val="Calibri"/>
        <family val="2"/>
        <scheme val="minor"/>
      </rPr>
      <t>P101</t>
    </r>
    <r>
      <rPr>
        <sz val="11"/>
        <color theme="1"/>
        <rFont val="Calibri"/>
        <family val="2"/>
        <scheme val="minor"/>
      </rPr>
      <t>.</t>
    </r>
  </si>
  <si>
    <r>
      <t xml:space="preserve">4. If </t>
    </r>
    <r>
      <rPr>
        <b/>
        <sz val="11"/>
        <color theme="1"/>
        <rFont val="Calibri"/>
        <family val="2"/>
        <scheme val="minor"/>
      </rPr>
      <t>product ID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entered in any cell</t>
    </r>
    <r>
      <rPr>
        <sz val="11"/>
        <color theme="1"/>
        <rFont val="Calibri"/>
        <family val="2"/>
        <scheme val="minor"/>
      </rPr>
      <t xml:space="preserve">, return the </t>
    </r>
    <r>
      <rPr>
        <b/>
        <sz val="11"/>
        <color theme="1"/>
        <rFont val="Calibri"/>
        <family val="2"/>
        <scheme val="minor"/>
      </rPr>
      <t>Price.</t>
    </r>
  </si>
  <si>
    <t>Put Product ID</t>
  </si>
  <si>
    <r>
      <t xml:space="preserve">5. If </t>
    </r>
    <r>
      <rPr>
        <b/>
        <sz val="11"/>
        <color theme="1"/>
        <rFont val="Calibri"/>
        <family val="2"/>
        <scheme val="minor"/>
      </rPr>
      <t>product ID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entered in any cell</t>
    </r>
    <r>
      <rPr>
        <sz val="11"/>
        <color theme="1"/>
        <rFont val="Calibri"/>
        <family val="2"/>
        <scheme val="minor"/>
      </rPr>
      <t xml:space="preserve">, return the </t>
    </r>
    <r>
      <rPr>
        <b/>
        <sz val="11"/>
        <color theme="1"/>
        <rFont val="Calibri"/>
        <family val="2"/>
        <scheme val="minor"/>
      </rPr>
      <t>Stock.</t>
    </r>
  </si>
  <si>
    <t xml:space="preserve"> ID</t>
  </si>
  <si>
    <t>C101</t>
  </si>
  <si>
    <t>C102</t>
  </si>
  <si>
    <t>C103</t>
  </si>
  <si>
    <t>C104</t>
  </si>
  <si>
    <t>C105</t>
  </si>
  <si>
    <t>Rohan</t>
  </si>
  <si>
    <t>Ananya</t>
  </si>
  <si>
    <t>Vikram</t>
  </si>
  <si>
    <t>Aman</t>
  </si>
  <si>
    <t>Course</t>
  </si>
  <si>
    <t>Excel</t>
  </si>
  <si>
    <t>Power BI</t>
  </si>
  <si>
    <t>SQL</t>
  </si>
  <si>
    <t>Python</t>
  </si>
  <si>
    <t>Tableau</t>
  </si>
  <si>
    <t>Fees</t>
  </si>
  <si>
    <r>
      <t xml:space="preserve">1. Retrive </t>
    </r>
    <r>
      <rPr>
        <b/>
        <sz val="11"/>
        <color theme="1"/>
        <rFont val="Calibri"/>
        <family val="2"/>
        <scheme val="minor"/>
      </rPr>
      <t>course name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C103.</t>
    </r>
  </si>
  <si>
    <r>
      <t xml:space="preserve">4. If </t>
    </r>
    <r>
      <rPr>
        <b/>
        <sz val="11"/>
        <color theme="1"/>
        <rFont val="Calibri"/>
        <family val="2"/>
        <scheme val="minor"/>
      </rPr>
      <t>Student ID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entered in any cell</t>
    </r>
    <r>
      <rPr>
        <sz val="11"/>
        <color theme="1"/>
        <rFont val="Calibri"/>
        <family val="2"/>
        <scheme val="minor"/>
      </rPr>
      <t xml:space="preserve">, return the </t>
    </r>
    <r>
      <rPr>
        <b/>
        <sz val="11"/>
        <color theme="1"/>
        <rFont val="Calibri"/>
        <family val="2"/>
        <scheme val="minor"/>
      </rPr>
      <t>Name.</t>
    </r>
  </si>
  <si>
    <r>
      <t xml:space="preserve">4. If Employee ID is </t>
    </r>
    <r>
      <rPr>
        <b/>
        <sz val="11"/>
        <color theme="1"/>
        <rFont val="Calibri"/>
        <family val="2"/>
        <scheme val="minor"/>
      </rPr>
      <t>entered in any cell</t>
    </r>
    <r>
      <rPr>
        <sz val="11"/>
        <color theme="1"/>
        <rFont val="Calibri"/>
        <family val="2"/>
        <scheme val="minor"/>
      </rPr>
      <t xml:space="preserve">, retrive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automatically.</t>
    </r>
  </si>
  <si>
    <r>
      <t xml:space="preserve">2. Retrive </t>
    </r>
    <r>
      <rPr>
        <b/>
        <sz val="11"/>
        <color theme="1"/>
        <rFont val="Calibri"/>
        <family val="2"/>
        <scheme val="minor"/>
      </rPr>
      <t>Fees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C104.</t>
    </r>
  </si>
  <si>
    <r>
      <t xml:space="preserve">3. If </t>
    </r>
    <r>
      <rPr>
        <b/>
        <sz val="11"/>
        <color theme="1"/>
        <rFont val="Calibri"/>
        <family val="2"/>
        <scheme val="minor"/>
      </rPr>
      <t>Course ID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entered in any cell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Name.</t>
    </r>
  </si>
  <si>
    <t>Put Course ID</t>
  </si>
  <si>
    <r>
      <t xml:space="preserve">3. If </t>
    </r>
    <r>
      <rPr>
        <b/>
        <sz val="11"/>
        <color theme="1"/>
        <rFont val="Calibri"/>
        <family val="2"/>
        <scheme val="minor"/>
      </rPr>
      <t>Course ID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entered in any cell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Fees.</t>
    </r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</si>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</sst>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0" xfId="0" applyFill="1" applyBorder="1"/>
    <xf numFmtId="0" fontId="0" fillId="4" borderId="10" xfId="0" applyFill="1" applyBorder="1"/>
    <xf numFmtId="0" fontId="0" fillId="0" borderId="11" xfId="0" applyBorder="1"/>
    <xf numFmtId="0" fontId="1" fillId="0" borderId="12" xfId="0" applyFont="1" applyBorder="1"/>
    <xf numFmtId="0" fontId="1" fillId="2" borderId="12" xfId="0" applyFont="1" applyFill="1" applyBorder="1"/>
    <xf numFmtId="0" fontId="1" fillId="5" borderId="12" xfId="0" applyFont="1" applyFill="1" applyBorder="1"/>
    <xf numFmtId="0" fontId="0" fillId="6" borderId="5" xfId="0" applyFill="1" applyBorder="1"/>
    <xf numFmtId="0" fontId="0" fillId="6" borderId="1" xfId="0" applyFill="1" applyBorder="1"/>
    <xf numFmtId="0" fontId="1" fillId="7" borderId="2" xfId="0" applyFont="1" applyFill="1" applyBorder="1"/>
    <xf numFmtId="0" fontId="1" fillId="7" borderId="3" xfId="0" applyFont="1" applyFill="1" applyBorder="1"/>
    <xf numFmtId="0" fontId="1" fillId="7" borderId="15" xfId="0" applyFont="1" applyFill="1" applyBorder="1"/>
    <xf numFmtId="0" fontId="0" fillId="6" borderId="16" xfId="0" applyFill="1" applyBorder="1"/>
    <xf numFmtId="0" fontId="0" fillId="6" borderId="19" xfId="0" applyFill="1" applyBorder="1"/>
    <xf numFmtId="0" fontId="0" fillId="6" borderId="10" xfId="0" applyFill="1" applyBorder="1"/>
    <xf numFmtId="0" fontId="0" fillId="6" borderId="20" xfId="0" applyFill="1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1" fillId="7" borderId="12" xfId="0" applyFont="1" applyFill="1" applyBorder="1"/>
    <xf numFmtId="0" fontId="0" fillId="0" borderId="1" xfId="0" applyBorder="1"/>
    <xf numFmtId="0" fontId="0" fillId="6" borderId="3" xfId="0" applyFill="1" applyBorder="1"/>
    <xf numFmtId="0" fontId="0" fillId="0" borderId="3" xfId="0" applyBorder="1"/>
    <xf numFmtId="0" fontId="0" fillId="0" borderId="15" xfId="0" applyBorder="1"/>
    <xf numFmtId="0" fontId="1" fillId="7" borderId="5" xfId="0" applyFont="1" applyFill="1" applyBorder="1"/>
    <xf numFmtId="0" fontId="0" fillId="0" borderId="0" xfId="0" applyBorder="1"/>
    <xf numFmtId="0" fontId="0" fillId="0" borderId="16" xfId="0" applyBorder="1"/>
    <xf numFmtId="0" fontId="1" fillId="0" borderId="0" xfId="0" applyFont="1" applyFill="1" applyBorder="1"/>
    <xf numFmtId="0" fontId="0" fillId="0" borderId="0" xfId="0" applyFill="1" applyBorder="1"/>
    <xf numFmtId="0" fontId="1" fillId="0" borderId="4" xfId="0" applyFont="1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54" workbookViewId="0">
      <selection activeCell="P64" sqref="P64"/>
    </sheetView>
  </sheetViews>
  <sheetFormatPr defaultRowHeight="14.4" x14ac:dyDescent="0.3"/>
  <cols>
    <col min="1" max="1" width="13.21875" bestFit="1" customWidth="1"/>
    <col min="2" max="2" width="6.6640625" bestFit="1" customWidth="1"/>
    <col min="3" max="3" width="11.109375" bestFit="1" customWidth="1"/>
    <col min="4" max="4" width="8.6640625" bestFit="1" customWidth="1"/>
    <col min="5" max="5" width="9.21875" bestFit="1" customWidth="1"/>
    <col min="6" max="6" width="6.44140625" bestFit="1" customWidth="1"/>
    <col min="8" max="8" width="13.33203125" bestFit="1" customWidth="1"/>
    <col min="9" max="9" width="13" customWidth="1"/>
    <col min="10" max="10" width="10.33203125" bestFit="1" customWidth="1"/>
    <col min="11" max="11" width="11.109375" bestFit="1" customWidth="1"/>
  </cols>
  <sheetData>
    <row r="1" spans="1:14" ht="15" thickBot="1" x14ac:dyDescent="0.35">
      <c r="A1" s="1" t="s">
        <v>70</v>
      </c>
    </row>
    <row r="2" spans="1:14" x14ac:dyDescent="0.3">
      <c r="A2" s="19" t="s">
        <v>0</v>
      </c>
      <c r="B2" s="20" t="s">
        <v>1</v>
      </c>
      <c r="C2" s="20" t="s">
        <v>2</v>
      </c>
      <c r="D2" s="20" t="s">
        <v>3</v>
      </c>
      <c r="E2" s="21" t="s">
        <v>4</v>
      </c>
      <c r="F2" s="6"/>
      <c r="G2" s="6"/>
      <c r="H2" s="29" t="s">
        <v>31</v>
      </c>
      <c r="I2" s="30"/>
      <c r="J2" s="30"/>
      <c r="K2" s="30"/>
      <c r="L2" s="30"/>
      <c r="M2" s="30"/>
      <c r="N2" s="31"/>
    </row>
    <row r="3" spans="1:14" x14ac:dyDescent="0.3">
      <c r="A3" s="17" t="s">
        <v>5</v>
      </c>
      <c r="B3" s="18" t="s">
        <v>13</v>
      </c>
      <c r="C3" s="18" t="s">
        <v>23</v>
      </c>
      <c r="D3" s="18">
        <v>35000</v>
      </c>
      <c r="E3" s="22" t="s">
        <v>27</v>
      </c>
      <c r="H3" s="14" t="str">
        <f>VLOOKUP("E104",A3:B10,2,0)</f>
        <v>Priya</v>
      </c>
      <c r="I3" s="2"/>
      <c r="N3" s="7"/>
    </row>
    <row r="4" spans="1:14" x14ac:dyDescent="0.3">
      <c r="A4" s="17" t="s">
        <v>6</v>
      </c>
      <c r="B4" s="18" t="s">
        <v>14</v>
      </c>
      <c r="C4" s="18" t="s">
        <v>24</v>
      </c>
      <c r="D4" s="18">
        <v>50000</v>
      </c>
      <c r="E4" s="22" t="s">
        <v>26</v>
      </c>
      <c r="N4" s="7"/>
    </row>
    <row r="5" spans="1:14" x14ac:dyDescent="0.3">
      <c r="A5" s="17" t="s">
        <v>7</v>
      </c>
      <c r="B5" s="18" t="s">
        <v>15</v>
      </c>
      <c r="C5" s="18" t="s">
        <v>22</v>
      </c>
      <c r="D5" s="18">
        <v>45000</v>
      </c>
      <c r="E5" s="22" t="s">
        <v>30</v>
      </c>
      <c r="H5" s="26" t="s">
        <v>32</v>
      </c>
      <c r="I5" s="27"/>
      <c r="J5" s="27"/>
      <c r="K5" s="27"/>
      <c r="L5" s="27"/>
      <c r="M5" s="27"/>
      <c r="N5" s="28"/>
    </row>
    <row r="6" spans="1:14" x14ac:dyDescent="0.3">
      <c r="A6" s="17" t="s">
        <v>8</v>
      </c>
      <c r="B6" s="18" t="s">
        <v>16</v>
      </c>
      <c r="C6" s="18" t="s">
        <v>24</v>
      </c>
      <c r="D6" s="18">
        <v>52000</v>
      </c>
      <c r="E6" s="22" t="s">
        <v>29</v>
      </c>
      <c r="H6" s="14" t="str">
        <f>VLOOKUP("E103",A3:C10,3,0)</f>
        <v>Finance</v>
      </c>
      <c r="N6" s="7"/>
    </row>
    <row r="7" spans="1:14" x14ac:dyDescent="0.3">
      <c r="A7" s="17" t="s">
        <v>9</v>
      </c>
      <c r="B7" s="18" t="s">
        <v>17</v>
      </c>
      <c r="C7" s="18" t="s">
        <v>21</v>
      </c>
      <c r="D7" s="18">
        <v>40000</v>
      </c>
      <c r="E7" s="22" t="s">
        <v>28</v>
      </c>
      <c r="I7" s="2"/>
      <c r="N7" s="7"/>
    </row>
    <row r="8" spans="1:14" x14ac:dyDescent="0.3">
      <c r="A8" s="17" t="s">
        <v>10</v>
      </c>
      <c r="B8" s="18" t="s">
        <v>18</v>
      </c>
      <c r="C8" s="18" t="s">
        <v>23</v>
      </c>
      <c r="D8" s="18">
        <v>36000</v>
      </c>
      <c r="E8" s="22" t="s">
        <v>27</v>
      </c>
      <c r="H8" s="26" t="s">
        <v>33</v>
      </c>
      <c r="I8" s="27"/>
      <c r="J8" s="27"/>
      <c r="K8" s="27"/>
      <c r="L8" s="27"/>
      <c r="M8" s="27"/>
      <c r="N8" s="28"/>
    </row>
    <row r="9" spans="1:14" x14ac:dyDescent="0.3">
      <c r="A9" s="17" t="s">
        <v>11</v>
      </c>
      <c r="B9" s="18" t="s">
        <v>19</v>
      </c>
      <c r="C9" s="18" t="s">
        <v>22</v>
      </c>
      <c r="D9" s="18">
        <v>47000</v>
      </c>
      <c r="E9" s="22" t="s">
        <v>26</v>
      </c>
      <c r="H9" s="14">
        <f>VLOOKUP("E108",A3:D10,4,0)</f>
        <v>42000</v>
      </c>
      <c r="N9" s="7"/>
    </row>
    <row r="10" spans="1:14" ht="15" thickBot="1" x14ac:dyDescent="0.35">
      <c r="A10" s="23" t="s">
        <v>12</v>
      </c>
      <c r="B10" s="24" t="s">
        <v>20</v>
      </c>
      <c r="C10" s="24" t="s">
        <v>21</v>
      </c>
      <c r="D10" s="24">
        <v>42000</v>
      </c>
      <c r="E10" s="25" t="s">
        <v>25</v>
      </c>
      <c r="N10" s="7"/>
    </row>
    <row r="11" spans="1:14" x14ac:dyDescent="0.3">
      <c r="A11" s="8"/>
      <c r="H11" s="26" t="s">
        <v>34</v>
      </c>
      <c r="I11" s="27"/>
      <c r="J11" s="27"/>
      <c r="K11" s="27"/>
      <c r="L11" s="27"/>
      <c r="M11" s="27"/>
      <c r="N11" s="28"/>
    </row>
    <row r="12" spans="1:14" x14ac:dyDescent="0.3">
      <c r="A12" s="8"/>
      <c r="H12" s="14" t="str">
        <f>VLOOKUP("E105",A3:E10,5,0)</f>
        <v>Pune</v>
      </c>
      <c r="N12" s="7"/>
    </row>
    <row r="13" spans="1:14" x14ac:dyDescent="0.3">
      <c r="A13" s="8"/>
      <c r="N13" s="7"/>
    </row>
    <row r="14" spans="1:14" x14ac:dyDescent="0.3">
      <c r="A14" s="8"/>
      <c r="H14" s="26" t="s">
        <v>95</v>
      </c>
      <c r="I14" s="27"/>
      <c r="J14" s="27"/>
      <c r="K14" s="27"/>
      <c r="L14" s="27"/>
      <c r="M14" s="27"/>
      <c r="N14" s="28"/>
    </row>
    <row r="15" spans="1:14" x14ac:dyDescent="0.3">
      <c r="A15" s="8"/>
      <c r="H15" s="15" t="s">
        <v>35</v>
      </c>
      <c r="I15" s="16" t="s">
        <v>3</v>
      </c>
      <c r="N15" s="7"/>
    </row>
    <row r="16" spans="1:14" x14ac:dyDescent="0.3">
      <c r="A16" s="8"/>
      <c r="H16" s="4" t="s">
        <v>8</v>
      </c>
      <c r="I16" s="5">
        <f>VLOOKUP(H16,A3:D10,4,FALSE)</f>
        <v>52000</v>
      </c>
      <c r="N16" s="7"/>
    </row>
    <row r="17" spans="1:14" x14ac:dyDescent="0.3">
      <c r="A17" s="8"/>
      <c r="N17" s="7"/>
    </row>
    <row r="18" spans="1:14" x14ac:dyDescent="0.3">
      <c r="A18" s="8"/>
      <c r="H18" s="26" t="s">
        <v>36</v>
      </c>
      <c r="I18" s="27"/>
      <c r="J18" s="27"/>
      <c r="K18" s="27"/>
      <c r="L18" s="27"/>
      <c r="M18" s="27"/>
      <c r="N18" s="28"/>
    </row>
    <row r="19" spans="1:14" x14ac:dyDescent="0.3">
      <c r="A19" s="8"/>
      <c r="H19" s="15" t="s">
        <v>35</v>
      </c>
      <c r="I19" s="16" t="s">
        <v>2</v>
      </c>
      <c r="N19" s="7"/>
    </row>
    <row r="20" spans="1:14" ht="15" thickBot="1" x14ac:dyDescent="0.35">
      <c r="A20" s="9"/>
      <c r="B20" s="10"/>
      <c r="C20" s="10"/>
      <c r="D20" s="10"/>
      <c r="E20" s="10"/>
      <c r="F20" s="10"/>
      <c r="G20" s="10"/>
      <c r="H20" s="11" t="s">
        <v>8</v>
      </c>
      <c r="I20" s="12" t="str">
        <f>VLOOKUP(H20,A3:C10,3,FALSE)</f>
        <v>IT</v>
      </c>
      <c r="J20" s="10"/>
      <c r="K20" s="10"/>
      <c r="L20" s="10"/>
      <c r="M20" s="10"/>
      <c r="N20" s="13"/>
    </row>
    <row r="21" spans="1:14" ht="15" thickBot="1" x14ac:dyDescent="0.35"/>
    <row r="22" spans="1:14" x14ac:dyDescent="0.3">
      <c r="A22" s="19" t="s">
        <v>37</v>
      </c>
      <c r="B22" s="20" t="s">
        <v>1</v>
      </c>
      <c r="C22" s="20" t="s">
        <v>38</v>
      </c>
      <c r="D22" s="20" t="s">
        <v>39</v>
      </c>
      <c r="E22" s="21" t="s">
        <v>40</v>
      </c>
      <c r="F22" s="6"/>
      <c r="G22" s="6"/>
      <c r="H22" s="29" t="s">
        <v>50</v>
      </c>
      <c r="I22" s="30"/>
      <c r="J22" s="30"/>
      <c r="K22" s="30"/>
      <c r="L22" s="30"/>
      <c r="M22" s="30"/>
      <c r="N22" s="31"/>
    </row>
    <row r="23" spans="1:14" x14ac:dyDescent="0.3">
      <c r="A23" s="17" t="s">
        <v>45</v>
      </c>
      <c r="B23" s="18" t="s">
        <v>44</v>
      </c>
      <c r="C23" s="18">
        <v>78</v>
      </c>
      <c r="D23" s="18">
        <v>82</v>
      </c>
      <c r="E23" s="22">
        <v>74</v>
      </c>
      <c r="H23" s="14">
        <f>VLOOKUP("S103",A23:C27,3,0)</f>
        <v>88</v>
      </c>
      <c r="I23" s="2"/>
      <c r="N23" s="7"/>
    </row>
    <row r="24" spans="1:14" x14ac:dyDescent="0.3">
      <c r="A24" s="17" t="s">
        <v>46</v>
      </c>
      <c r="B24" s="18" t="s">
        <v>43</v>
      </c>
      <c r="C24" s="18">
        <v>65</v>
      </c>
      <c r="D24" s="18">
        <v>70</v>
      </c>
      <c r="E24" s="22">
        <v>68</v>
      </c>
      <c r="N24" s="7"/>
    </row>
    <row r="25" spans="1:14" x14ac:dyDescent="0.3">
      <c r="A25" s="17" t="s">
        <v>47</v>
      </c>
      <c r="B25" s="18" t="s">
        <v>42</v>
      </c>
      <c r="C25" s="18">
        <v>88</v>
      </c>
      <c r="D25" s="18">
        <v>91</v>
      </c>
      <c r="E25" s="22">
        <v>85</v>
      </c>
      <c r="H25" s="26" t="s">
        <v>51</v>
      </c>
      <c r="I25" s="27"/>
      <c r="J25" s="27"/>
      <c r="K25" s="27"/>
      <c r="L25" s="27"/>
      <c r="M25" s="27"/>
      <c r="N25" s="28"/>
    </row>
    <row r="26" spans="1:14" x14ac:dyDescent="0.3">
      <c r="A26" s="17" t="s">
        <v>48</v>
      </c>
      <c r="B26" s="18" t="s">
        <v>17</v>
      </c>
      <c r="C26" s="18">
        <v>72</v>
      </c>
      <c r="D26" s="18">
        <v>75</v>
      </c>
      <c r="E26" s="22">
        <v>70</v>
      </c>
      <c r="H26" s="14">
        <f>VLOOKUP("S102",A23:D27,4,0)</f>
        <v>70</v>
      </c>
      <c r="N26" s="7"/>
    </row>
    <row r="27" spans="1:14" ht="15" thickBot="1" x14ac:dyDescent="0.35">
      <c r="A27" s="23" t="s">
        <v>49</v>
      </c>
      <c r="B27" s="24" t="s">
        <v>41</v>
      </c>
      <c r="C27" s="24">
        <v>90</v>
      </c>
      <c r="D27" s="24">
        <v>93</v>
      </c>
      <c r="E27" s="25">
        <v>89</v>
      </c>
      <c r="I27" s="2"/>
      <c r="N27" s="7"/>
    </row>
    <row r="28" spans="1:14" x14ac:dyDescent="0.3">
      <c r="A28" s="8"/>
      <c r="H28" s="26" t="s">
        <v>52</v>
      </c>
      <c r="I28" s="27"/>
      <c r="J28" s="27"/>
      <c r="K28" s="27"/>
      <c r="L28" s="27"/>
      <c r="M28" s="27"/>
      <c r="N28" s="28"/>
    </row>
    <row r="29" spans="1:14" x14ac:dyDescent="0.3">
      <c r="A29" s="8"/>
      <c r="H29" s="14">
        <f>VLOOKUP("S105",A23:E27,5,0)</f>
        <v>89</v>
      </c>
      <c r="N29" s="7"/>
    </row>
    <row r="30" spans="1:14" x14ac:dyDescent="0.3">
      <c r="A30" s="8"/>
      <c r="N30" s="7"/>
    </row>
    <row r="31" spans="1:14" x14ac:dyDescent="0.3">
      <c r="A31" s="8"/>
      <c r="H31" s="26" t="s">
        <v>94</v>
      </c>
      <c r="I31" s="27"/>
      <c r="J31" s="27"/>
      <c r="K31" s="27"/>
      <c r="L31" s="27"/>
      <c r="M31" s="27"/>
      <c r="N31" s="28"/>
    </row>
    <row r="32" spans="1:14" x14ac:dyDescent="0.3">
      <c r="A32" s="8"/>
      <c r="H32" s="15" t="s">
        <v>53</v>
      </c>
      <c r="I32" s="16" t="s">
        <v>1</v>
      </c>
      <c r="N32" s="7"/>
    </row>
    <row r="33" spans="1:14" x14ac:dyDescent="0.3">
      <c r="A33" s="8"/>
      <c r="H33" s="4" t="s">
        <v>48</v>
      </c>
      <c r="I33" s="5" t="str">
        <f>VLOOKUP(H33,A23:B27,2,FALSE)</f>
        <v>Arjun</v>
      </c>
      <c r="N33" s="7"/>
    </row>
    <row r="34" spans="1:14" x14ac:dyDescent="0.3">
      <c r="A34" s="8"/>
      <c r="N34" s="7"/>
    </row>
    <row r="35" spans="1:14" x14ac:dyDescent="0.3">
      <c r="A35" s="8"/>
      <c r="H35" s="26" t="s">
        <v>54</v>
      </c>
      <c r="I35" s="27"/>
      <c r="J35" s="27"/>
      <c r="K35" s="27"/>
      <c r="L35" s="27"/>
      <c r="M35" s="27"/>
      <c r="N35" s="28"/>
    </row>
    <row r="36" spans="1:14" x14ac:dyDescent="0.3">
      <c r="A36" s="8"/>
      <c r="H36" s="15" t="s">
        <v>53</v>
      </c>
      <c r="I36" s="16" t="s">
        <v>39</v>
      </c>
      <c r="N36" s="7"/>
    </row>
    <row r="37" spans="1:14" ht="15" thickBot="1" x14ac:dyDescent="0.35">
      <c r="A37" s="9"/>
      <c r="B37" s="10"/>
      <c r="C37" s="10"/>
      <c r="D37" s="10"/>
      <c r="E37" s="10"/>
      <c r="F37" s="10"/>
      <c r="G37" s="10"/>
      <c r="H37" s="11" t="s">
        <v>49</v>
      </c>
      <c r="I37" s="12">
        <f>VLOOKUP(H37,A23:D27,4,FALSE)</f>
        <v>93</v>
      </c>
      <c r="J37" s="10"/>
      <c r="K37" s="10"/>
      <c r="L37" s="10"/>
      <c r="M37" s="10"/>
      <c r="N37" s="13"/>
    </row>
    <row r="38" spans="1:14" ht="15" thickBot="1" x14ac:dyDescent="0.35">
      <c r="A38" s="8"/>
    </row>
    <row r="39" spans="1:14" x14ac:dyDescent="0.3">
      <c r="A39" s="19" t="s">
        <v>76</v>
      </c>
      <c r="B39" s="20" t="s">
        <v>1</v>
      </c>
      <c r="C39" s="20" t="s">
        <v>86</v>
      </c>
      <c r="D39" s="21" t="s">
        <v>92</v>
      </c>
      <c r="E39" s="42"/>
      <c r="F39" s="6"/>
      <c r="G39" s="6"/>
      <c r="H39" s="29" t="s">
        <v>93</v>
      </c>
      <c r="I39" s="30"/>
      <c r="J39" s="30"/>
      <c r="K39" s="30"/>
      <c r="L39" s="30"/>
      <c r="M39" s="30"/>
      <c r="N39" s="31"/>
    </row>
    <row r="40" spans="1:14" x14ac:dyDescent="0.3">
      <c r="A40" s="17" t="s">
        <v>77</v>
      </c>
      <c r="B40" s="18" t="s">
        <v>82</v>
      </c>
      <c r="C40" s="18" t="s">
        <v>87</v>
      </c>
      <c r="D40" s="22">
        <v>3000</v>
      </c>
      <c r="E40" s="41"/>
      <c r="F40" s="38"/>
      <c r="G40" s="38"/>
      <c r="H40" s="14" t="str">
        <f>VLOOKUP("C103",A39:D44,3,0)</f>
        <v>SQL</v>
      </c>
      <c r="I40" s="43"/>
      <c r="J40" s="38"/>
      <c r="K40" s="38"/>
      <c r="L40" s="38"/>
      <c r="M40" s="38"/>
      <c r="N40" s="7"/>
    </row>
    <row r="41" spans="1:14" ht="15" thickBot="1" x14ac:dyDescent="0.35">
      <c r="A41" s="17" t="s">
        <v>78</v>
      </c>
      <c r="B41" s="18" t="s">
        <v>83</v>
      </c>
      <c r="C41" s="18" t="s">
        <v>88</v>
      </c>
      <c r="D41" s="22">
        <v>5000</v>
      </c>
      <c r="E41" s="41"/>
      <c r="F41" s="38"/>
      <c r="G41" s="38"/>
      <c r="H41" s="38"/>
      <c r="I41" s="38"/>
      <c r="J41" s="38"/>
      <c r="K41" s="38"/>
      <c r="L41" s="38"/>
      <c r="M41" s="38"/>
      <c r="N41" s="7"/>
    </row>
    <row r="42" spans="1:14" x14ac:dyDescent="0.3">
      <c r="A42" s="17" t="s">
        <v>79</v>
      </c>
      <c r="B42" s="18" t="s">
        <v>84</v>
      </c>
      <c r="C42" s="18" t="s">
        <v>89</v>
      </c>
      <c r="D42" s="22">
        <v>4000</v>
      </c>
      <c r="E42" s="41"/>
      <c r="F42" s="38"/>
      <c r="G42" s="38"/>
      <c r="H42" s="29" t="s">
        <v>96</v>
      </c>
      <c r="I42" s="30"/>
      <c r="J42" s="30"/>
      <c r="K42" s="30"/>
      <c r="L42" s="30"/>
      <c r="M42" s="30"/>
      <c r="N42" s="31"/>
    </row>
    <row r="43" spans="1:14" x14ac:dyDescent="0.3">
      <c r="A43" s="17" t="s">
        <v>80</v>
      </c>
      <c r="B43" s="18" t="s">
        <v>14</v>
      </c>
      <c r="C43" s="18" t="s">
        <v>90</v>
      </c>
      <c r="D43" s="22">
        <v>6000</v>
      </c>
      <c r="E43" s="41"/>
      <c r="F43" s="38"/>
      <c r="G43" s="38"/>
      <c r="H43" s="14">
        <f>VLOOKUP("C104",A39:D44,4,0)</f>
        <v>6000</v>
      </c>
      <c r="I43" s="38"/>
      <c r="J43" s="38"/>
      <c r="K43" s="38"/>
      <c r="L43" s="38"/>
      <c r="M43" s="38"/>
      <c r="N43" s="7"/>
    </row>
    <row r="44" spans="1:14" ht="15" thickBot="1" x14ac:dyDescent="0.35">
      <c r="A44" s="23" t="s">
        <v>81</v>
      </c>
      <c r="B44" s="24" t="s">
        <v>85</v>
      </c>
      <c r="C44" s="24" t="s">
        <v>91</v>
      </c>
      <c r="D44" s="25">
        <v>4500</v>
      </c>
      <c r="E44" s="41"/>
      <c r="F44" s="38"/>
      <c r="G44" s="38"/>
      <c r="H44" s="38"/>
      <c r="I44" s="43"/>
      <c r="J44" s="38"/>
      <c r="K44" s="38"/>
      <c r="L44" s="38"/>
      <c r="M44" s="38"/>
      <c r="N44" s="7"/>
    </row>
    <row r="45" spans="1:14" x14ac:dyDescent="0.3">
      <c r="A45" s="8"/>
      <c r="B45" s="38"/>
      <c r="C45" s="38"/>
      <c r="D45" s="38"/>
      <c r="E45" s="38"/>
      <c r="F45" s="38"/>
      <c r="G45" s="38"/>
      <c r="H45" s="26" t="s">
        <v>97</v>
      </c>
      <c r="I45" s="27"/>
      <c r="J45" s="27"/>
      <c r="K45" s="27"/>
      <c r="L45" s="27"/>
      <c r="M45" s="27"/>
      <c r="N45" s="28"/>
    </row>
    <row r="46" spans="1:14" x14ac:dyDescent="0.3">
      <c r="A46" s="8"/>
      <c r="B46" s="38"/>
      <c r="C46" s="38"/>
      <c r="D46" s="38"/>
      <c r="E46" s="38"/>
      <c r="F46" s="38"/>
      <c r="G46" s="38"/>
      <c r="H46" s="15" t="s">
        <v>98</v>
      </c>
      <c r="I46" s="16" t="s">
        <v>1</v>
      </c>
      <c r="J46" s="38"/>
      <c r="K46" s="38"/>
      <c r="L46" s="38"/>
      <c r="M46" s="38"/>
      <c r="N46" s="7"/>
    </row>
    <row r="47" spans="1:14" x14ac:dyDescent="0.3">
      <c r="A47" s="8"/>
      <c r="B47" s="38"/>
      <c r="C47" s="38"/>
      <c r="D47" s="38"/>
      <c r="E47" s="38"/>
      <c r="F47" s="38"/>
      <c r="G47" s="38"/>
      <c r="H47" s="4" t="s">
        <v>80</v>
      </c>
      <c r="I47" s="5" t="str">
        <f>VLOOKUP(H47,A40:B44,2,FALSE)</f>
        <v>Neha</v>
      </c>
      <c r="J47" s="38"/>
      <c r="K47" s="38"/>
      <c r="L47" s="38"/>
      <c r="M47" s="38"/>
      <c r="N47" s="7"/>
    </row>
    <row r="48" spans="1:14" x14ac:dyDescent="0.3">
      <c r="A48" s="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7"/>
    </row>
    <row r="49" spans="1:14" x14ac:dyDescent="0.3">
      <c r="A49" s="8"/>
      <c r="B49" s="38"/>
      <c r="C49" s="38"/>
      <c r="D49" s="38"/>
      <c r="E49" s="38"/>
      <c r="F49" s="38"/>
      <c r="G49" s="38"/>
      <c r="H49" s="26" t="s">
        <v>99</v>
      </c>
      <c r="I49" s="27"/>
      <c r="J49" s="27"/>
      <c r="K49" s="27"/>
      <c r="L49" s="27"/>
      <c r="M49" s="27"/>
      <c r="N49" s="28"/>
    </row>
    <row r="50" spans="1:14" x14ac:dyDescent="0.3">
      <c r="A50" s="8"/>
      <c r="B50" s="38"/>
      <c r="C50" s="38"/>
      <c r="D50" s="38"/>
      <c r="E50" s="38"/>
      <c r="F50" s="38"/>
      <c r="G50" s="38"/>
      <c r="H50" s="15" t="s">
        <v>98</v>
      </c>
      <c r="I50" s="16" t="s">
        <v>92</v>
      </c>
      <c r="J50" s="38"/>
      <c r="K50" s="38"/>
      <c r="L50" s="38"/>
      <c r="M50" s="38"/>
      <c r="N50" s="7"/>
    </row>
    <row r="51" spans="1:14" ht="15" thickBot="1" x14ac:dyDescent="0.35">
      <c r="A51" s="9"/>
      <c r="B51" s="10"/>
      <c r="C51" s="10"/>
      <c r="D51" s="10"/>
      <c r="E51" s="10"/>
      <c r="F51" s="10"/>
      <c r="G51" s="10"/>
      <c r="H51" s="11" t="s">
        <v>80</v>
      </c>
      <c r="I51" s="12">
        <f>VLOOKUP(H51,A39:D44,4,FALSE)</f>
        <v>6000</v>
      </c>
      <c r="J51" s="10"/>
      <c r="K51" s="10"/>
      <c r="L51" s="10"/>
      <c r="M51" s="10"/>
      <c r="N51" s="13"/>
    </row>
    <row r="53" spans="1:14" ht="15" thickBot="1" x14ac:dyDescent="0.35">
      <c r="A53" s="1" t="s">
        <v>100</v>
      </c>
    </row>
    <row r="54" spans="1:14" x14ac:dyDescent="0.3">
      <c r="A54" s="19"/>
      <c r="B54" s="34" t="s">
        <v>56</v>
      </c>
      <c r="C54" s="34" t="s">
        <v>57</v>
      </c>
      <c r="D54" s="34" t="s">
        <v>58</v>
      </c>
      <c r="E54" s="34" t="s">
        <v>59</v>
      </c>
      <c r="F54" s="34" t="s">
        <v>60</v>
      </c>
      <c r="G54" s="6"/>
      <c r="H54" s="35" t="s">
        <v>69</v>
      </c>
      <c r="I54" s="35"/>
      <c r="J54" s="35"/>
      <c r="K54" s="35"/>
      <c r="L54" s="35"/>
      <c r="M54" s="35"/>
      <c r="N54" s="36"/>
    </row>
    <row r="55" spans="1:14" x14ac:dyDescent="0.3">
      <c r="A55" s="37" t="s">
        <v>61</v>
      </c>
      <c r="B55" s="18" t="s">
        <v>64</v>
      </c>
      <c r="C55" s="18" t="s">
        <v>65</v>
      </c>
      <c r="D55" s="18" t="s">
        <v>66</v>
      </c>
      <c r="E55" s="18" t="s">
        <v>67</v>
      </c>
      <c r="F55" s="18" t="s">
        <v>68</v>
      </c>
      <c r="G55" s="38"/>
      <c r="H55" s="32" t="s">
        <v>55</v>
      </c>
      <c r="I55" s="32" t="s">
        <v>62</v>
      </c>
      <c r="J55" s="38"/>
      <c r="K55" s="38"/>
      <c r="L55" s="38"/>
      <c r="M55" s="38"/>
      <c r="N55" s="7"/>
    </row>
    <row r="56" spans="1:14" x14ac:dyDescent="0.3">
      <c r="A56" s="37" t="s">
        <v>62</v>
      </c>
      <c r="B56" s="18">
        <v>55000</v>
      </c>
      <c r="C56" s="18">
        <v>500</v>
      </c>
      <c r="D56" s="18">
        <v>1200</v>
      </c>
      <c r="E56" s="18">
        <v>9000</v>
      </c>
      <c r="F56" s="18">
        <v>7000</v>
      </c>
      <c r="G56" s="38"/>
      <c r="H56" s="3" t="s">
        <v>58</v>
      </c>
      <c r="I56" s="3">
        <f>HLOOKUP(H56,A54:F56,3,0)</f>
        <v>1200</v>
      </c>
      <c r="J56" s="38"/>
      <c r="K56" s="38"/>
      <c r="L56" s="38"/>
      <c r="M56" s="38"/>
      <c r="N56" s="7"/>
    </row>
    <row r="57" spans="1:14" x14ac:dyDescent="0.3">
      <c r="A57" s="37" t="s">
        <v>63</v>
      </c>
      <c r="B57" s="18">
        <v>25</v>
      </c>
      <c r="C57" s="18">
        <v>150</v>
      </c>
      <c r="D57" s="18">
        <v>80</v>
      </c>
      <c r="E57" s="18">
        <v>40</v>
      </c>
      <c r="F57" s="18">
        <v>35</v>
      </c>
      <c r="G57" s="38"/>
      <c r="H57" s="38"/>
      <c r="I57" s="38"/>
      <c r="J57" s="38"/>
      <c r="K57" s="38"/>
      <c r="L57" s="38"/>
      <c r="M57" s="38"/>
      <c r="N57" s="7"/>
    </row>
    <row r="58" spans="1:14" x14ac:dyDescent="0.3">
      <c r="A58" s="8"/>
      <c r="B58" s="38"/>
      <c r="C58" s="38"/>
      <c r="D58" s="38"/>
      <c r="E58" s="38"/>
      <c r="F58" s="38"/>
      <c r="G58" s="38"/>
      <c r="H58" s="33" t="s">
        <v>71</v>
      </c>
      <c r="I58" s="33"/>
      <c r="J58" s="33"/>
      <c r="K58" s="33"/>
      <c r="L58" s="33"/>
      <c r="M58" s="33"/>
      <c r="N58" s="39"/>
    </row>
    <row r="59" spans="1:14" x14ac:dyDescent="0.3">
      <c r="A59" s="8"/>
      <c r="B59" s="38"/>
      <c r="C59" s="38"/>
      <c r="D59" s="38"/>
      <c r="E59" s="38"/>
      <c r="F59" s="38"/>
      <c r="G59" s="38"/>
      <c r="H59" s="32" t="s">
        <v>55</v>
      </c>
      <c r="I59" s="32" t="s">
        <v>63</v>
      </c>
      <c r="J59" s="38"/>
      <c r="K59" s="38"/>
      <c r="L59" s="38"/>
      <c r="M59" s="38"/>
      <c r="N59" s="7"/>
    </row>
    <row r="60" spans="1:14" x14ac:dyDescent="0.3">
      <c r="A60" s="8"/>
      <c r="B60" s="38"/>
      <c r="C60" s="38"/>
      <c r="D60" s="38"/>
      <c r="E60" s="38"/>
      <c r="F60" s="38"/>
      <c r="G60" s="38"/>
      <c r="H60" s="3" t="s">
        <v>59</v>
      </c>
      <c r="I60" s="3">
        <f>HLOOKUP(H60,A54:F57,4,0)</f>
        <v>40</v>
      </c>
      <c r="J60" s="38"/>
      <c r="K60" s="38"/>
      <c r="L60" s="38"/>
      <c r="M60" s="38"/>
      <c r="N60" s="7"/>
    </row>
    <row r="61" spans="1:14" x14ac:dyDescent="0.3">
      <c r="A61" s="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7"/>
    </row>
    <row r="62" spans="1:14" ht="13.8" customHeight="1" x14ac:dyDescent="0.3">
      <c r="A62" s="8"/>
      <c r="B62" s="38"/>
      <c r="C62" s="38"/>
      <c r="D62" s="38"/>
      <c r="E62" s="38"/>
      <c r="F62" s="38"/>
      <c r="G62" s="38"/>
      <c r="H62" s="33" t="s">
        <v>72</v>
      </c>
      <c r="I62" s="33"/>
      <c r="J62" s="33"/>
      <c r="K62" s="33"/>
      <c r="L62" s="33"/>
      <c r="M62" s="33"/>
      <c r="N62" s="39"/>
    </row>
    <row r="63" spans="1:14" x14ac:dyDescent="0.3">
      <c r="A63" s="8"/>
      <c r="B63" s="38"/>
      <c r="C63" s="38"/>
      <c r="D63" s="38"/>
      <c r="E63" s="38"/>
      <c r="F63" s="38"/>
      <c r="G63" s="38"/>
      <c r="H63" s="32" t="s">
        <v>55</v>
      </c>
      <c r="I63" s="32" t="s">
        <v>61</v>
      </c>
      <c r="J63" s="38"/>
      <c r="K63" s="38"/>
      <c r="L63" s="38"/>
      <c r="M63" s="38"/>
      <c r="N63" s="7"/>
    </row>
    <row r="64" spans="1:14" x14ac:dyDescent="0.3">
      <c r="A64" s="8"/>
      <c r="B64" s="38"/>
      <c r="C64" s="38"/>
      <c r="D64" s="38"/>
      <c r="E64" s="38"/>
      <c r="F64" s="38"/>
      <c r="G64" s="38"/>
      <c r="H64" s="3" t="s">
        <v>56</v>
      </c>
      <c r="I64" s="3" t="str">
        <f>HLOOKUP(H64,A54:F55,2,0)</f>
        <v>Laptop</v>
      </c>
      <c r="J64" s="38"/>
      <c r="K64" s="38"/>
      <c r="L64" s="38"/>
      <c r="M64" s="38"/>
      <c r="N64" s="7"/>
    </row>
    <row r="65" spans="1:14" x14ac:dyDescent="0.3">
      <c r="A65" s="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7"/>
    </row>
    <row r="66" spans="1:14" x14ac:dyDescent="0.3">
      <c r="A66" s="8"/>
      <c r="B66" s="38"/>
      <c r="C66" s="38"/>
      <c r="D66" s="38"/>
      <c r="E66" s="38"/>
      <c r="F66" s="38"/>
      <c r="G66" s="38"/>
      <c r="H66" s="26" t="s">
        <v>73</v>
      </c>
      <c r="I66" s="27"/>
      <c r="J66" s="27"/>
      <c r="K66" s="27"/>
      <c r="L66" s="27"/>
      <c r="M66" s="27"/>
      <c r="N66" s="28"/>
    </row>
    <row r="67" spans="1:14" x14ac:dyDescent="0.3">
      <c r="A67" s="8"/>
      <c r="B67" s="38"/>
      <c r="C67" s="38"/>
      <c r="D67" s="38"/>
      <c r="E67" s="38"/>
      <c r="F67" s="38"/>
      <c r="G67" s="38"/>
      <c r="H67" s="15" t="s">
        <v>74</v>
      </c>
      <c r="I67" s="16" t="s">
        <v>62</v>
      </c>
      <c r="J67" s="38"/>
      <c r="K67" s="38"/>
      <c r="L67" s="38"/>
      <c r="M67" s="38"/>
      <c r="N67" s="7"/>
    </row>
    <row r="68" spans="1:14" x14ac:dyDescent="0.3">
      <c r="A68" s="8"/>
      <c r="B68" s="38"/>
      <c r="C68" s="38"/>
      <c r="D68" s="38"/>
      <c r="E68" s="38"/>
      <c r="F68" s="38"/>
      <c r="G68" s="38"/>
      <c r="H68" s="4" t="s">
        <v>59</v>
      </c>
      <c r="I68" s="5">
        <f>HLOOKUP(H68,A54:F56,3,FALSE)</f>
        <v>9000</v>
      </c>
      <c r="J68" s="38"/>
      <c r="K68" s="38"/>
      <c r="L68" s="38"/>
      <c r="M68" s="38"/>
      <c r="N68" s="7"/>
    </row>
    <row r="69" spans="1:14" x14ac:dyDescent="0.3">
      <c r="A69" s="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7"/>
    </row>
    <row r="70" spans="1:14" x14ac:dyDescent="0.3">
      <c r="A70" s="8"/>
      <c r="B70" s="38"/>
      <c r="C70" s="38"/>
      <c r="D70" s="38"/>
      <c r="E70" s="38"/>
      <c r="F70" s="38"/>
      <c r="G70" s="38"/>
      <c r="H70" s="26" t="s">
        <v>75</v>
      </c>
      <c r="I70" s="27"/>
      <c r="J70" s="27"/>
      <c r="K70" s="27"/>
      <c r="L70" s="27"/>
      <c r="M70" s="27"/>
      <c r="N70" s="28"/>
    </row>
    <row r="71" spans="1:14" x14ac:dyDescent="0.3">
      <c r="A71" s="8"/>
      <c r="B71" s="38"/>
      <c r="C71" s="38"/>
      <c r="D71" s="38"/>
      <c r="E71" s="38"/>
      <c r="F71" s="38"/>
      <c r="G71" s="38"/>
      <c r="H71" s="15" t="s">
        <v>74</v>
      </c>
      <c r="I71" s="16" t="s">
        <v>63</v>
      </c>
      <c r="J71" s="38"/>
      <c r="K71" s="38"/>
      <c r="L71" s="38"/>
      <c r="M71" s="38"/>
      <c r="N71" s="7"/>
    </row>
    <row r="72" spans="1:14" ht="15" thickBot="1" x14ac:dyDescent="0.35">
      <c r="A72" s="9"/>
      <c r="B72" s="10"/>
      <c r="C72" s="10"/>
      <c r="D72" s="10"/>
      <c r="E72" s="10"/>
      <c r="F72" s="10"/>
      <c r="G72" s="10"/>
      <c r="H72" s="11" t="s">
        <v>59</v>
      </c>
      <c r="I72" s="12">
        <f>HLOOKUP(H72,A54:F57,4,FALSE)</f>
        <v>40</v>
      </c>
      <c r="J72" s="10"/>
      <c r="K72" s="10"/>
      <c r="L72" s="10"/>
      <c r="M72" s="10"/>
      <c r="N72" s="13"/>
    </row>
    <row r="73" spans="1:14" x14ac:dyDescent="0.3">
      <c r="A73" s="8"/>
      <c r="H73" s="40"/>
      <c r="I73" s="40"/>
      <c r="J73" s="41"/>
      <c r="K73" s="41"/>
      <c r="L73" s="41"/>
      <c r="M73" s="41"/>
      <c r="N73" s="41"/>
    </row>
  </sheetData>
  <mergeCells count="20">
    <mergeCell ref="H45:N45"/>
    <mergeCell ref="H49:N49"/>
    <mergeCell ref="H66:N66"/>
    <mergeCell ref="H70:N70"/>
    <mergeCell ref="H39:N39"/>
    <mergeCell ref="H42:N42"/>
    <mergeCell ref="H2:N2"/>
    <mergeCell ref="H5:N5"/>
    <mergeCell ref="H8:N8"/>
    <mergeCell ref="H11:N11"/>
    <mergeCell ref="H62:N62"/>
    <mergeCell ref="H31:N31"/>
    <mergeCell ref="H35:N35"/>
    <mergeCell ref="H54:N54"/>
    <mergeCell ref="H58:N58"/>
    <mergeCell ref="H14:N14"/>
    <mergeCell ref="H18:N18"/>
    <mergeCell ref="H22:N22"/>
    <mergeCell ref="H25:N25"/>
    <mergeCell ref="H28:N2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2015-06-05T18:17:20Z</dcterms:created>
  <dcterms:modified xsi:type="dcterms:W3CDTF">2026-08-10T13:08:28Z</dcterms:modified>
</cp:coreProperties>
</file>