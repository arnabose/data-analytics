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b\Documents\Anudip-Data Analytics\Excel\Homework\"/>
    </mc:Choice>
  </mc:AlternateContent>
  <xr:revisionPtr revIDLastSave="0" documentId="13_ncr:1_{E24FB161-075F-45AD-B000-D2080AAB5954}" xr6:coauthVersionLast="47" xr6:coauthVersionMax="47" xr10:uidLastSave="{00000000-0000-0000-0000-000000000000}"/>
  <bookViews>
    <workbookView xWindow="-108" yWindow="-108" windowWidth="23256" windowHeight="12456" xr2:uid="{A80F5E7C-5B8E-4DAE-AED8-FFE90A997FBF}"/>
  </bookViews>
  <sheets>
    <sheet name="Sheet1" sheetId="1" r:id="rId1"/>
  </sheets>
  <definedNames>
    <definedName name="product">Sheet1!$A$1:$F$9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5" i="1" l="1"/>
  <c r="H25" i="1"/>
  <c r="H26" i="1"/>
  <c r="H27" i="1"/>
  <c r="H28" i="1"/>
  <c r="H29" i="1"/>
  <c r="H30" i="1"/>
  <c r="H31" i="1"/>
  <c r="H24" i="1"/>
  <c r="K58" i="1"/>
  <c r="K59" i="1"/>
  <c r="K60" i="1"/>
  <c r="K61" i="1"/>
  <c r="K62" i="1"/>
  <c r="K63" i="1"/>
  <c r="K64" i="1"/>
  <c r="K57" i="1"/>
  <c r="G64" i="1"/>
  <c r="G63" i="1"/>
  <c r="G62" i="1"/>
  <c r="G61" i="1"/>
  <c r="H61" i="1" s="1"/>
  <c r="G60" i="1"/>
  <c r="G59" i="1"/>
  <c r="H59" i="1" s="1"/>
  <c r="G58" i="1"/>
  <c r="G57" i="1"/>
  <c r="J47" i="1"/>
  <c r="J48" i="1"/>
  <c r="J49" i="1"/>
  <c r="J50" i="1"/>
  <c r="J51" i="1"/>
  <c r="J52" i="1"/>
  <c r="J53" i="1"/>
  <c r="J46" i="1"/>
  <c r="G53" i="1"/>
  <c r="G52" i="1"/>
  <c r="H52" i="1" s="1"/>
  <c r="H51" i="1"/>
  <c r="I51" i="1" s="1"/>
  <c r="G51" i="1"/>
  <c r="G50" i="1"/>
  <c r="G49" i="1"/>
  <c r="H49" i="1" s="1"/>
  <c r="I48" i="1"/>
  <c r="H48" i="1"/>
  <c r="G48" i="1"/>
  <c r="G47" i="1"/>
  <c r="H47" i="1" s="1"/>
  <c r="G46" i="1"/>
  <c r="I36" i="1"/>
  <c r="I37" i="1"/>
  <c r="I38" i="1"/>
  <c r="I39" i="1"/>
  <c r="I40" i="1"/>
  <c r="I41" i="1"/>
  <c r="I42" i="1"/>
  <c r="H42" i="1"/>
  <c r="G42" i="1"/>
  <c r="G41" i="1"/>
  <c r="H41" i="1" s="1"/>
  <c r="G40" i="1"/>
  <c r="H40" i="1" s="1"/>
  <c r="G39" i="1"/>
  <c r="H39" i="1" s="1"/>
  <c r="H38" i="1"/>
  <c r="G38" i="1"/>
  <c r="G37" i="1"/>
  <c r="H37" i="1" s="1"/>
  <c r="H36" i="1"/>
  <c r="G36" i="1"/>
  <c r="G35" i="1"/>
  <c r="H35" i="1" s="1"/>
  <c r="G31" i="1"/>
  <c r="G30" i="1"/>
  <c r="G29" i="1"/>
  <c r="G28" i="1"/>
  <c r="G27" i="1"/>
  <c r="G26" i="1"/>
  <c r="G25" i="1"/>
  <c r="G24" i="1"/>
  <c r="G14" i="1"/>
  <c r="G15" i="1"/>
  <c r="G16" i="1"/>
  <c r="G17" i="1"/>
  <c r="G18" i="1"/>
  <c r="G19" i="1"/>
  <c r="G20" i="1"/>
  <c r="G13" i="1"/>
  <c r="H57" i="1" l="1"/>
  <c r="I57" i="1" s="1"/>
  <c r="J57" i="1" s="1"/>
  <c r="H63" i="1"/>
  <c r="I63" i="1" s="1"/>
  <c r="J63" i="1" s="1"/>
  <c r="I59" i="1"/>
  <c r="J59" i="1" s="1"/>
  <c r="I61" i="1"/>
  <c r="J61" i="1" s="1"/>
  <c r="H58" i="1"/>
  <c r="I58" i="1" s="1"/>
  <c r="J58" i="1" s="1"/>
  <c r="H60" i="1"/>
  <c r="I60" i="1" s="1"/>
  <c r="J60" i="1" s="1"/>
  <c r="H62" i="1"/>
  <c r="I62" i="1" s="1"/>
  <c r="J62" i="1" s="1"/>
  <c r="H64" i="1"/>
  <c r="I64" i="1" s="1"/>
  <c r="J64" i="1" s="1"/>
  <c r="I49" i="1"/>
  <c r="I52" i="1"/>
  <c r="H46" i="1"/>
  <c r="I46" i="1" s="1"/>
  <c r="I47" i="1"/>
  <c r="H50" i="1"/>
  <c r="I50" i="1" s="1"/>
  <c r="H53" i="1"/>
  <c r="I53" i="1" s="1"/>
</calcChain>
</file>

<file path=xl/sharedStrings.xml><?xml version="1.0" encoding="utf-8"?>
<sst xmlns="http://schemas.openxmlformats.org/spreadsheetml/2006/main" count="154" uniqueCount="29">
  <si>
    <t>Order ID</t>
  </si>
  <si>
    <t>Product</t>
  </si>
  <si>
    <t>Price</t>
  </si>
  <si>
    <t>Quantity</t>
  </si>
  <si>
    <t>Discount %</t>
  </si>
  <si>
    <t>Total Price</t>
  </si>
  <si>
    <t>Sales Person</t>
  </si>
  <si>
    <t>Company Tax</t>
  </si>
  <si>
    <t>Shipping Charge</t>
  </si>
  <si>
    <t>Pen</t>
  </si>
  <si>
    <t>Pencil</t>
  </si>
  <si>
    <t>Notebook</t>
  </si>
  <si>
    <t>Eraser</t>
  </si>
  <si>
    <t>Marker</t>
  </si>
  <si>
    <t>Scale</t>
  </si>
  <si>
    <t>Sharpner</t>
  </si>
  <si>
    <t>File</t>
  </si>
  <si>
    <t>Amit</t>
  </si>
  <si>
    <t>Riya</t>
  </si>
  <si>
    <t>John</t>
  </si>
  <si>
    <t>Q1. Find the total price of each item.         (=C13*D13)</t>
  </si>
  <si>
    <t>Discount Amount</t>
  </si>
  <si>
    <t>Price After Discount</t>
  </si>
  <si>
    <t>Tax Amount</t>
  </si>
  <si>
    <t>Q4. Find the Tax amount.         (=I46*M$1)</t>
  </si>
  <si>
    <t>Total Bill</t>
  </si>
  <si>
    <t>Q5. Find the Total Bill including shipping charge.     (=I57+J57+M$2)</t>
  </si>
  <si>
    <t>Q2. Find the discount amount.         (=G24*E24)</t>
  </si>
  <si>
    <t>Q3. Find the price after discount.         (=G35-H35)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</si>
</sst>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AA72D4"/>
        <bgColor indexed="64"/>
      </patternFill>
    </fill>
    <fill>
      <patternFill patternType="solid">
        <fgColor rgb="FFDEC8EE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1" xfId="0" applyFill="1" applyBorder="1"/>
    <xf numFmtId="9" fontId="0" fillId="3" borderId="1" xfId="0" applyNumberFormat="1" applyFill="1" applyBorder="1"/>
    <xf numFmtId="9" fontId="1" fillId="2" borderId="1" xfId="0" applyNumberFormat="1" applyFont="1" applyFill="1" applyBorder="1"/>
    <xf numFmtId="0" fontId="1" fillId="5" borderId="1" xfId="0" applyFont="1" applyFill="1" applyBorder="1"/>
    <xf numFmtId="0" fontId="0" fillId="4" borderId="1" xfId="0" applyFill="1" applyBorder="1"/>
    <xf numFmtId="0" fontId="1" fillId="6" borderId="1" xfId="0" applyFont="1" applyFill="1" applyBorder="1"/>
    <xf numFmtId="0" fontId="0" fillId="7" borderId="1" xfId="0" applyFill="1" applyBorder="1"/>
    <xf numFmtId="0" fontId="1" fillId="9" borderId="1" xfId="0" applyFont="1" applyFill="1" applyBorder="1"/>
    <xf numFmtId="0" fontId="0" fillId="8" borderId="1" xfId="0" applyFill="1" applyBorder="1"/>
    <xf numFmtId="0" fontId="1" fillId="10" borderId="1" xfId="0" applyFont="1" applyFill="1" applyBorder="1"/>
    <xf numFmtId="0" fontId="0" fillId="11" borderId="1" xfId="0" applyFill="1" applyBorder="1"/>
    <xf numFmtId="0" fontId="1" fillId="12" borderId="1" xfId="0" applyFont="1" applyFill="1" applyBorder="1"/>
    <xf numFmtId="0" fontId="0" fillId="13" borderId="1" xfId="0" applyFill="1" applyBorder="1"/>
    <xf numFmtId="0" fontId="1" fillId="0" borderId="0" xfId="0" applyFont="1"/>
    <xf numFmtId="0" fontId="0" fillId="0" borderId="0" xfId="0"/>
    <xf numFmtId="0" fontId="1" fillId="12" borderId="1" xfId="0" applyFont="1" applyFill="1" applyBorder="1"/>
    <xf numFmtId="0" fontId="1" fillId="10" borderId="2" xfId="0" applyFont="1" applyFill="1" applyBorder="1"/>
    <xf numFmtId="0" fontId="1" fillId="10" borderId="3" xfId="0" applyFont="1" applyFill="1" applyBorder="1"/>
    <xf numFmtId="0" fontId="1" fillId="10" borderId="4" xfId="0" applyFont="1" applyFill="1" applyBorder="1"/>
    <xf numFmtId="0" fontId="1" fillId="9" borderId="2" xfId="0" applyFont="1" applyFill="1" applyBorder="1"/>
    <xf numFmtId="0" fontId="0" fillId="9" borderId="3" xfId="0" applyFill="1" applyBorder="1"/>
    <xf numFmtId="0" fontId="0" fillId="9" borderId="4" xfId="0" applyFill="1" applyBorder="1"/>
    <xf numFmtId="0" fontId="1" fillId="5" borderId="2" xfId="0" applyFont="1" applyFill="1" applyBorder="1" applyAlignment="1"/>
    <xf numFmtId="0" fontId="1" fillId="5" borderId="3" xfId="0" applyFont="1" applyFill="1" applyBorder="1" applyAlignment="1"/>
    <xf numFmtId="0" fontId="1" fillId="5" borderId="4" xfId="0" applyFont="1" applyFill="1" applyBorder="1" applyAlignment="1"/>
    <xf numFmtId="0" fontId="1" fillId="6" borderId="5" xfId="0" applyFont="1" applyFill="1" applyBorder="1"/>
    <xf numFmtId="0" fontId="0" fillId="6" borderId="6" xfId="0" applyFill="1" applyBorder="1"/>
    <xf numFmtId="0" fontId="0" fillId="6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A72D4"/>
      <color rgb="FFDEC8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6D432-CAF2-430B-BF66-2EED9BFEB110}">
  <dimension ref="A1:M64"/>
  <sheetViews>
    <sheetView tabSelected="1" topLeftCell="A35" workbookViewId="0">
      <selection activeCell="H9" sqref="H9"/>
    </sheetView>
  </sheetViews>
  <sheetFormatPr defaultRowHeight="14.4" x14ac:dyDescent="0.3"/>
  <cols>
    <col min="1" max="1" width="8" bestFit="1" customWidth="1"/>
    <col min="2" max="2" width="9.21875" bestFit="1" customWidth="1"/>
    <col min="3" max="3" width="5.109375" bestFit="1" customWidth="1"/>
    <col min="4" max="4" width="8.33203125" bestFit="1" customWidth="1"/>
    <col min="5" max="5" width="10.21875" bestFit="1" customWidth="1"/>
    <col min="6" max="6" width="11.44140625" bestFit="1" customWidth="1"/>
    <col min="7" max="7" width="9.77734375" bestFit="1" customWidth="1"/>
    <col min="8" max="8" width="15.77734375" bestFit="1" customWidth="1"/>
    <col min="9" max="9" width="17.77734375" bestFit="1" customWidth="1"/>
    <col min="10" max="10" width="11.21875" bestFit="1" customWidth="1"/>
    <col min="11" max="11" width="8.109375" bestFit="1" customWidth="1"/>
    <col min="12" max="12" width="14.77734375" bestFit="1" customWidth="1"/>
    <col min="13" max="13" width="4.4414062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1"/>
      <c r="J1" s="1"/>
      <c r="K1" s="1"/>
      <c r="L1" s="2" t="s">
        <v>7</v>
      </c>
      <c r="M1" s="5">
        <v>0.18</v>
      </c>
    </row>
    <row r="2" spans="1:13" x14ac:dyDescent="0.3">
      <c r="A2" s="3">
        <v>1001</v>
      </c>
      <c r="B2" s="3" t="s">
        <v>9</v>
      </c>
      <c r="C2" s="3">
        <v>10</v>
      </c>
      <c r="D2" s="3">
        <v>5</v>
      </c>
      <c r="E2" s="4">
        <v>0.05</v>
      </c>
      <c r="F2" s="3" t="s">
        <v>17</v>
      </c>
      <c r="L2" s="2" t="s">
        <v>8</v>
      </c>
      <c r="M2" s="2">
        <v>20</v>
      </c>
    </row>
    <row r="3" spans="1:13" x14ac:dyDescent="0.3">
      <c r="A3" s="3">
        <v>1002</v>
      </c>
      <c r="B3" s="3" t="s">
        <v>10</v>
      </c>
      <c r="C3" s="3">
        <v>5</v>
      </c>
      <c r="D3" s="3">
        <v>10</v>
      </c>
      <c r="E3" s="4">
        <v>0</v>
      </c>
      <c r="F3" s="3" t="s">
        <v>18</v>
      </c>
    </row>
    <row r="4" spans="1:13" x14ac:dyDescent="0.3">
      <c r="A4" s="3">
        <v>1003</v>
      </c>
      <c r="B4" s="3" t="s">
        <v>11</v>
      </c>
      <c r="C4" s="3">
        <v>50</v>
      </c>
      <c r="D4" s="3">
        <v>3</v>
      </c>
      <c r="E4" s="4">
        <v>0.1</v>
      </c>
      <c r="F4" s="3" t="s">
        <v>19</v>
      </c>
    </row>
    <row r="5" spans="1:13" x14ac:dyDescent="0.3">
      <c r="A5" s="3">
        <v>1004</v>
      </c>
      <c r="B5" s="3" t="s">
        <v>12</v>
      </c>
      <c r="C5" s="3">
        <v>3</v>
      </c>
      <c r="D5" s="3">
        <v>20</v>
      </c>
      <c r="E5" s="4">
        <v>0</v>
      </c>
      <c r="F5" s="3" t="s">
        <v>17</v>
      </c>
    </row>
    <row r="6" spans="1:13" x14ac:dyDescent="0.3">
      <c r="A6" s="3">
        <v>1005</v>
      </c>
      <c r="B6" s="3" t="s">
        <v>13</v>
      </c>
      <c r="C6" s="3">
        <v>25</v>
      </c>
      <c r="D6" s="3">
        <v>4</v>
      </c>
      <c r="E6" s="4">
        <v>0.05</v>
      </c>
      <c r="F6" s="3" t="s">
        <v>18</v>
      </c>
    </row>
    <row r="7" spans="1:13" x14ac:dyDescent="0.3">
      <c r="A7" s="3">
        <v>1006</v>
      </c>
      <c r="B7" s="3" t="s">
        <v>14</v>
      </c>
      <c r="C7" s="3">
        <v>15</v>
      </c>
      <c r="D7" s="3">
        <v>6</v>
      </c>
      <c r="E7" s="4">
        <v>0</v>
      </c>
      <c r="F7" s="3" t="s">
        <v>19</v>
      </c>
    </row>
    <row r="8" spans="1:13" x14ac:dyDescent="0.3">
      <c r="A8" s="3">
        <v>1007</v>
      </c>
      <c r="B8" s="3" t="s">
        <v>15</v>
      </c>
      <c r="C8" s="3">
        <v>8</v>
      </c>
      <c r="D8" s="3">
        <v>8</v>
      </c>
      <c r="E8" s="4">
        <v>0.05</v>
      </c>
      <c r="F8" s="3" t="s">
        <v>17</v>
      </c>
    </row>
    <row r="9" spans="1:13" x14ac:dyDescent="0.3">
      <c r="A9" s="3">
        <v>1008</v>
      </c>
      <c r="B9" s="3" t="s">
        <v>16</v>
      </c>
      <c r="C9" s="3">
        <v>40</v>
      </c>
      <c r="D9" s="3">
        <v>2</v>
      </c>
      <c r="E9" s="4">
        <v>0.1</v>
      </c>
      <c r="F9" s="3" t="s">
        <v>18</v>
      </c>
    </row>
    <row r="11" spans="1:13" x14ac:dyDescent="0.3">
      <c r="A11" s="28" t="s">
        <v>20</v>
      </c>
      <c r="B11" s="29"/>
      <c r="C11" s="29"/>
      <c r="D11" s="29"/>
      <c r="E11" s="29"/>
      <c r="F11" s="29"/>
      <c r="G11" s="30"/>
    </row>
    <row r="12" spans="1:13" x14ac:dyDescent="0.3">
      <c r="A12" s="2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6</v>
      </c>
      <c r="G12" s="8" t="s">
        <v>5</v>
      </c>
    </row>
    <row r="13" spans="1:13" x14ac:dyDescent="0.3">
      <c r="A13" s="3">
        <v>1001</v>
      </c>
      <c r="B13" s="3" t="s">
        <v>9</v>
      </c>
      <c r="C13" s="3">
        <v>10</v>
      </c>
      <c r="D13" s="3">
        <v>5</v>
      </c>
      <c r="E13" s="4">
        <v>0.05</v>
      </c>
      <c r="F13" s="3" t="s">
        <v>17</v>
      </c>
      <c r="G13" s="9">
        <f>C13*D13</f>
        <v>50</v>
      </c>
    </row>
    <row r="14" spans="1:13" x14ac:dyDescent="0.3">
      <c r="A14" s="3">
        <v>1002</v>
      </c>
      <c r="B14" s="3" t="s">
        <v>10</v>
      </c>
      <c r="C14" s="3">
        <v>5</v>
      </c>
      <c r="D14" s="3">
        <v>10</v>
      </c>
      <c r="E14" s="4">
        <v>0</v>
      </c>
      <c r="F14" s="3" t="s">
        <v>18</v>
      </c>
      <c r="G14" s="9">
        <f t="shared" ref="G14:G20" si="0">C14*D14</f>
        <v>50</v>
      </c>
    </row>
    <row r="15" spans="1:13" x14ac:dyDescent="0.3">
      <c r="A15" s="3">
        <v>1003</v>
      </c>
      <c r="B15" s="3" t="s">
        <v>11</v>
      </c>
      <c r="C15" s="3">
        <v>50</v>
      </c>
      <c r="D15" s="3">
        <v>3</v>
      </c>
      <c r="E15" s="4">
        <v>0.1</v>
      </c>
      <c r="F15" s="3" t="s">
        <v>19</v>
      </c>
      <c r="G15" s="9">
        <f t="shared" si="0"/>
        <v>150</v>
      </c>
    </row>
    <row r="16" spans="1:13" x14ac:dyDescent="0.3">
      <c r="A16" s="3">
        <v>1004</v>
      </c>
      <c r="B16" s="3" t="s">
        <v>12</v>
      </c>
      <c r="C16" s="3">
        <v>3</v>
      </c>
      <c r="D16" s="3">
        <v>0</v>
      </c>
      <c r="E16" s="4">
        <v>0</v>
      </c>
      <c r="F16" s="3" t="s">
        <v>17</v>
      </c>
      <c r="G16" s="9">
        <f t="shared" si="0"/>
        <v>0</v>
      </c>
    </row>
    <row r="17" spans="1:9" x14ac:dyDescent="0.3">
      <c r="A17" s="3">
        <v>1005</v>
      </c>
      <c r="B17" s="3" t="s">
        <v>13</v>
      </c>
      <c r="C17" s="3">
        <v>25</v>
      </c>
      <c r="D17" s="3">
        <v>4</v>
      </c>
      <c r="E17" s="4">
        <v>0.05</v>
      </c>
      <c r="F17" s="3" t="s">
        <v>18</v>
      </c>
      <c r="G17" s="9">
        <f t="shared" si="0"/>
        <v>100</v>
      </c>
    </row>
    <row r="18" spans="1:9" x14ac:dyDescent="0.3">
      <c r="A18" s="3">
        <v>1006</v>
      </c>
      <c r="B18" s="3" t="s">
        <v>14</v>
      </c>
      <c r="C18" s="3">
        <v>15</v>
      </c>
      <c r="D18" s="3">
        <v>6</v>
      </c>
      <c r="E18" s="4">
        <v>0</v>
      </c>
      <c r="F18" s="3" t="s">
        <v>19</v>
      </c>
      <c r="G18" s="9">
        <f t="shared" si="0"/>
        <v>90</v>
      </c>
    </row>
    <row r="19" spans="1:9" x14ac:dyDescent="0.3">
      <c r="A19" s="3">
        <v>1007</v>
      </c>
      <c r="B19" s="3" t="s">
        <v>15</v>
      </c>
      <c r="C19" s="3">
        <v>8</v>
      </c>
      <c r="D19" s="3">
        <v>8</v>
      </c>
      <c r="E19" s="4">
        <v>0.05</v>
      </c>
      <c r="F19" s="3" t="s">
        <v>17</v>
      </c>
      <c r="G19" s="9">
        <f t="shared" si="0"/>
        <v>64</v>
      </c>
    </row>
    <row r="20" spans="1:9" x14ac:dyDescent="0.3">
      <c r="A20" s="3">
        <v>1008</v>
      </c>
      <c r="B20" s="3" t="s">
        <v>16</v>
      </c>
      <c r="C20" s="3">
        <v>40</v>
      </c>
      <c r="D20" s="3">
        <v>2</v>
      </c>
      <c r="E20" s="4">
        <v>0.1</v>
      </c>
      <c r="F20" s="3" t="s">
        <v>18</v>
      </c>
      <c r="G20" s="9">
        <f t="shared" si="0"/>
        <v>80</v>
      </c>
    </row>
    <row r="22" spans="1:9" x14ac:dyDescent="0.3">
      <c r="A22" s="25" t="s">
        <v>27</v>
      </c>
      <c r="B22" s="26"/>
      <c r="C22" s="26"/>
      <c r="D22" s="26"/>
      <c r="E22" s="26"/>
      <c r="F22" s="26"/>
      <c r="G22" s="26"/>
      <c r="H22" s="27"/>
    </row>
    <row r="23" spans="1:9" x14ac:dyDescent="0.3">
      <c r="A23" s="2" t="s">
        <v>0</v>
      </c>
      <c r="B23" s="2" t="s">
        <v>1</v>
      </c>
      <c r="C23" s="2" t="s">
        <v>2</v>
      </c>
      <c r="D23" s="2" t="s">
        <v>3</v>
      </c>
      <c r="E23" s="2" t="s">
        <v>4</v>
      </c>
      <c r="F23" s="2" t="s">
        <v>6</v>
      </c>
      <c r="G23" s="8" t="s">
        <v>5</v>
      </c>
      <c r="H23" s="6" t="s">
        <v>21</v>
      </c>
    </row>
    <row r="24" spans="1:9" x14ac:dyDescent="0.3">
      <c r="A24" s="3">
        <v>1001</v>
      </c>
      <c r="B24" s="3" t="s">
        <v>9</v>
      </c>
      <c r="C24" s="3">
        <v>10</v>
      </c>
      <c r="D24" s="3">
        <v>5</v>
      </c>
      <c r="E24" s="4">
        <v>0.05</v>
      </c>
      <c r="F24" s="3" t="s">
        <v>17</v>
      </c>
      <c r="G24" s="9">
        <f>C24*D24</f>
        <v>50</v>
      </c>
      <c r="H24" s="7">
        <f>G24*E24</f>
        <v>2.5</v>
      </c>
    </row>
    <row r="25" spans="1:9" x14ac:dyDescent="0.3">
      <c r="A25" s="3">
        <v>1002</v>
      </c>
      <c r="B25" s="3" t="s">
        <v>10</v>
      </c>
      <c r="C25" s="3">
        <v>5</v>
      </c>
      <c r="D25" s="3">
        <v>10</v>
      </c>
      <c r="E25" s="4">
        <v>0</v>
      </c>
      <c r="F25" s="3" t="s">
        <v>18</v>
      </c>
      <c r="G25" s="9">
        <f t="shared" ref="G25:G31" si="1">C25*D25</f>
        <v>50</v>
      </c>
      <c r="H25" s="7">
        <f t="shared" ref="H25:H31" si="2">G25*E25</f>
        <v>0</v>
      </c>
    </row>
    <row r="26" spans="1:9" x14ac:dyDescent="0.3">
      <c r="A26" s="3">
        <v>1003</v>
      </c>
      <c r="B26" s="3" t="s">
        <v>11</v>
      </c>
      <c r="C26" s="3">
        <v>50</v>
      </c>
      <c r="D26" s="3">
        <v>3</v>
      </c>
      <c r="E26" s="4">
        <v>0.1</v>
      </c>
      <c r="F26" s="3" t="s">
        <v>19</v>
      </c>
      <c r="G26" s="9">
        <f t="shared" si="1"/>
        <v>150</v>
      </c>
      <c r="H26" s="7">
        <f t="shared" si="2"/>
        <v>15</v>
      </c>
    </row>
    <row r="27" spans="1:9" x14ac:dyDescent="0.3">
      <c r="A27" s="3">
        <v>1004</v>
      </c>
      <c r="B27" s="3" t="s">
        <v>12</v>
      </c>
      <c r="C27" s="3">
        <v>3</v>
      </c>
      <c r="D27" s="3">
        <v>20</v>
      </c>
      <c r="E27" s="4">
        <v>0</v>
      </c>
      <c r="F27" s="3" t="s">
        <v>17</v>
      </c>
      <c r="G27" s="9">
        <f t="shared" si="1"/>
        <v>60</v>
      </c>
      <c r="H27" s="7">
        <f t="shared" si="2"/>
        <v>0</v>
      </c>
    </row>
    <row r="28" spans="1:9" x14ac:dyDescent="0.3">
      <c r="A28" s="3">
        <v>1005</v>
      </c>
      <c r="B28" s="3" t="s">
        <v>13</v>
      </c>
      <c r="C28" s="3">
        <v>25</v>
      </c>
      <c r="D28" s="3">
        <v>4</v>
      </c>
      <c r="E28" s="4">
        <v>0.05</v>
      </c>
      <c r="F28" s="3" t="s">
        <v>18</v>
      </c>
      <c r="G28" s="9">
        <f t="shared" si="1"/>
        <v>100</v>
      </c>
      <c r="H28" s="7">
        <f t="shared" si="2"/>
        <v>5</v>
      </c>
    </row>
    <row r="29" spans="1:9" x14ac:dyDescent="0.3">
      <c r="A29" s="3">
        <v>1006</v>
      </c>
      <c r="B29" s="3" t="s">
        <v>14</v>
      </c>
      <c r="C29" s="3">
        <v>15</v>
      </c>
      <c r="D29" s="3">
        <v>6</v>
      </c>
      <c r="E29" s="4">
        <v>0</v>
      </c>
      <c r="F29" s="3" t="s">
        <v>19</v>
      </c>
      <c r="G29" s="9">
        <f t="shared" si="1"/>
        <v>90</v>
      </c>
      <c r="H29" s="7">
        <f t="shared" si="2"/>
        <v>0</v>
      </c>
    </row>
    <row r="30" spans="1:9" x14ac:dyDescent="0.3">
      <c r="A30" s="3">
        <v>1007</v>
      </c>
      <c r="B30" s="3" t="s">
        <v>15</v>
      </c>
      <c r="C30" s="3">
        <v>8</v>
      </c>
      <c r="D30" s="3">
        <v>8</v>
      </c>
      <c r="E30" s="4">
        <v>0.05</v>
      </c>
      <c r="F30" s="3" t="s">
        <v>17</v>
      </c>
      <c r="G30" s="9">
        <f t="shared" si="1"/>
        <v>64</v>
      </c>
      <c r="H30" s="7">
        <f t="shared" si="2"/>
        <v>3.2</v>
      </c>
    </row>
    <row r="31" spans="1:9" x14ac:dyDescent="0.3">
      <c r="A31" s="3">
        <v>1008</v>
      </c>
      <c r="B31" s="3" t="s">
        <v>16</v>
      </c>
      <c r="C31" s="3">
        <v>40</v>
      </c>
      <c r="D31" s="3">
        <v>2</v>
      </c>
      <c r="E31" s="4">
        <v>0.1</v>
      </c>
      <c r="F31" s="3" t="s">
        <v>18</v>
      </c>
      <c r="G31" s="9">
        <f t="shared" si="1"/>
        <v>80</v>
      </c>
      <c r="H31" s="7">
        <f t="shared" si="2"/>
        <v>8</v>
      </c>
    </row>
    <row r="32" spans="1:9" x14ac:dyDescent="0.3">
      <c r="C32" s="16"/>
      <c r="D32" s="17"/>
      <c r="E32" s="17"/>
      <c r="F32" s="17"/>
      <c r="G32" s="17"/>
      <c r="H32" s="17"/>
      <c r="I32" s="17"/>
    </row>
    <row r="33" spans="1:10" x14ac:dyDescent="0.3">
      <c r="A33" s="22" t="s">
        <v>28</v>
      </c>
      <c r="B33" s="23"/>
      <c r="C33" s="23"/>
      <c r="D33" s="23"/>
      <c r="E33" s="23"/>
      <c r="F33" s="23"/>
      <c r="G33" s="23"/>
      <c r="H33" s="23"/>
      <c r="I33" s="24"/>
    </row>
    <row r="34" spans="1:10" x14ac:dyDescent="0.3">
      <c r="A34" s="2" t="s">
        <v>0</v>
      </c>
      <c r="B34" s="2" t="s">
        <v>1</v>
      </c>
      <c r="C34" s="2" t="s">
        <v>2</v>
      </c>
      <c r="D34" s="2" t="s">
        <v>3</v>
      </c>
      <c r="E34" s="2" t="s">
        <v>4</v>
      </c>
      <c r="F34" s="2" t="s">
        <v>6</v>
      </c>
      <c r="G34" s="8" t="s">
        <v>5</v>
      </c>
      <c r="H34" s="6" t="s">
        <v>21</v>
      </c>
      <c r="I34" s="10" t="s">
        <v>22</v>
      </c>
    </row>
    <row r="35" spans="1:10" x14ac:dyDescent="0.3">
      <c r="A35" s="3">
        <v>1001</v>
      </c>
      <c r="B35" s="3" t="s">
        <v>9</v>
      </c>
      <c r="C35" s="3">
        <v>10</v>
      </c>
      <c r="D35" s="3">
        <v>5</v>
      </c>
      <c r="E35" s="4">
        <v>0.05</v>
      </c>
      <c r="F35" s="3" t="s">
        <v>17</v>
      </c>
      <c r="G35" s="9">
        <f>C35*D35</f>
        <v>50</v>
      </c>
      <c r="H35" s="7">
        <f>G35*E35</f>
        <v>2.5</v>
      </c>
      <c r="I35" s="11">
        <f>G35-H35</f>
        <v>47.5</v>
      </c>
    </row>
    <row r="36" spans="1:10" x14ac:dyDescent="0.3">
      <c r="A36" s="3">
        <v>1002</v>
      </c>
      <c r="B36" s="3" t="s">
        <v>10</v>
      </c>
      <c r="C36" s="3">
        <v>5</v>
      </c>
      <c r="D36" s="3">
        <v>10</v>
      </c>
      <c r="E36" s="4">
        <v>0</v>
      </c>
      <c r="F36" s="3" t="s">
        <v>18</v>
      </c>
      <c r="G36" s="9">
        <f t="shared" ref="G36:G42" si="3">C36*D36</f>
        <v>50</v>
      </c>
      <c r="H36" s="7">
        <f t="shared" ref="H36:H42" si="4">G36*E36</f>
        <v>0</v>
      </c>
      <c r="I36" s="11">
        <f t="shared" ref="I36:I42" si="5">G36-H36</f>
        <v>50</v>
      </c>
    </row>
    <row r="37" spans="1:10" x14ac:dyDescent="0.3">
      <c r="A37" s="3">
        <v>1003</v>
      </c>
      <c r="B37" s="3" t="s">
        <v>11</v>
      </c>
      <c r="C37" s="3">
        <v>50</v>
      </c>
      <c r="D37" s="3">
        <v>3</v>
      </c>
      <c r="E37" s="4">
        <v>0.1</v>
      </c>
      <c r="F37" s="3" t="s">
        <v>19</v>
      </c>
      <c r="G37" s="9">
        <f t="shared" si="3"/>
        <v>150</v>
      </c>
      <c r="H37" s="7">
        <f t="shared" si="4"/>
        <v>15</v>
      </c>
      <c r="I37" s="11">
        <f t="shared" si="5"/>
        <v>135</v>
      </c>
    </row>
    <row r="38" spans="1:10" x14ac:dyDescent="0.3">
      <c r="A38" s="3">
        <v>1004</v>
      </c>
      <c r="B38" s="3" t="s">
        <v>12</v>
      </c>
      <c r="C38" s="3">
        <v>3</v>
      </c>
      <c r="D38" s="3">
        <v>20</v>
      </c>
      <c r="E38" s="4">
        <v>0</v>
      </c>
      <c r="F38" s="3" t="s">
        <v>17</v>
      </c>
      <c r="G38" s="9">
        <f t="shared" si="3"/>
        <v>60</v>
      </c>
      <c r="H38" s="7">
        <f t="shared" si="4"/>
        <v>0</v>
      </c>
      <c r="I38" s="11">
        <f t="shared" si="5"/>
        <v>60</v>
      </c>
    </row>
    <row r="39" spans="1:10" x14ac:dyDescent="0.3">
      <c r="A39" s="3">
        <v>1005</v>
      </c>
      <c r="B39" s="3" t="s">
        <v>13</v>
      </c>
      <c r="C39" s="3">
        <v>25</v>
      </c>
      <c r="D39" s="3">
        <v>4</v>
      </c>
      <c r="E39" s="4">
        <v>0.05</v>
      </c>
      <c r="F39" s="3" t="s">
        <v>18</v>
      </c>
      <c r="G39" s="9">
        <f t="shared" si="3"/>
        <v>100</v>
      </c>
      <c r="H39" s="7">
        <f t="shared" si="4"/>
        <v>5</v>
      </c>
      <c r="I39" s="11">
        <f t="shared" si="5"/>
        <v>95</v>
      </c>
    </row>
    <row r="40" spans="1:10" x14ac:dyDescent="0.3">
      <c r="A40" s="3">
        <v>1006</v>
      </c>
      <c r="B40" s="3" t="s">
        <v>14</v>
      </c>
      <c r="C40" s="3">
        <v>15</v>
      </c>
      <c r="D40" s="3">
        <v>6</v>
      </c>
      <c r="E40" s="4">
        <v>0</v>
      </c>
      <c r="F40" s="3" t="s">
        <v>19</v>
      </c>
      <c r="G40" s="9">
        <f t="shared" si="3"/>
        <v>90</v>
      </c>
      <c r="H40" s="7">
        <f t="shared" si="4"/>
        <v>0</v>
      </c>
      <c r="I40" s="11">
        <f t="shared" si="5"/>
        <v>90</v>
      </c>
    </row>
    <row r="41" spans="1:10" x14ac:dyDescent="0.3">
      <c r="A41" s="3">
        <v>1007</v>
      </c>
      <c r="B41" s="3" t="s">
        <v>15</v>
      </c>
      <c r="C41" s="3">
        <v>8</v>
      </c>
      <c r="D41" s="3">
        <v>8</v>
      </c>
      <c r="E41" s="4">
        <v>0.05</v>
      </c>
      <c r="F41" s="3" t="s">
        <v>17</v>
      </c>
      <c r="G41" s="9">
        <f t="shared" si="3"/>
        <v>64</v>
      </c>
      <c r="H41" s="7">
        <f t="shared" si="4"/>
        <v>3.2</v>
      </c>
      <c r="I41" s="11">
        <f t="shared" si="5"/>
        <v>60.8</v>
      </c>
    </row>
    <row r="42" spans="1:10" x14ac:dyDescent="0.3">
      <c r="A42" s="3">
        <v>1008</v>
      </c>
      <c r="B42" s="3" t="s">
        <v>16</v>
      </c>
      <c r="C42" s="3">
        <v>40</v>
      </c>
      <c r="D42" s="3">
        <v>2</v>
      </c>
      <c r="E42" s="4">
        <v>0.1</v>
      </c>
      <c r="F42" s="3" t="s">
        <v>18</v>
      </c>
      <c r="G42" s="9">
        <f t="shared" si="3"/>
        <v>80</v>
      </c>
      <c r="H42" s="7">
        <f t="shared" si="4"/>
        <v>8</v>
      </c>
      <c r="I42" s="11">
        <f t="shared" si="5"/>
        <v>72</v>
      </c>
    </row>
    <row r="44" spans="1:10" x14ac:dyDescent="0.3">
      <c r="A44" s="19" t="s">
        <v>24</v>
      </c>
      <c r="B44" s="20"/>
      <c r="C44" s="20"/>
      <c r="D44" s="20"/>
      <c r="E44" s="20"/>
      <c r="F44" s="20"/>
      <c r="G44" s="20"/>
      <c r="H44" s="20"/>
      <c r="I44" s="20"/>
      <c r="J44" s="21"/>
    </row>
    <row r="45" spans="1:10" x14ac:dyDescent="0.3">
      <c r="A45" s="2" t="s">
        <v>0</v>
      </c>
      <c r="B45" s="2" t="s">
        <v>1</v>
      </c>
      <c r="C45" s="2" t="s">
        <v>2</v>
      </c>
      <c r="D45" s="2" t="s">
        <v>3</v>
      </c>
      <c r="E45" s="2" t="s">
        <v>4</v>
      </c>
      <c r="F45" s="2" t="s">
        <v>6</v>
      </c>
      <c r="G45" s="8" t="s">
        <v>5</v>
      </c>
      <c r="H45" s="6" t="s">
        <v>21</v>
      </c>
      <c r="I45" s="10" t="s">
        <v>22</v>
      </c>
      <c r="J45" s="12" t="s">
        <v>23</v>
      </c>
    </row>
    <row r="46" spans="1:10" x14ac:dyDescent="0.3">
      <c r="A46" s="3">
        <v>1001</v>
      </c>
      <c r="B46" s="3" t="s">
        <v>9</v>
      </c>
      <c r="C46" s="3">
        <v>10</v>
      </c>
      <c r="D46" s="3">
        <v>5</v>
      </c>
      <c r="E46" s="4">
        <v>0.05</v>
      </c>
      <c r="F46" s="3" t="s">
        <v>17</v>
      </c>
      <c r="G46" s="9">
        <f>C46*D46</f>
        <v>50</v>
      </c>
      <c r="H46" s="7">
        <f>G46*E46</f>
        <v>2.5</v>
      </c>
      <c r="I46" s="11">
        <f>G46-H46</f>
        <v>47.5</v>
      </c>
      <c r="J46" s="13">
        <f>I46*M$1</f>
        <v>8.5499999999999989</v>
      </c>
    </row>
    <row r="47" spans="1:10" x14ac:dyDescent="0.3">
      <c r="A47" s="3">
        <v>1002</v>
      </c>
      <c r="B47" s="3" t="s">
        <v>10</v>
      </c>
      <c r="C47" s="3">
        <v>5</v>
      </c>
      <c r="D47" s="3">
        <v>10</v>
      </c>
      <c r="E47" s="4">
        <v>0</v>
      </c>
      <c r="F47" s="3" t="s">
        <v>18</v>
      </c>
      <c r="G47" s="9">
        <f t="shared" ref="G47:G53" si="6">C47*D47</f>
        <v>50</v>
      </c>
      <c r="H47" s="7">
        <f t="shared" ref="H47:H53" si="7">G47*E47</f>
        <v>0</v>
      </c>
      <c r="I47" s="11">
        <f t="shared" ref="I47:I53" si="8">G47-H47</f>
        <v>50</v>
      </c>
      <c r="J47" s="13">
        <f t="shared" ref="J47:J53" si="9">I47*M$1</f>
        <v>9</v>
      </c>
    </row>
    <row r="48" spans="1:10" x14ac:dyDescent="0.3">
      <c r="A48" s="3">
        <v>1003</v>
      </c>
      <c r="B48" s="3" t="s">
        <v>11</v>
      </c>
      <c r="C48" s="3">
        <v>50</v>
      </c>
      <c r="D48" s="3">
        <v>3</v>
      </c>
      <c r="E48" s="4">
        <v>0.1</v>
      </c>
      <c r="F48" s="3" t="s">
        <v>19</v>
      </c>
      <c r="G48" s="9">
        <f t="shared" si="6"/>
        <v>150</v>
      </c>
      <c r="H48" s="7">
        <f t="shared" si="7"/>
        <v>15</v>
      </c>
      <c r="I48" s="11">
        <f t="shared" si="8"/>
        <v>135</v>
      </c>
      <c r="J48" s="13">
        <f t="shared" si="9"/>
        <v>24.3</v>
      </c>
    </row>
    <row r="49" spans="1:11" x14ac:dyDescent="0.3">
      <c r="A49" s="3">
        <v>1004</v>
      </c>
      <c r="B49" s="3" t="s">
        <v>12</v>
      </c>
      <c r="C49" s="3">
        <v>3</v>
      </c>
      <c r="D49" s="3">
        <v>20</v>
      </c>
      <c r="E49" s="4">
        <v>0</v>
      </c>
      <c r="F49" s="3" t="s">
        <v>17</v>
      </c>
      <c r="G49" s="9">
        <f t="shared" si="6"/>
        <v>60</v>
      </c>
      <c r="H49" s="7">
        <f t="shared" si="7"/>
        <v>0</v>
      </c>
      <c r="I49" s="11">
        <f t="shared" si="8"/>
        <v>60</v>
      </c>
      <c r="J49" s="13">
        <f t="shared" si="9"/>
        <v>10.799999999999999</v>
      </c>
    </row>
    <row r="50" spans="1:11" x14ac:dyDescent="0.3">
      <c r="A50" s="3">
        <v>1005</v>
      </c>
      <c r="B50" s="3" t="s">
        <v>13</v>
      </c>
      <c r="C50" s="3">
        <v>25</v>
      </c>
      <c r="D50" s="3">
        <v>4</v>
      </c>
      <c r="E50" s="4">
        <v>0.05</v>
      </c>
      <c r="F50" s="3" t="s">
        <v>18</v>
      </c>
      <c r="G50" s="9">
        <f t="shared" si="6"/>
        <v>100</v>
      </c>
      <c r="H50" s="7">
        <f t="shared" si="7"/>
        <v>5</v>
      </c>
      <c r="I50" s="11">
        <f t="shared" si="8"/>
        <v>95</v>
      </c>
      <c r="J50" s="13">
        <f t="shared" si="9"/>
        <v>17.099999999999998</v>
      </c>
    </row>
    <row r="51" spans="1:11" x14ac:dyDescent="0.3">
      <c r="A51" s="3">
        <v>1006</v>
      </c>
      <c r="B51" s="3" t="s">
        <v>14</v>
      </c>
      <c r="C51" s="3">
        <v>15</v>
      </c>
      <c r="D51" s="3">
        <v>6</v>
      </c>
      <c r="E51" s="4">
        <v>0</v>
      </c>
      <c r="F51" s="3" t="s">
        <v>19</v>
      </c>
      <c r="G51" s="9">
        <f t="shared" si="6"/>
        <v>90</v>
      </c>
      <c r="H51" s="7">
        <f t="shared" si="7"/>
        <v>0</v>
      </c>
      <c r="I51" s="11">
        <f t="shared" si="8"/>
        <v>90</v>
      </c>
      <c r="J51" s="13">
        <f t="shared" si="9"/>
        <v>16.2</v>
      </c>
    </row>
    <row r="52" spans="1:11" x14ac:dyDescent="0.3">
      <c r="A52" s="3">
        <v>1007</v>
      </c>
      <c r="B52" s="3" t="s">
        <v>15</v>
      </c>
      <c r="C52" s="3">
        <v>8</v>
      </c>
      <c r="D52" s="3">
        <v>8</v>
      </c>
      <c r="E52" s="4">
        <v>0.05</v>
      </c>
      <c r="F52" s="3" t="s">
        <v>17</v>
      </c>
      <c r="G52" s="9">
        <f t="shared" si="6"/>
        <v>64</v>
      </c>
      <c r="H52" s="7">
        <f t="shared" si="7"/>
        <v>3.2</v>
      </c>
      <c r="I52" s="11">
        <f t="shared" si="8"/>
        <v>60.8</v>
      </c>
      <c r="J52" s="13">
        <f t="shared" si="9"/>
        <v>10.943999999999999</v>
      </c>
    </row>
    <row r="53" spans="1:11" x14ac:dyDescent="0.3">
      <c r="A53" s="3">
        <v>1008</v>
      </c>
      <c r="B53" s="3" t="s">
        <v>16</v>
      </c>
      <c r="C53" s="3">
        <v>40</v>
      </c>
      <c r="D53" s="3">
        <v>2</v>
      </c>
      <c r="E53" s="4">
        <v>0.1</v>
      </c>
      <c r="F53" s="3" t="s">
        <v>18</v>
      </c>
      <c r="G53" s="9">
        <f t="shared" si="6"/>
        <v>80</v>
      </c>
      <c r="H53" s="7">
        <f t="shared" si="7"/>
        <v>8</v>
      </c>
      <c r="I53" s="11">
        <f t="shared" si="8"/>
        <v>72</v>
      </c>
      <c r="J53" s="13">
        <f t="shared" si="9"/>
        <v>12.959999999999999</v>
      </c>
    </row>
    <row r="55" spans="1:11" x14ac:dyDescent="0.3">
      <c r="A55" s="18" t="s">
        <v>26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</row>
    <row r="56" spans="1:11" x14ac:dyDescent="0.3">
      <c r="A56" s="2" t="s">
        <v>0</v>
      </c>
      <c r="B56" s="2" t="s">
        <v>1</v>
      </c>
      <c r="C56" s="2" t="s">
        <v>2</v>
      </c>
      <c r="D56" s="2" t="s">
        <v>3</v>
      </c>
      <c r="E56" s="2" t="s">
        <v>4</v>
      </c>
      <c r="F56" s="2" t="s">
        <v>6</v>
      </c>
      <c r="G56" s="8" t="s">
        <v>5</v>
      </c>
      <c r="H56" s="6" t="s">
        <v>21</v>
      </c>
      <c r="I56" s="10" t="s">
        <v>22</v>
      </c>
      <c r="J56" s="12" t="s">
        <v>23</v>
      </c>
      <c r="K56" s="14" t="s">
        <v>25</v>
      </c>
    </row>
    <row r="57" spans="1:11" x14ac:dyDescent="0.3">
      <c r="A57" s="3">
        <v>1001</v>
      </c>
      <c r="B57" s="3" t="s">
        <v>9</v>
      </c>
      <c r="C57" s="3">
        <v>10</v>
      </c>
      <c r="D57" s="3">
        <v>5</v>
      </c>
      <c r="E57" s="4">
        <v>0.05</v>
      </c>
      <c r="F57" s="3" t="s">
        <v>17</v>
      </c>
      <c r="G57" s="9">
        <f>C57*D57</f>
        <v>50</v>
      </c>
      <c r="H57" s="7">
        <f>G57*E57</f>
        <v>2.5</v>
      </c>
      <c r="I57" s="11">
        <f>G57-H57</f>
        <v>47.5</v>
      </c>
      <c r="J57" s="13">
        <f>I57*M$1</f>
        <v>8.5499999999999989</v>
      </c>
      <c r="K57" s="15">
        <f>I57+J57+M$2</f>
        <v>76.05</v>
      </c>
    </row>
    <row r="58" spans="1:11" x14ac:dyDescent="0.3">
      <c r="A58" s="3">
        <v>1002</v>
      </c>
      <c r="B58" s="3" t="s">
        <v>10</v>
      </c>
      <c r="C58" s="3">
        <v>5</v>
      </c>
      <c r="D58" s="3">
        <v>10</v>
      </c>
      <c r="E58" s="4">
        <v>0</v>
      </c>
      <c r="F58" s="3" t="s">
        <v>18</v>
      </c>
      <c r="G58" s="9">
        <f t="shared" ref="G58:G64" si="10">C58*D58</f>
        <v>50</v>
      </c>
      <c r="H58" s="7">
        <f t="shared" ref="H58:H64" si="11">G58*E58</f>
        <v>0</v>
      </c>
      <c r="I58" s="11">
        <f t="shared" ref="I58:I64" si="12">G58-H58</f>
        <v>50</v>
      </c>
      <c r="J58" s="13">
        <f t="shared" ref="J58:J64" si="13">I58*M$1</f>
        <v>9</v>
      </c>
      <c r="K58" s="15">
        <f t="shared" ref="K58:K64" si="14">I58+J58+M$2</f>
        <v>79</v>
      </c>
    </row>
    <row r="59" spans="1:11" x14ac:dyDescent="0.3">
      <c r="A59" s="3">
        <v>1003</v>
      </c>
      <c r="B59" s="3" t="s">
        <v>11</v>
      </c>
      <c r="C59" s="3">
        <v>50</v>
      </c>
      <c r="D59" s="3">
        <v>3</v>
      </c>
      <c r="E59" s="4">
        <v>0.1</v>
      </c>
      <c r="F59" s="3" t="s">
        <v>19</v>
      </c>
      <c r="G59" s="9">
        <f t="shared" si="10"/>
        <v>150</v>
      </c>
      <c r="H59" s="7">
        <f t="shared" si="11"/>
        <v>15</v>
      </c>
      <c r="I59" s="11">
        <f t="shared" si="12"/>
        <v>135</v>
      </c>
      <c r="J59" s="13">
        <f t="shared" si="13"/>
        <v>24.3</v>
      </c>
      <c r="K59" s="15">
        <f t="shared" si="14"/>
        <v>179.3</v>
      </c>
    </row>
    <row r="60" spans="1:11" x14ac:dyDescent="0.3">
      <c r="A60" s="3">
        <v>1004</v>
      </c>
      <c r="B60" s="3" t="s">
        <v>12</v>
      </c>
      <c r="C60" s="3">
        <v>3</v>
      </c>
      <c r="D60" s="3">
        <v>20</v>
      </c>
      <c r="E60" s="4">
        <v>0</v>
      </c>
      <c r="F60" s="3" t="s">
        <v>17</v>
      </c>
      <c r="G60" s="9">
        <f t="shared" si="10"/>
        <v>60</v>
      </c>
      <c r="H60" s="7">
        <f t="shared" si="11"/>
        <v>0</v>
      </c>
      <c r="I60" s="11">
        <f t="shared" si="12"/>
        <v>60</v>
      </c>
      <c r="J60" s="13">
        <f t="shared" si="13"/>
        <v>10.799999999999999</v>
      </c>
      <c r="K60" s="15">
        <f t="shared" si="14"/>
        <v>90.8</v>
      </c>
    </row>
    <row r="61" spans="1:11" x14ac:dyDescent="0.3">
      <c r="A61" s="3">
        <v>1005</v>
      </c>
      <c r="B61" s="3" t="s">
        <v>13</v>
      </c>
      <c r="C61" s="3">
        <v>25</v>
      </c>
      <c r="D61" s="3">
        <v>4</v>
      </c>
      <c r="E61" s="4">
        <v>0.05</v>
      </c>
      <c r="F61" s="3" t="s">
        <v>18</v>
      </c>
      <c r="G61" s="9">
        <f t="shared" si="10"/>
        <v>100</v>
      </c>
      <c r="H61" s="7">
        <f t="shared" si="11"/>
        <v>5</v>
      </c>
      <c r="I61" s="11">
        <f t="shared" si="12"/>
        <v>95</v>
      </c>
      <c r="J61" s="13">
        <f t="shared" si="13"/>
        <v>17.099999999999998</v>
      </c>
      <c r="K61" s="15">
        <f t="shared" si="14"/>
        <v>132.1</v>
      </c>
    </row>
    <row r="62" spans="1:11" x14ac:dyDescent="0.3">
      <c r="A62" s="3">
        <v>1006</v>
      </c>
      <c r="B62" s="3" t="s">
        <v>14</v>
      </c>
      <c r="C62" s="3">
        <v>15</v>
      </c>
      <c r="D62" s="3">
        <v>6</v>
      </c>
      <c r="E62" s="4">
        <v>0</v>
      </c>
      <c r="F62" s="3" t="s">
        <v>19</v>
      </c>
      <c r="G62" s="9">
        <f t="shared" si="10"/>
        <v>90</v>
      </c>
      <c r="H62" s="7">
        <f t="shared" si="11"/>
        <v>0</v>
      </c>
      <c r="I62" s="11">
        <f t="shared" si="12"/>
        <v>90</v>
      </c>
      <c r="J62" s="13">
        <f t="shared" si="13"/>
        <v>16.2</v>
      </c>
      <c r="K62" s="15">
        <f t="shared" si="14"/>
        <v>126.2</v>
      </c>
    </row>
    <row r="63" spans="1:11" x14ac:dyDescent="0.3">
      <c r="A63" s="3">
        <v>1007</v>
      </c>
      <c r="B63" s="3" t="s">
        <v>15</v>
      </c>
      <c r="C63" s="3">
        <v>8</v>
      </c>
      <c r="D63" s="3">
        <v>8</v>
      </c>
      <c r="E63" s="4">
        <v>0.05</v>
      </c>
      <c r="F63" s="3" t="s">
        <v>17</v>
      </c>
      <c r="G63" s="9">
        <f t="shared" si="10"/>
        <v>64</v>
      </c>
      <c r="H63" s="7">
        <f t="shared" si="11"/>
        <v>3.2</v>
      </c>
      <c r="I63" s="11">
        <f t="shared" si="12"/>
        <v>60.8</v>
      </c>
      <c r="J63" s="13">
        <f t="shared" si="13"/>
        <v>10.943999999999999</v>
      </c>
      <c r="K63" s="15">
        <f t="shared" si="14"/>
        <v>91.744</v>
      </c>
    </row>
    <row r="64" spans="1:11" x14ac:dyDescent="0.3">
      <c r="A64" s="3">
        <v>1008</v>
      </c>
      <c r="B64" s="3" t="s">
        <v>16</v>
      </c>
      <c r="C64" s="3">
        <v>40</v>
      </c>
      <c r="D64" s="3">
        <v>2</v>
      </c>
      <c r="E64" s="4">
        <v>0.1</v>
      </c>
      <c r="F64" s="3" t="s">
        <v>18</v>
      </c>
      <c r="G64" s="9">
        <f t="shared" si="10"/>
        <v>80</v>
      </c>
      <c r="H64" s="7">
        <f t="shared" si="11"/>
        <v>8</v>
      </c>
      <c r="I64" s="11">
        <f t="shared" si="12"/>
        <v>72</v>
      </c>
      <c r="J64" s="13">
        <f t="shared" si="13"/>
        <v>12.959999999999999</v>
      </c>
      <c r="K64" s="15">
        <f t="shared" si="14"/>
        <v>104.96</v>
      </c>
    </row>
  </sheetData>
  <mergeCells count="6">
    <mergeCell ref="A55:K55"/>
    <mergeCell ref="A11:G11"/>
    <mergeCell ref="C32:I32"/>
    <mergeCell ref="A22:H22"/>
    <mergeCell ref="A33:I33"/>
    <mergeCell ref="A44:J4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Bose</dc:creator>
  <cp:lastModifiedBy>Arnab Bose</cp:lastModifiedBy>
  <cp:lastPrinted>2026-07-27T16:40:34Z</cp:lastPrinted>
  <dcterms:created xsi:type="dcterms:W3CDTF">2026-07-27T16:33:34Z</dcterms:created>
  <dcterms:modified xsi:type="dcterms:W3CDTF">2026-07-28T04:42:42Z</dcterms:modified>
</cp:coreProperties>
</file>