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rnab\Documents\Anudip-Data Analytics\Excel\Homework\"/>
    </mc:Choice>
  </mc:AlternateContent>
  <xr:revisionPtr revIDLastSave="0" documentId="13_ncr:1_{868506BD-70E5-43D1-ABF8-4ABC779E70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2" i="1" l="1"/>
  <c r="B30" i="1"/>
  <c r="B34" i="1"/>
  <c r="B22" i="1"/>
  <c r="B26" i="1"/>
  <c r="B14" i="1" l="1"/>
  <c r="B38" i="1"/>
  <c r="B18" i="1"/>
</calcChain>
</file>

<file path=xl/sharedStrings.xml><?xml version="1.0" encoding="utf-8"?>
<sst xmlns="http://schemas.openxmlformats.org/spreadsheetml/2006/main" count="55" uniqueCount="36">
  <si>
    <t>INDEX and MATCH functions Exercise Questions</t>
  </si>
  <si>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</si>
  <si>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</si>
  <si>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</si>
  <si>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</si>
  <si>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</si>
  <si>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</si>
  <si>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</si>
  <si>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</si>
  <si>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</si>
  <si>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PRODB</t>
  </si>
  <si>
    <t>PRODC</t>
  </si>
  <si>
    <t>PRODD</t>
  </si>
  <si>
    <t>PRODE</t>
  </si>
  <si>
    <t>PRODF</t>
  </si>
  <si>
    <t>Electronics</t>
  </si>
  <si>
    <t>Furniture</t>
  </si>
  <si>
    <t>Clothing</t>
  </si>
  <si>
    <t>SalesData</t>
  </si>
  <si>
    <t>Questions</t>
  </si>
  <si>
    <t>Max Sales</t>
  </si>
  <si>
    <t>Avg Sales</t>
  </si>
  <si>
    <t>Product ID</t>
  </si>
  <si>
    <t>Enter Product</t>
  </si>
  <si>
    <t>Enter Month</t>
  </si>
  <si>
    <t>Sales</t>
  </si>
  <si>
    <t>Max Sales Month</t>
  </si>
  <si>
    <t>Sum of April</t>
  </si>
  <si>
    <r>
      <t xml:space="preserve">1. Use INDEX and MATCH to find the sales for </t>
    </r>
    <r>
      <rPr>
        <b/>
        <sz val="11"/>
        <color theme="1"/>
        <rFont val="Calibri"/>
        <family val="2"/>
        <scheme val="minor"/>
      </rPr>
      <t>Product C</t>
    </r>
    <r>
      <rPr>
        <sz val="11"/>
        <color theme="1"/>
        <rFont val="Calibri"/>
        <family val="2"/>
        <scheme val="minor"/>
      </rPr>
      <t xml:space="preserve"> in</t>
    </r>
    <r>
      <rPr>
        <b/>
        <sz val="11"/>
        <color theme="1"/>
        <rFont val="Calibri"/>
        <family val="2"/>
        <scheme val="minor"/>
      </rPr>
      <t xml:space="preserve"> March</t>
    </r>
    <r>
      <rPr>
        <sz val="11"/>
        <color theme="1"/>
        <rFont val="Calibri"/>
        <family val="2"/>
        <scheme val="minor"/>
      </rPr>
      <t>.</t>
    </r>
  </si>
  <si>
    <r>
      <t>2. Use INDEX and MATCH to find the</t>
    </r>
    <r>
      <rPr>
        <b/>
        <sz val="11"/>
        <color theme="1"/>
        <rFont val="Calibri"/>
        <family val="2"/>
        <scheme val="minor"/>
      </rPr>
      <t xml:space="preserve"> category</t>
    </r>
    <r>
      <rPr>
        <sz val="11"/>
        <color theme="1"/>
        <rFont val="Calibri"/>
        <family val="2"/>
        <scheme val="minor"/>
      </rPr>
      <t xml:space="preserve"> for</t>
    </r>
    <r>
      <rPr>
        <b/>
        <sz val="11"/>
        <color theme="1"/>
        <rFont val="Calibri"/>
        <family val="2"/>
        <scheme val="minor"/>
      </rPr>
      <t xml:space="preserve"> Product E.</t>
    </r>
  </si>
  <si>
    <r>
      <t xml:space="preserve">3. Use INDEX and MATCH to find the </t>
    </r>
    <r>
      <rPr>
        <b/>
        <sz val="11"/>
        <color theme="1"/>
        <rFont val="Calibri"/>
        <family val="2"/>
        <scheme val="minor"/>
      </rPr>
      <t>maximum sales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Product B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across all months</t>
    </r>
    <r>
      <rPr>
        <sz val="11"/>
        <color theme="1"/>
        <rFont val="Calibri"/>
        <family val="2"/>
        <scheme val="minor"/>
      </rPr>
      <t>.</t>
    </r>
  </si>
  <si>
    <r>
      <t>4. Use INDEX and MATCH to find the</t>
    </r>
    <r>
      <rPr>
        <b/>
        <sz val="11"/>
        <color theme="1"/>
        <rFont val="Calibri"/>
        <family val="2"/>
        <scheme val="minor"/>
      </rPr>
      <t xml:space="preserve"> month</t>
    </r>
    <r>
      <rPr>
        <sz val="11"/>
        <color theme="1"/>
        <rFont val="Calibri"/>
        <family val="2"/>
        <scheme val="minor"/>
      </rPr>
      <t xml:space="preserve"> with the</t>
    </r>
    <r>
      <rPr>
        <b/>
        <sz val="11"/>
        <color theme="1"/>
        <rFont val="Calibri"/>
        <family val="2"/>
        <scheme val="minor"/>
      </rPr>
      <t xml:space="preserve"> maximum </t>
    </r>
    <r>
      <rPr>
        <sz val="11"/>
        <color theme="1"/>
        <rFont val="Calibri"/>
        <family val="2"/>
        <scheme val="minor"/>
      </rPr>
      <t xml:space="preserve">sales for </t>
    </r>
    <r>
      <rPr>
        <b/>
        <sz val="11"/>
        <color theme="1"/>
        <rFont val="Calibri"/>
        <family val="2"/>
        <scheme val="minor"/>
      </rPr>
      <t>Product A.</t>
    </r>
  </si>
  <si>
    <r>
      <t xml:space="preserve">5. Use INDEX, MATCH, and SUMIF to </t>
    </r>
    <r>
      <rPr>
        <b/>
        <sz val="11"/>
        <color theme="1"/>
        <rFont val="Calibri"/>
        <family val="2"/>
        <scheme val="minor"/>
      </rPr>
      <t>sum the sales</t>
    </r>
    <r>
      <rPr>
        <sz val="11"/>
        <color theme="1"/>
        <rFont val="Calibri"/>
        <family val="2"/>
        <scheme val="minor"/>
      </rPr>
      <t xml:space="preserve"> for all products in the "</t>
    </r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" category for </t>
    </r>
    <r>
      <rPr>
        <b/>
        <sz val="11"/>
        <color theme="1"/>
        <rFont val="Calibri"/>
        <family val="2"/>
        <scheme val="minor"/>
      </rPr>
      <t>April.</t>
    </r>
  </si>
  <si>
    <r>
      <t xml:space="preserve">6. Use INDEX and MATCH to calculate the </t>
    </r>
    <r>
      <rPr>
        <b/>
        <sz val="11"/>
        <color theme="1"/>
        <rFont val="Calibri"/>
        <family val="2"/>
        <scheme val="minor"/>
      </rPr>
      <t>average sales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Product D</t>
    </r>
    <r>
      <rPr>
        <sz val="11"/>
        <color theme="1"/>
        <rFont val="Calibri"/>
        <family val="2"/>
        <scheme val="minor"/>
      </rPr>
      <t xml:space="preserve"> across all months.</t>
    </r>
  </si>
  <si>
    <r>
      <t xml:space="preserve">7. Use INDEX and MATCH to find the sales for </t>
    </r>
    <r>
      <rPr>
        <b/>
        <sz val="11"/>
        <color theme="1"/>
        <rFont val="Calibri"/>
        <family val="2"/>
        <scheme val="minor"/>
      </rPr>
      <t>Product ID 105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May.</t>
    </r>
  </si>
  <si>
    <r>
      <t>8. Use INDEX and MATCH to create a dynamic lookup where the user can</t>
    </r>
    <r>
      <rPr>
        <b/>
        <sz val="11"/>
        <color theme="1"/>
        <rFont val="Calibri"/>
        <family val="2"/>
        <scheme val="minor"/>
      </rPr>
      <t xml:space="preserve"> input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product</t>
    </r>
    <r>
      <rPr>
        <sz val="11"/>
        <color theme="1"/>
        <rFont val="Calibri"/>
        <family val="2"/>
        <scheme val="minor"/>
      </rPr>
      <t xml:space="preserve"> and a </t>
    </r>
    <r>
      <rPr>
        <b/>
        <sz val="11"/>
        <color theme="1"/>
        <rFont val="Calibri"/>
        <family val="2"/>
        <scheme val="minor"/>
      </rPr>
      <t>month</t>
    </r>
    <r>
      <rPr>
        <sz val="11"/>
        <color theme="1"/>
        <rFont val="Calibri"/>
        <family val="2"/>
        <scheme val="minor"/>
      </rPr>
      <t>, and the formula returns the</t>
    </r>
    <r>
      <rPr>
        <b/>
        <sz val="11"/>
        <color theme="1"/>
        <rFont val="Calibri"/>
        <family val="2"/>
        <scheme val="minor"/>
      </rPr>
      <t xml:space="preserve"> corresponding sales.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</si>
</sst>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color theme="8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1" fillId="3" borderId="5" xfId="0" applyFont="1" applyFill="1" applyBorder="1"/>
    <xf numFmtId="0" fontId="1" fillId="3" borderId="1" xfId="0" applyFont="1" applyFill="1" applyBorder="1"/>
    <xf numFmtId="0" fontId="1" fillId="3" borderId="6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1" fillId="5" borderId="1" xfId="0" applyFont="1" applyFill="1" applyBorder="1"/>
    <xf numFmtId="0" fontId="0" fillId="7" borderId="1" xfId="0" applyFill="1" applyBorder="1"/>
    <xf numFmtId="0" fontId="1" fillId="3" borderId="10" xfId="0" applyFont="1" applyFill="1" applyBorder="1"/>
    <xf numFmtId="0" fontId="1" fillId="6" borderId="10" xfId="0" applyFont="1" applyFill="1" applyBorder="1"/>
    <xf numFmtId="0" fontId="0" fillId="0" borderId="1" xfId="0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1" xfId="0" applyBorder="1"/>
    <xf numFmtId="0" fontId="1" fillId="6" borderId="1" xfId="0" applyFont="1" applyFill="1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3" borderId="11" xfId="0" applyFont="1" applyFill="1" applyBorder="1"/>
    <xf numFmtId="0" fontId="0" fillId="0" borderId="12" xfId="0" applyBorder="1"/>
    <xf numFmtId="0" fontId="1" fillId="4" borderId="5" xfId="0" applyFont="1" applyFill="1" applyBorder="1"/>
    <xf numFmtId="0" fontId="0" fillId="0" borderId="13" xfId="0" applyBorder="1"/>
    <xf numFmtId="0" fontId="0" fillId="0" borderId="5" xfId="0" applyBorder="1"/>
    <xf numFmtId="0" fontId="0" fillId="0" borderId="6" xfId="0" applyBorder="1"/>
    <xf numFmtId="0" fontId="1" fillId="0" borderId="0" xfId="0" applyFont="1" applyBorder="1"/>
    <xf numFmtId="0" fontId="1" fillId="4" borderId="7" xfId="0" applyFont="1" applyFill="1" applyBorder="1"/>
    <xf numFmtId="0" fontId="1" fillId="4" borderId="8" xfId="0" applyFont="1" applyFill="1" applyBorder="1"/>
    <xf numFmtId="0" fontId="0" fillId="7" borderId="8" xfId="0" applyFill="1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workbookViewId="0">
      <selection activeCell="O41" sqref="O41"/>
    </sheetView>
  </sheetViews>
  <sheetFormatPr defaultRowHeight="14.4" x14ac:dyDescent="0.3"/>
  <cols>
    <col min="1" max="1" width="11.33203125" customWidth="1"/>
    <col min="2" max="2" width="13" customWidth="1"/>
    <col min="3" max="3" width="10.5546875" customWidth="1"/>
    <col min="6" max="6" width="10.44140625" customWidth="1"/>
  </cols>
  <sheetData>
    <row r="1" spans="1:13" ht="15" thickBot="1" x14ac:dyDescent="0.35">
      <c r="A1" s="2" t="s">
        <v>0</v>
      </c>
    </row>
    <row r="2" spans="1:13" x14ac:dyDescent="0.3">
      <c r="A2" s="17" t="s">
        <v>18</v>
      </c>
      <c r="B2" s="18"/>
      <c r="C2" s="18"/>
      <c r="D2" s="18"/>
      <c r="E2" s="18"/>
      <c r="F2" s="18"/>
      <c r="G2" s="18"/>
      <c r="H2" s="19"/>
    </row>
    <row r="3" spans="1:13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</row>
    <row r="4" spans="1:13" x14ac:dyDescent="0.3">
      <c r="A4" s="6">
        <v>101</v>
      </c>
      <c r="B4" s="7" t="s">
        <v>9</v>
      </c>
      <c r="C4" s="7" t="s">
        <v>15</v>
      </c>
      <c r="D4" s="7">
        <v>120</v>
      </c>
      <c r="E4" s="7">
        <v>130</v>
      </c>
      <c r="F4" s="7">
        <v>140</v>
      </c>
      <c r="G4" s="7">
        <v>150</v>
      </c>
      <c r="H4" s="8">
        <v>160</v>
      </c>
    </row>
    <row r="5" spans="1:13" x14ac:dyDescent="0.3">
      <c r="A5" s="6">
        <v>102</v>
      </c>
      <c r="B5" s="7" t="s">
        <v>10</v>
      </c>
      <c r="C5" s="7" t="s">
        <v>16</v>
      </c>
      <c r="D5" s="7">
        <v>150</v>
      </c>
      <c r="E5" s="7">
        <v>160</v>
      </c>
      <c r="F5" s="7">
        <v>170</v>
      </c>
      <c r="G5" s="7">
        <v>180</v>
      </c>
      <c r="H5" s="8">
        <v>190</v>
      </c>
    </row>
    <row r="6" spans="1:13" x14ac:dyDescent="0.3">
      <c r="A6" s="6">
        <v>103</v>
      </c>
      <c r="B6" s="7" t="s">
        <v>11</v>
      </c>
      <c r="C6" s="7" t="s">
        <v>15</v>
      </c>
      <c r="D6" s="7">
        <v>200</v>
      </c>
      <c r="E6" s="7">
        <v>210</v>
      </c>
      <c r="F6" s="7">
        <v>220</v>
      </c>
      <c r="G6" s="7">
        <v>230</v>
      </c>
      <c r="H6" s="8">
        <v>240</v>
      </c>
    </row>
    <row r="7" spans="1:13" x14ac:dyDescent="0.3">
      <c r="A7" s="6">
        <v>104</v>
      </c>
      <c r="B7" s="7" t="s">
        <v>12</v>
      </c>
      <c r="C7" s="7" t="s">
        <v>17</v>
      </c>
      <c r="D7" s="7">
        <v>90</v>
      </c>
      <c r="E7" s="7">
        <v>100</v>
      </c>
      <c r="F7" s="7">
        <v>110</v>
      </c>
      <c r="G7" s="7">
        <v>120</v>
      </c>
      <c r="H7" s="8">
        <v>130</v>
      </c>
    </row>
    <row r="8" spans="1:13" x14ac:dyDescent="0.3">
      <c r="A8" s="6">
        <v>105</v>
      </c>
      <c r="B8" s="7" t="s">
        <v>13</v>
      </c>
      <c r="C8" s="7" t="s">
        <v>16</v>
      </c>
      <c r="D8" s="7">
        <v>220</v>
      </c>
      <c r="E8" s="7">
        <v>230</v>
      </c>
      <c r="F8" s="7">
        <v>240</v>
      </c>
      <c r="G8" s="7">
        <v>250</v>
      </c>
      <c r="H8" s="8">
        <v>260</v>
      </c>
    </row>
    <row r="9" spans="1:13" ht="15" thickBot="1" x14ac:dyDescent="0.35">
      <c r="A9" s="9">
        <v>106</v>
      </c>
      <c r="B9" s="10" t="s">
        <v>14</v>
      </c>
      <c r="C9" s="10" t="s">
        <v>15</v>
      </c>
      <c r="D9" s="10">
        <v>130</v>
      </c>
      <c r="E9" s="10">
        <v>140</v>
      </c>
      <c r="F9" s="10">
        <v>150</v>
      </c>
      <c r="G9" s="10">
        <v>160</v>
      </c>
      <c r="H9" s="11">
        <v>170</v>
      </c>
    </row>
    <row r="11" spans="1:13" ht="15" thickBot="1" x14ac:dyDescent="0.35">
      <c r="A11" s="1" t="s">
        <v>19</v>
      </c>
    </row>
    <row r="12" spans="1:13" x14ac:dyDescent="0.3">
      <c r="A12" s="25" t="s">
        <v>28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/>
    </row>
    <row r="13" spans="1:13" x14ac:dyDescent="0.3">
      <c r="A13" s="28" t="s">
        <v>2</v>
      </c>
      <c r="B13" s="14" t="s">
        <v>6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9"/>
    </row>
    <row r="14" spans="1:13" x14ac:dyDescent="0.3">
      <c r="A14" s="30" t="s">
        <v>11</v>
      </c>
      <c r="B14" s="12">
        <f>INDEX(F4:F9,MATCH(A14,B4:B9,0))</f>
        <v>220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9"/>
    </row>
    <row r="15" spans="1:13" x14ac:dyDescent="0.3">
      <c r="A15" s="31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9"/>
    </row>
    <row r="16" spans="1:13" x14ac:dyDescent="0.3">
      <c r="A16" s="32" t="s">
        <v>29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33"/>
    </row>
    <row r="17" spans="1:13" x14ac:dyDescent="0.3">
      <c r="A17" s="28" t="s">
        <v>2</v>
      </c>
      <c r="B17" s="14" t="s">
        <v>3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9"/>
    </row>
    <row r="18" spans="1:13" x14ac:dyDescent="0.3">
      <c r="A18" s="30" t="s">
        <v>13</v>
      </c>
      <c r="B18" s="12" t="str">
        <f>INDEX(C4:C9,MATCH(A18,B4:B9,0))</f>
        <v>Furniture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9"/>
    </row>
    <row r="19" spans="1:13" x14ac:dyDescent="0.3">
      <c r="A19" s="3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9"/>
    </row>
    <row r="20" spans="1:13" x14ac:dyDescent="0.3">
      <c r="A20" s="32" t="s">
        <v>30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33"/>
    </row>
    <row r="21" spans="1:13" x14ac:dyDescent="0.3">
      <c r="A21" s="28" t="s">
        <v>2</v>
      </c>
      <c r="B21" s="15" t="s">
        <v>20</v>
      </c>
      <c r="C21" s="34"/>
      <c r="D21" s="34"/>
      <c r="E21" s="34"/>
      <c r="F21" s="34"/>
      <c r="G21" s="24"/>
      <c r="H21" s="24"/>
      <c r="I21" s="24"/>
      <c r="J21" s="24"/>
      <c r="K21" s="24"/>
      <c r="L21" s="24"/>
      <c r="M21" s="29"/>
    </row>
    <row r="22" spans="1:13" x14ac:dyDescent="0.3">
      <c r="A22" s="6" t="s">
        <v>10</v>
      </c>
      <c r="B22" s="13">
        <f>MAX(INDEX(D4:H9,MATCH(A22,B4:B9,0),))</f>
        <v>190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9"/>
    </row>
    <row r="23" spans="1:13" x14ac:dyDescent="0.3">
      <c r="A23" s="31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9"/>
    </row>
    <row r="24" spans="1:13" x14ac:dyDescent="0.3">
      <c r="A24" s="32" t="s">
        <v>31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33"/>
    </row>
    <row r="25" spans="1:13" x14ac:dyDescent="0.3">
      <c r="A25" s="28" t="s">
        <v>2</v>
      </c>
      <c r="B25" s="15" t="s">
        <v>26</v>
      </c>
      <c r="C25" s="22"/>
      <c r="D25" s="22"/>
      <c r="E25" s="22"/>
      <c r="F25" s="22"/>
      <c r="G25" s="24"/>
      <c r="H25" s="24"/>
      <c r="I25" s="24"/>
      <c r="J25" s="24"/>
      <c r="K25" s="24"/>
      <c r="L25" s="24"/>
      <c r="M25" s="29"/>
    </row>
    <row r="26" spans="1:13" x14ac:dyDescent="0.3">
      <c r="A26" s="30" t="s">
        <v>9</v>
      </c>
      <c r="B26" s="13" t="str">
        <f>INDEX(D3:H3, MATCH(MAX(D4:H4), D4:H4,0))</f>
        <v>May Sales</v>
      </c>
      <c r="C26" s="23"/>
      <c r="D26" s="23"/>
      <c r="E26" s="23"/>
      <c r="F26" s="23"/>
      <c r="G26" s="24"/>
      <c r="H26" s="24"/>
      <c r="I26" s="24"/>
      <c r="J26" s="24"/>
      <c r="K26" s="24"/>
      <c r="L26" s="24"/>
      <c r="M26" s="29"/>
    </row>
    <row r="27" spans="1:13" x14ac:dyDescent="0.3">
      <c r="A27" s="31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9"/>
    </row>
    <row r="28" spans="1:13" x14ac:dyDescent="0.3">
      <c r="A28" s="32" t="s">
        <v>32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33"/>
    </row>
    <row r="29" spans="1:13" x14ac:dyDescent="0.3">
      <c r="A29" s="28" t="s">
        <v>3</v>
      </c>
      <c r="B29" s="21" t="s">
        <v>27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9"/>
    </row>
    <row r="30" spans="1:13" x14ac:dyDescent="0.3">
      <c r="A30" s="30" t="s">
        <v>15</v>
      </c>
      <c r="B30" s="16">
        <f ca="1">SUMIF(C4:C9,A30, INDEX(G4:G9, MATCH(A30,C4:C9,0),))</f>
        <v>540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9"/>
    </row>
    <row r="31" spans="1:13" x14ac:dyDescent="0.3">
      <c r="A31" s="31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9"/>
    </row>
    <row r="32" spans="1:13" x14ac:dyDescent="0.3">
      <c r="A32" s="32" t="s">
        <v>33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33"/>
    </row>
    <row r="33" spans="1:13" x14ac:dyDescent="0.3">
      <c r="A33" s="28" t="s">
        <v>2</v>
      </c>
      <c r="B33" s="15" t="s">
        <v>21</v>
      </c>
      <c r="C33" s="22"/>
      <c r="D33" s="22"/>
      <c r="E33" s="22"/>
      <c r="F33" s="22"/>
      <c r="G33" s="24"/>
      <c r="H33" s="24"/>
      <c r="I33" s="24"/>
      <c r="J33" s="24"/>
      <c r="K33" s="24"/>
      <c r="L33" s="24"/>
      <c r="M33" s="29"/>
    </row>
    <row r="34" spans="1:13" x14ac:dyDescent="0.3">
      <c r="A34" s="30" t="s">
        <v>12</v>
      </c>
      <c r="B34" s="13">
        <f>AVERAGE(INDEX(D4:H9,MATCH(A34,B4:B9,0),))</f>
        <v>110</v>
      </c>
      <c r="C34" s="23"/>
      <c r="D34" s="23"/>
      <c r="E34" s="23"/>
      <c r="F34" s="23"/>
      <c r="G34" s="24"/>
      <c r="H34" s="24"/>
      <c r="I34" s="24"/>
      <c r="J34" s="24"/>
      <c r="K34" s="24"/>
      <c r="L34" s="24"/>
      <c r="M34" s="29"/>
    </row>
    <row r="35" spans="1:13" x14ac:dyDescent="0.3">
      <c r="A35" s="31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9"/>
    </row>
    <row r="36" spans="1:13" x14ac:dyDescent="0.3">
      <c r="A36" s="32" t="s">
        <v>34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33"/>
    </row>
    <row r="37" spans="1:13" x14ac:dyDescent="0.3">
      <c r="A37" s="28" t="s">
        <v>22</v>
      </c>
      <c r="B37" s="14" t="s">
        <v>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9"/>
    </row>
    <row r="38" spans="1:13" x14ac:dyDescent="0.3">
      <c r="A38" s="30">
        <v>105</v>
      </c>
      <c r="B38" s="12">
        <f>INDEX(H4:H9,MATCH(A38,A4:A9,0))</f>
        <v>260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9"/>
    </row>
    <row r="39" spans="1:13" x14ac:dyDescent="0.3">
      <c r="A39" s="31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9"/>
    </row>
    <row r="40" spans="1:13" x14ac:dyDescent="0.3">
      <c r="A40" s="32" t="s">
        <v>35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33"/>
    </row>
    <row r="41" spans="1:13" x14ac:dyDescent="0.3">
      <c r="A41" s="28" t="s">
        <v>23</v>
      </c>
      <c r="B41" s="14" t="s">
        <v>24</v>
      </c>
      <c r="C41" s="15" t="s">
        <v>25</v>
      </c>
      <c r="D41" s="24"/>
      <c r="E41" s="24"/>
      <c r="F41" s="24"/>
      <c r="G41" s="24"/>
      <c r="H41" s="24"/>
      <c r="I41" s="24"/>
      <c r="J41" s="24"/>
      <c r="K41" s="24"/>
      <c r="L41" s="24"/>
      <c r="M41" s="29"/>
    </row>
    <row r="42" spans="1:13" ht="15" thickBot="1" x14ac:dyDescent="0.35">
      <c r="A42" s="35">
        <v>105</v>
      </c>
      <c r="B42" s="36" t="s">
        <v>6</v>
      </c>
      <c r="C42" s="37">
        <f>INDEX($D$4:$H$9, MATCH($A$42,$A$4:$A$9,0), MATCH($B$42,$D$3:$H$3,0))</f>
        <v>240</v>
      </c>
      <c r="D42" s="38"/>
      <c r="E42" s="38"/>
      <c r="F42" s="38"/>
      <c r="G42" s="38"/>
      <c r="H42" s="38"/>
      <c r="I42" s="38"/>
      <c r="J42" s="38"/>
      <c r="K42" s="38"/>
      <c r="L42" s="38"/>
      <c r="M42" s="39"/>
    </row>
    <row r="44" spans="1:13" x14ac:dyDescent="0.3">
      <c r="C44" s="24"/>
    </row>
  </sheetData>
  <mergeCells count="9">
    <mergeCell ref="A2:H2"/>
    <mergeCell ref="A40:M40"/>
    <mergeCell ref="A36:M36"/>
    <mergeCell ref="A32:M32"/>
    <mergeCell ref="A28:M28"/>
    <mergeCell ref="A24:M24"/>
    <mergeCell ref="A20:M20"/>
    <mergeCell ref="A16:M16"/>
    <mergeCell ref="A12:M12"/>
  </mergeCells>
  <dataValidations count="2">
    <dataValidation type="list" allowBlank="1" showInputMessage="1" showErrorMessage="1" sqref="B42" xr:uid="{61D2A5AC-388B-4FA0-9F4E-903E05C66DF9}">
      <formula1>$D$3:$H$3</formula1>
    </dataValidation>
    <dataValidation type="list" allowBlank="1" showInputMessage="1" showErrorMessage="1" sqref="A42" xr:uid="{FDB1CC2A-F6BA-416B-ADAD-32AF680904BF}">
      <formula1>$A$4:$A$9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2015-06-05T18:17:20Z</dcterms:created>
  <dcterms:modified xsi:type="dcterms:W3CDTF">2026-08-13T11:21:20Z</dcterms:modified>
</cp:coreProperties>
</file>