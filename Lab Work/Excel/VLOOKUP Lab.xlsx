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Homework\"/>
    </mc:Choice>
  </mc:AlternateContent>
  <xr:revisionPtr revIDLastSave="0" documentId="13_ncr:1_{F33A1791-5DB2-4F12-A3F7-279F855B1D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Orders" sheetId="2" r:id="rId2"/>
  </sheets>
  <definedNames>
    <definedName name="Orders">Orders!$B$1:$C$8</definedName>
    <definedName name="products">Products!$A$3:$C$9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3" i="2"/>
  <c r="K4" i="2"/>
  <c r="K5" i="2"/>
  <c r="K6" i="2"/>
  <c r="K7" i="2"/>
  <c r="K8" i="2"/>
  <c r="K3" i="2"/>
  <c r="A17" i="2"/>
  <c r="I4" i="2"/>
  <c r="I5" i="2"/>
  <c r="I6" i="2"/>
  <c r="I7" i="2"/>
  <c r="I8" i="2"/>
  <c r="I3" i="2"/>
  <c r="H4" i="2"/>
  <c r="H5" i="2"/>
  <c r="H6" i="2"/>
  <c r="H7" i="2"/>
  <c r="H8" i="2"/>
  <c r="H3" i="2"/>
  <c r="E3" i="2"/>
  <c r="D5" i="1"/>
  <c r="D6" i="1"/>
  <c r="D7" i="1"/>
  <c r="D8" i="1"/>
  <c r="D9" i="1"/>
  <c r="D4" i="1"/>
  <c r="G3" i="2"/>
  <c r="G4" i="2"/>
  <c r="G5" i="2"/>
  <c r="G6" i="2"/>
  <c r="G7" i="2"/>
  <c r="G8" i="2"/>
  <c r="F5" i="2"/>
  <c r="F8" i="2"/>
  <c r="E4" i="2"/>
  <c r="F4" i="2" s="1"/>
  <c r="E5" i="2"/>
  <c r="E6" i="2"/>
  <c r="E7" i="2"/>
  <c r="F7" i="2" s="1"/>
  <c r="E8" i="2"/>
  <c r="D4" i="2"/>
  <c r="D5" i="2"/>
  <c r="D6" i="2"/>
  <c r="D7" i="2"/>
  <c r="D8" i="2"/>
  <c r="D3" i="2"/>
  <c r="J8" i="2" l="1"/>
  <c r="J4" i="2"/>
  <c r="J5" i="2"/>
  <c r="F3" i="2"/>
  <c r="J3" i="2" s="1"/>
  <c r="J7" i="2"/>
  <c r="F6" i="2"/>
  <c r="J6" i="2" s="1"/>
</calcChain>
</file>

<file path=xl/sharedStrings.xml><?xml version="1.0" encoding="utf-8"?>
<sst xmlns="http://schemas.openxmlformats.org/spreadsheetml/2006/main" count="36" uniqueCount="34">
  <si>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</si>
  <si>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</si>
  <si>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</si>
  <si>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</si>
  <si>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</si>
  <si>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</si>
  <si>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</si>
  <si>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</si>
  <si>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</si>
  <si>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VLOOKUP EXERCISES</t>
  </si>
  <si>
    <t>Products</t>
  </si>
  <si>
    <t>Orders</t>
  </si>
  <si>
    <t>OrderID</t>
  </si>
  <si>
    <t>Quantity</t>
  </si>
  <si>
    <t>Product Names</t>
  </si>
  <si>
    <t>Total Price</t>
  </si>
  <si>
    <t>Product Present/Not</t>
  </si>
  <si>
    <t>ASSIGNMENT SOLUTIONS</t>
  </si>
  <si>
    <t>Discounted Price</t>
  </si>
  <si>
    <t>Order Value</t>
  </si>
  <si>
    <t>Maximum Order Value</t>
  </si>
  <si>
    <t>Status (Q.6)</t>
  </si>
  <si>
    <t>QUESTIONS</t>
  </si>
  <si>
    <r>
      <t xml:space="preserve">1. Use VLOOKUP to find the </t>
    </r>
    <r>
      <rPr>
        <b/>
        <sz val="11"/>
        <color theme="1"/>
        <rFont val="Calibri"/>
        <family val="2"/>
        <scheme val="minor"/>
      </rPr>
      <t>product names</t>
    </r>
    <r>
      <rPr>
        <sz val="11"/>
        <color theme="1"/>
        <rFont val="Calibri"/>
        <family val="2"/>
        <scheme val="minor"/>
      </rPr>
      <t xml:space="preserve"> for each ProductID in the Orders worksheet.</t>
    </r>
  </si>
  <si>
    <r>
      <t xml:space="preserve">2. Use VLOOKUP to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for each ProductID in the Orders worksheet, then calculate the </t>
    </r>
    <r>
      <rPr>
        <b/>
        <sz val="11"/>
        <color theme="1"/>
        <rFont val="Calibri"/>
        <family val="2"/>
        <scheme val="minor"/>
      </rPr>
      <t>TotalPrice</t>
    </r>
    <r>
      <rPr>
        <sz val="11"/>
        <color theme="1"/>
        <rFont val="Calibri"/>
        <family val="2"/>
        <scheme val="minor"/>
      </rPr>
      <t xml:space="preserve"> by multiplying the Quantity by the Product Price.</t>
    </r>
  </si>
  <si>
    <r>
      <t>3. Use VLOOKUP to check if there are any ProductIDs in the Orders worksheet that do not</t>
    </r>
    <r>
      <rPr>
        <b/>
        <sz val="11"/>
        <color theme="1"/>
        <rFont val="Calibri"/>
        <family val="2"/>
        <scheme val="minor"/>
      </rPr>
      <t xml:space="preserve"> exist</t>
    </r>
    <r>
      <rPr>
        <sz val="11"/>
        <color theme="1"/>
        <rFont val="Calibri"/>
        <family val="2"/>
        <scheme val="minor"/>
      </rPr>
      <t xml:space="preserve"> in the Products worksheet.</t>
    </r>
  </si>
  <si>
    <r>
      <t xml:space="preserve">4. Assume a discount of 10% is given on all products. Use VLOOKUP to find the </t>
    </r>
    <r>
      <rPr>
        <b/>
        <sz val="11"/>
        <color theme="1"/>
        <rFont val="Calibri"/>
        <family val="2"/>
        <scheme val="minor"/>
      </rPr>
      <t>original price</t>
    </r>
    <r>
      <rPr>
        <sz val="11"/>
        <color theme="1"/>
        <rFont val="Calibri"/>
        <family val="2"/>
        <scheme val="minor"/>
      </rPr>
      <t xml:space="preserve"> and then calculate the </t>
    </r>
    <r>
      <rPr>
        <b/>
        <sz val="11"/>
        <color theme="1"/>
        <rFont val="Calibri"/>
        <family val="2"/>
        <scheme val="minor"/>
      </rPr>
      <t>discounted price</t>
    </r>
    <r>
      <rPr>
        <sz val="11"/>
        <color theme="1"/>
        <rFont val="Calibri"/>
        <family val="2"/>
        <scheme val="minor"/>
      </rPr>
      <t>.</t>
    </r>
  </si>
  <si>
    <t>Original Price</t>
  </si>
  <si>
    <r>
      <t>5. Use VLOOKUP to find the</t>
    </r>
    <r>
      <rPr>
        <b/>
        <sz val="11"/>
        <color theme="1"/>
        <rFont val="Calibri"/>
        <family val="2"/>
        <scheme val="minor"/>
      </rPr>
      <t xml:space="preserve"> price</t>
    </r>
    <r>
      <rPr>
        <sz val="11"/>
        <color theme="1"/>
        <rFont val="Calibri"/>
        <family val="2"/>
        <scheme val="minor"/>
      </rPr>
      <t xml:space="preserve"> for each ProductID and then calculate the </t>
    </r>
    <r>
      <rPr>
        <b/>
        <sz val="11"/>
        <color theme="1"/>
        <rFont val="Calibri"/>
        <family val="2"/>
        <scheme val="minor"/>
      </rPr>
      <t>order value.</t>
    </r>
    <r>
      <rPr>
        <sz val="11"/>
        <color theme="1"/>
        <rFont val="Calibri"/>
        <family val="2"/>
        <scheme val="minor"/>
      </rPr>
      <t xml:space="preserve"> Find the</t>
    </r>
    <r>
      <rPr>
        <b/>
        <sz val="11"/>
        <color theme="1"/>
        <rFont val="Calibri"/>
        <family val="2"/>
        <scheme val="minor"/>
      </rPr>
      <t xml:space="preserve"> maximum order value</t>
    </r>
    <r>
      <rPr>
        <sz val="11"/>
        <color theme="1"/>
        <rFont val="Calibri"/>
        <family val="2"/>
        <scheme val="minor"/>
      </rPr>
      <t xml:space="preserve"> from the list.</t>
    </r>
  </si>
  <si>
    <r>
      <t xml:space="preserve">6. Use VLOOKUP to find out </t>
    </r>
    <r>
      <rPr>
        <b/>
        <sz val="11"/>
        <color theme="1"/>
        <rFont val="Calibri"/>
        <family val="2"/>
        <scheme val="minor"/>
      </rPr>
      <t>which products</t>
    </r>
    <r>
      <rPr>
        <sz val="11"/>
        <color theme="1"/>
        <rFont val="Calibri"/>
        <family val="2"/>
        <scheme val="minor"/>
      </rPr>
      <t xml:space="preserve"> from the </t>
    </r>
    <r>
      <rPr>
        <b/>
        <sz val="11"/>
        <color theme="1"/>
        <rFont val="Calibri"/>
        <family val="2"/>
        <scheme val="minor"/>
      </rPr>
      <t>Products worksheet have not been ordered.</t>
    </r>
  </si>
  <si>
    <t>Assignment answers</t>
  </si>
  <si>
    <t>Total Quantity Sold</t>
  </si>
  <si>
    <t>Product Name</t>
  </si>
  <si>
    <r>
      <t xml:space="preserve">7. Use VLOOKUP to find the </t>
    </r>
    <r>
      <rPr>
        <b/>
        <sz val="11"/>
        <color theme="1"/>
        <rFont val="Calibri"/>
        <family val="2"/>
        <scheme val="minor"/>
      </rPr>
      <t>Product Name</t>
    </r>
    <r>
      <rPr>
        <sz val="11"/>
        <color theme="1"/>
        <rFont val="Calibri"/>
        <family val="2"/>
        <scheme val="minor"/>
      </rPr>
      <t xml:space="preserve"> and summarize the </t>
    </r>
    <r>
      <rPr>
        <b/>
        <sz val="11"/>
        <color theme="1"/>
        <rFont val="Calibri"/>
        <family val="2"/>
        <scheme val="minor"/>
      </rPr>
      <t xml:space="preserve">total quantity sold </t>
    </r>
    <r>
      <rPr>
        <sz val="11"/>
        <color theme="1"/>
        <rFont val="Calibri"/>
        <family val="2"/>
        <scheme val="minor"/>
      </rPr>
      <t>for each product.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</si>
</sst>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5E3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1D6"/>
        <bgColor indexed="64"/>
      </patternFill>
    </fill>
    <fill>
      <patternFill patternType="solid">
        <fgColor rgb="FFA679FF"/>
        <bgColor indexed="64"/>
      </patternFill>
    </fill>
    <fill>
      <patternFill patternType="solid">
        <fgColor rgb="FFCAA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1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11" borderId="1" xfId="0" applyFill="1" applyBorder="1"/>
    <xf numFmtId="0" fontId="0" fillId="9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0" fillId="17" borderId="23" xfId="0" applyFill="1" applyBorder="1"/>
    <xf numFmtId="0" fontId="0" fillId="17" borderId="24" xfId="0" applyFill="1" applyBorder="1"/>
    <xf numFmtId="0" fontId="1" fillId="5" borderId="22" xfId="0" applyFont="1" applyFill="1" applyBorder="1"/>
    <xf numFmtId="0" fontId="0" fillId="17" borderId="25" xfId="0" applyFill="1" applyBorder="1"/>
    <xf numFmtId="0" fontId="2" fillId="16" borderId="22" xfId="0" applyFont="1" applyFill="1" applyBorder="1"/>
    <xf numFmtId="0" fontId="0" fillId="19" borderId="1" xfId="0" applyFill="1" applyBorder="1"/>
    <xf numFmtId="0" fontId="0" fillId="7" borderId="8" xfId="0" applyFill="1" applyBorder="1"/>
    <xf numFmtId="0" fontId="0" fillId="19" borderId="9" xfId="0" applyFill="1" applyBorder="1"/>
    <xf numFmtId="0" fontId="0" fillId="7" borderId="10" xfId="0" applyFill="1" applyBorder="1"/>
    <xf numFmtId="0" fontId="0" fillId="11" borderId="11" xfId="0" applyFill="1" applyBorder="1"/>
    <xf numFmtId="0" fontId="0" fillId="9" borderId="11" xfId="0" applyFill="1" applyBorder="1"/>
    <xf numFmtId="0" fontId="0" fillId="13" borderId="11" xfId="0" applyFill="1" applyBorder="1"/>
    <xf numFmtId="0" fontId="0" fillId="15" borderId="11" xfId="0" applyFill="1" applyBorder="1"/>
    <xf numFmtId="0" fontId="0" fillId="19" borderId="11" xfId="0" applyFill="1" applyBorder="1"/>
    <xf numFmtId="0" fontId="0" fillId="19" borderId="12" xfId="0" applyFill="1" applyBorder="1"/>
    <xf numFmtId="0" fontId="0" fillId="7" borderId="6" xfId="0" applyFill="1" applyBorder="1"/>
    <xf numFmtId="0" fontId="0" fillId="11" borderId="2" xfId="0" applyFill="1" applyBorder="1"/>
    <xf numFmtId="0" fontId="0" fillId="9" borderId="2" xfId="0" applyFill="1" applyBorder="1"/>
    <xf numFmtId="0" fontId="0" fillId="13" borderId="2" xfId="0" applyFill="1" applyBorder="1"/>
    <xf numFmtId="0" fontId="0" fillId="15" borderId="2" xfId="0" applyFill="1" applyBorder="1"/>
    <xf numFmtId="0" fontId="0" fillId="19" borderId="2" xfId="0" applyFill="1" applyBorder="1"/>
    <xf numFmtId="0" fontId="0" fillId="19" borderId="7" xfId="0" applyFill="1" applyBorder="1"/>
    <xf numFmtId="0" fontId="2" fillId="6" borderId="13" xfId="0" applyFont="1" applyFill="1" applyBorder="1"/>
    <xf numFmtId="0" fontId="2" fillId="10" borderId="14" xfId="0" applyFont="1" applyFill="1" applyBorder="1"/>
    <xf numFmtId="0" fontId="2" fillId="8" borderId="14" xfId="0" applyFont="1" applyFill="1" applyBorder="1"/>
    <xf numFmtId="0" fontId="2" fillId="12" borderId="14" xfId="0" applyFont="1" applyFill="1" applyBorder="1"/>
    <xf numFmtId="0" fontId="2" fillId="18" borderId="14" xfId="0" applyFont="1" applyFill="1" applyBorder="1"/>
    <xf numFmtId="0" fontId="2" fillId="18" borderId="15" xfId="0" applyFont="1" applyFill="1" applyBorder="1"/>
    <xf numFmtId="0" fontId="0" fillId="0" borderId="29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14" borderId="8" xfId="0" applyFill="1" applyBorder="1"/>
    <xf numFmtId="0" fontId="0" fillId="14" borderId="1" xfId="0" applyFill="1" applyBorder="1"/>
    <xf numFmtId="0" fontId="0" fillId="14" borderId="9" xfId="0" applyFill="1" applyBorder="1"/>
    <xf numFmtId="0" fontId="0" fillId="8" borderId="8" xfId="0" applyFill="1" applyBorder="1"/>
    <xf numFmtId="0" fontId="0" fillId="8" borderId="1" xfId="0" applyFill="1" applyBorder="1"/>
    <xf numFmtId="0" fontId="0" fillId="8" borderId="9" xfId="0" applyFill="1" applyBorder="1"/>
    <xf numFmtId="0" fontId="0" fillId="12" borderId="8" xfId="0" applyFill="1" applyBorder="1"/>
    <xf numFmtId="0" fontId="0" fillId="12" borderId="1" xfId="0" applyFill="1" applyBorder="1"/>
    <xf numFmtId="0" fontId="0" fillId="12" borderId="9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20" xfId="0" applyFill="1" applyBorder="1"/>
    <xf numFmtId="0" fontId="0" fillId="3" borderId="21" xfId="0" applyFill="1" applyBorder="1"/>
    <xf numFmtId="0" fontId="0" fillId="16" borderId="8" xfId="0" applyFill="1" applyBorder="1"/>
    <xf numFmtId="0" fontId="0" fillId="16" borderId="1" xfId="0" applyFill="1" applyBorder="1"/>
    <xf numFmtId="0" fontId="0" fillId="16" borderId="9" xfId="0" applyFill="1" applyBorder="1"/>
    <xf numFmtId="0" fontId="0" fillId="18" borderId="10" xfId="0" applyFill="1" applyBorder="1"/>
    <xf numFmtId="0" fontId="0" fillId="18" borderId="11" xfId="0" applyFill="1" applyBorder="1"/>
    <xf numFmtId="0" fontId="0" fillId="18" borderId="12" xfId="0" applyFill="1" applyBorder="1"/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15" borderId="19" xfId="0" applyFill="1" applyBorder="1"/>
    <xf numFmtId="0" fontId="0" fillId="15" borderId="20" xfId="0" applyFill="1" applyBorder="1"/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AFFF"/>
      <color rgb="FFA679FF"/>
      <color rgb="FF9966FF"/>
      <color rgb="FFFFC1D6"/>
      <color rgb="FFFF6699"/>
      <color rgb="FFEE00EE"/>
      <color rgb="FFFF00FF"/>
      <color rgb="FFD5E3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F12" sqref="F12:F13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5.109375" bestFit="1" customWidth="1"/>
    <col min="4" max="4" width="18.21875" bestFit="1" customWidth="1"/>
  </cols>
  <sheetData>
    <row r="1" spans="1:4" ht="15" thickBot="1" x14ac:dyDescent="0.35">
      <c r="A1" s="1" t="s">
        <v>9</v>
      </c>
    </row>
    <row r="2" spans="1:4" ht="15" thickBot="1" x14ac:dyDescent="0.35">
      <c r="A2" s="50" t="s">
        <v>10</v>
      </c>
      <c r="B2" s="51"/>
      <c r="C2" s="52"/>
      <c r="D2" s="23" t="s">
        <v>30</v>
      </c>
    </row>
    <row r="3" spans="1:4" ht="15" thickBot="1" x14ac:dyDescent="0.35">
      <c r="A3" s="2" t="s">
        <v>0</v>
      </c>
      <c r="B3" s="3" t="s">
        <v>1</v>
      </c>
      <c r="C3" s="4" t="s">
        <v>2</v>
      </c>
      <c r="D3" s="25" t="s">
        <v>21</v>
      </c>
    </row>
    <row r="4" spans="1:4" x14ac:dyDescent="0.3">
      <c r="A4" s="5">
        <v>101</v>
      </c>
      <c r="B4" s="6" t="s">
        <v>3</v>
      </c>
      <c r="C4" s="7">
        <v>120</v>
      </c>
      <c r="D4" s="24" t="str">
        <f>IF(ISNA(VLOOKUP(A4,Orders!$B$3:$B$8,1,0)),"Not Ordered","Ordered")</f>
        <v>Ordered</v>
      </c>
    </row>
    <row r="5" spans="1:4" x14ac:dyDescent="0.3">
      <c r="A5" s="8">
        <v>102</v>
      </c>
      <c r="B5" s="9" t="s">
        <v>4</v>
      </c>
      <c r="C5" s="10">
        <v>150</v>
      </c>
      <c r="D5" s="21" t="str">
        <f>IF(ISNA(VLOOKUP(A5,Orders!$B$3:$B$8,1,0)),"Not Ordered","Ordered")</f>
        <v>Ordered</v>
      </c>
    </row>
    <row r="6" spans="1:4" x14ac:dyDescent="0.3">
      <c r="A6" s="8">
        <v>103</v>
      </c>
      <c r="B6" s="9" t="s">
        <v>5</v>
      </c>
      <c r="C6" s="10">
        <v>200</v>
      </c>
      <c r="D6" s="21" t="str">
        <f>IF(ISNA(VLOOKUP(A6,Orders!$B$3:$B$8,1,0)),"Not Ordered","Ordered")</f>
        <v>Ordered</v>
      </c>
    </row>
    <row r="7" spans="1:4" x14ac:dyDescent="0.3">
      <c r="A7" s="8">
        <v>104</v>
      </c>
      <c r="B7" s="9" t="s">
        <v>6</v>
      </c>
      <c r="C7" s="10">
        <v>90</v>
      </c>
      <c r="D7" s="21" t="str">
        <f>IF(ISNA(VLOOKUP(A7,Orders!$B$3:$B$8,1,0)),"Not Ordered","Ordered")</f>
        <v>Ordered</v>
      </c>
    </row>
    <row r="8" spans="1:4" x14ac:dyDescent="0.3">
      <c r="A8" s="8">
        <v>105</v>
      </c>
      <c r="B8" s="9" t="s">
        <v>7</v>
      </c>
      <c r="C8" s="10">
        <v>220</v>
      </c>
      <c r="D8" s="21" t="str">
        <f>IF(ISNA(VLOOKUP(A8,Orders!$B$3:$B$8,1,0)),"Not Ordered","Ordered")</f>
        <v>Ordered</v>
      </c>
    </row>
    <row r="9" spans="1:4" ht="15" thickBot="1" x14ac:dyDescent="0.35">
      <c r="A9" s="11">
        <v>106</v>
      </c>
      <c r="B9" s="12" t="s">
        <v>8</v>
      </c>
      <c r="C9" s="13">
        <v>130</v>
      </c>
      <c r="D9" s="22" t="str">
        <f>IF(ISNA(VLOOKUP(A9,Orders!$B$3:$B$8,1,0)),"Not Ordered","Ordered")</f>
        <v>Ordered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D341-7F8F-407D-AE4B-B90C0F940BEE}">
  <dimension ref="A1:L19"/>
  <sheetViews>
    <sheetView tabSelected="1" workbookViewId="0">
      <selection activeCell="B23" sqref="B23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14" bestFit="1" customWidth="1"/>
    <col min="5" max="5" width="5.109375" bestFit="1" customWidth="1"/>
    <col min="6" max="6" width="9.77734375" bestFit="1" customWidth="1"/>
    <col min="7" max="7" width="18.6640625" bestFit="1" customWidth="1"/>
    <col min="8" max="8" width="12" bestFit="1" customWidth="1"/>
    <col min="9" max="9" width="15.109375" bestFit="1" customWidth="1"/>
    <col min="10" max="10" width="11" bestFit="1" customWidth="1"/>
    <col min="11" max="11" width="13.21875" bestFit="1" customWidth="1"/>
    <col min="12" max="12" width="17.33203125" bestFit="1" customWidth="1"/>
  </cols>
  <sheetData>
    <row r="1" spans="1:12" ht="15" thickBot="1" x14ac:dyDescent="0.35">
      <c r="A1" s="50" t="s">
        <v>11</v>
      </c>
      <c r="B1" s="51"/>
      <c r="C1" s="52"/>
      <c r="D1" s="53" t="s">
        <v>17</v>
      </c>
      <c r="E1" s="54"/>
      <c r="F1" s="54"/>
      <c r="G1" s="54"/>
      <c r="H1" s="54"/>
      <c r="I1" s="54"/>
      <c r="J1" s="54"/>
      <c r="K1" s="54"/>
      <c r="L1" s="55"/>
    </row>
    <row r="2" spans="1:12" ht="15" thickBot="1" x14ac:dyDescent="0.35">
      <c r="A2" s="2" t="s">
        <v>12</v>
      </c>
      <c r="B2" s="3" t="s">
        <v>0</v>
      </c>
      <c r="C2" s="4" t="s">
        <v>13</v>
      </c>
      <c r="D2" s="43" t="s">
        <v>14</v>
      </c>
      <c r="E2" s="44" t="s">
        <v>2</v>
      </c>
      <c r="F2" s="44" t="s">
        <v>15</v>
      </c>
      <c r="G2" s="45" t="s">
        <v>16</v>
      </c>
      <c r="H2" s="46" t="s">
        <v>27</v>
      </c>
      <c r="I2" s="46" t="s">
        <v>18</v>
      </c>
      <c r="J2" s="3" t="s">
        <v>19</v>
      </c>
      <c r="K2" s="47" t="s">
        <v>32</v>
      </c>
      <c r="L2" s="48" t="s">
        <v>31</v>
      </c>
    </row>
    <row r="3" spans="1:12" x14ac:dyDescent="0.3">
      <c r="A3" s="5">
        <v>1</v>
      </c>
      <c r="B3" s="14">
        <v>101</v>
      </c>
      <c r="C3" s="7">
        <v>2</v>
      </c>
      <c r="D3" s="36" t="str">
        <f>VLOOKUP(B3,Products!$A$3:$B$9,2,0)</f>
        <v>Product A</v>
      </c>
      <c r="E3" s="37">
        <f>VLOOKUP(B3,Products!$A$4:$C$9,3,0)</f>
        <v>120</v>
      </c>
      <c r="F3" s="37">
        <f>C3*E3</f>
        <v>240</v>
      </c>
      <c r="G3" s="38" t="str">
        <f>IF(ISNA(VLOOKUP(B3,Products!$A$3:$A$9,1,0)),"No","Yes")</f>
        <v>Yes</v>
      </c>
      <c r="H3" s="39">
        <f>VLOOKUP(B3,Products!$A$4:$C$9,3,0)</f>
        <v>120</v>
      </c>
      <c r="I3" s="39">
        <f>H3*90%</f>
        <v>108</v>
      </c>
      <c r="J3" s="40">
        <f>F3-I3</f>
        <v>132</v>
      </c>
      <c r="K3" s="41" t="str">
        <f>VLOOKUP(B3,Products!$A$3:$B$9,2,0)</f>
        <v>Product A</v>
      </c>
      <c r="L3" s="42">
        <f>SUMIF(B3:B8,B3,C3:C8)</f>
        <v>2</v>
      </c>
    </row>
    <row r="4" spans="1:12" x14ac:dyDescent="0.3">
      <c r="A4" s="8">
        <v>2</v>
      </c>
      <c r="B4" s="15">
        <v>103</v>
      </c>
      <c r="C4" s="10">
        <v>1</v>
      </c>
      <c r="D4" s="27" t="str">
        <f>VLOOKUP(B4,Products!$A$3:$B$9,2,0)</f>
        <v>Product C</v>
      </c>
      <c r="E4" s="17">
        <f>VLOOKUP(B4,Products!$A$4:$C$9,3,0)</f>
        <v>200</v>
      </c>
      <c r="F4" s="17">
        <f t="shared" ref="F4:F8" si="0">C4*E4</f>
        <v>200</v>
      </c>
      <c r="G4" s="18" t="str">
        <f>IF(ISNA(VLOOKUP(B4,Products!$A$3:$A$9,1,0)),"No","Yes")</f>
        <v>Yes</v>
      </c>
      <c r="H4" s="19">
        <f>VLOOKUP(B4,Products!$A$4:$C$9,3,0)</f>
        <v>200</v>
      </c>
      <c r="I4" s="19">
        <f t="shared" ref="I4:I8" si="1">H4*90%</f>
        <v>180</v>
      </c>
      <c r="J4" s="20">
        <f t="shared" ref="J4:J8" si="2">F4-I4</f>
        <v>20</v>
      </c>
      <c r="K4" s="26" t="str">
        <f>VLOOKUP(B4,Products!$A$3:$B$9,2,0)</f>
        <v>Product C</v>
      </c>
      <c r="L4" s="28">
        <f t="shared" ref="L4:L8" si="3">SUMIF(B4:B9,B4,C4:C9)</f>
        <v>1</v>
      </c>
    </row>
    <row r="5" spans="1:12" x14ac:dyDescent="0.3">
      <c r="A5" s="8">
        <v>3</v>
      </c>
      <c r="B5" s="15">
        <v>105</v>
      </c>
      <c r="C5" s="10">
        <v>4</v>
      </c>
      <c r="D5" s="27" t="str">
        <f>VLOOKUP(B5,Products!$A$3:$B$9,2,0)</f>
        <v>Product E</v>
      </c>
      <c r="E5" s="17">
        <f>VLOOKUP(B5,Products!$A$4:$C$9,3,0)</f>
        <v>220</v>
      </c>
      <c r="F5" s="17">
        <f t="shared" si="0"/>
        <v>880</v>
      </c>
      <c r="G5" s="18" t="str">
        <f>IF(ISNA(VLOOKUP(B5,Products!$A$3:$A$9,1,0)),"No","Yes")</f>
        <v>Yes</v>
      </c>
      <c r="H5" s="19">
        <f>VLOOKUP(B5,Products!$A$4:$C$9,3,0)</f>
        <v>220</v>
      </c>
      <c r="I5" s="19">
        <f t="shared" si="1"/>
        <v>198</v>
      </c>
      <c r="J5" s="20">
        <f t="shared" si="2"/>
        <v>682</v>
      </c>
      <c r="K5" s="26" t="str">
        <f>VLOOKUP(B5,Products!$A$3:$B$9,2,0)</f>
        <v>Product E</v>
      </c>
      <c r="L5" s="28">
        <f t="shared" si="3"/>
        <v>4</v>
      </c>
    </row>
    <row r="6" spans="1:12" x14ac:dyDescent="0.3">
      <c r="A6" s="8">
        <v>4</v>
      </c>
      <c r="B6" s="15">
        <v>106</v>
      </c>
      <c r="C6" s="10">
        <v>3</v>
      </c>
      <c r="D6" s="27" t="str">
        <f>VLOOKUP(B6,Products!$A$3:$B$9,2,0)</f>
        <v>Product F</v>
      </c>
      <c r="E6" s="17">
        <f>VLOOKUP(B6,Products!$A$4:$C$9,3,0)</f>
        <v>130</v>
      </c>
      <c r="F6" s="17">
        <f t="shared" si="0"/>
        <v>390</v>
      </c>
      <c r="G6" s="18" t="str">
        <f>IF(ISNA(VLOOKUP(B6,Products!$A$3:$A$9,1,0)),"No","Yes")</f>
        <v>Yes</v>
      </c>
      <c r="H6" s="19">
        <f>VLOOKUP(B6,Products!$A$4:$C$9,3,0)</f>
        <v>130</v>
      </c>
      <c r="I6" s="19">
        <f t="shared" si="1"/>
        <v>117</v>
      </c>
      <c r="J6" s="20">
        <f t="shared" si="2"/>
        <v>273</v>
      </c>
      <c r="K6" s="26" t="str">
        <f>VLOOKUP(B6,Products!$A$3:$B$9,2,0)</f>
        <v>Product F</v>
      </c>
      <c r="L6" s="28">
        <f t="shared" si="3"/>
        <v>3</v>
      </c>
    </row>
    <row r="7" spans="1:12" x14ac:dyDescent="0.3">
      <c r="A7" s="8">
        <v>5</v>
      </c>
      <c r="B7" s="15">
        <v>102</v>
      </c>
      <c r="C7" s="10">
        <v>5</v>
      </c>
      <c r="D7" s="27" t="str">
        <f>VLOOKUP(B7,Products!$A$3:$B$9,2,0)</f>
        <v>Product B</v>
      </c>
      <c r="E7" s="17">
        <f>VLOOKUP(B7,Products!$A$4:$C$9,3,0)</f>
        <v>150</v>
      </c>
      <c r="F7" s="17">
        <f t="shared" si="0"/>
        <v>750</v>
      </c>
      <c r="G7" s="18" t="str">
        <f>IF(ISNA(VLOOKUP(B7,Products!$A$3:$A$9,1,0)),"No","Yes")</f>
        <v>Yes</v>
      </c>
      <c r="H7" s="19">
        <f>VLOOKUP(B7,Products!$A$4:$C$9,3,0)</f>
        <v>150</v>
      </c>
      <c r="I7" s="19">
        <f t="shared" si="1"/>
        <v>135</v>
      </c>
      <c r="J7" s="20">
        <f t="shared" si="2"/>
        <v>615</v>
      </c>
      <c r="K7" s="26" t="str">
        <f>VLOOKUP(B7,Products!$A$3:$B$9,2,0)</f>
        <v>Product B</v>
      </c>
      <c r="L7" s="28">
        <f t="shared" si="3"/>
        <v>5</v>
      </c>
    </row>
    <row r="8" spans="1:12" ht="15" thickBot="1" x14ac:dyDescent="0.35">
      <c r="A8" s="11">
        <v>6</v>
      </c>
      <c r="B8" s="16">
        <v>104</v>
      </c>
      <c r="C8" s="13">
        <v>6</v>
      </c>
      <c r="D8" s="29" t="str">
        <f>VLOOKUP(B8,Products!$A$3:$B$9,2,0)</f>
        <v>Product D</v>
      </c>
      <c r="E8" s="30">
        <f>VLOOKUP(B8,Products!$A$4:$C$9,3,0)</f>
        <v>90</v>
      </c>
      <c r="F8" s="30">
        <f t="shared" si="0"/>
        <v>540</v>
      </c>
      <c r="G8" s="31" t="str">
        <f>IF(ISNA(VLOOKUP(B8,Products!$A$3:$A$9,1,0)),"No","Yes")</f>
        <v>Yes</v>
      </c>
      <c r="H8" s="32">
        <f>VLOOKUP(B8,Products!$A$4:$C$9,3,0)</f>
        <v>90</v>
      </c>
      <c r="I8" s="32">
        <f t="shared" si="1"/>
        <v>81</v>
      </c>
      <c r="J8" s="33">
        <f t="shared" si="2"/>
        <v>459</v>
      </c>
      <c r="K8" s="34" t="str">
        <f>VLOOKUP(B8,Products!$A$3:$B$9,2,0)</f>
        <v>Product D</v>
      </c>
      <c r="L8" s="35">
        <f t="shared" si="3"/>
        <v>6</v>
      </c>
    </row>
    <row r="10" spans="1:12" ht="15" thickBot="1" x14ac:dyDescent="0.35">
      <c r="A10" s="1" t="s">
        <v>22</v>
      </c>
    </row>
    <row r="11" spans="1:12" x14ac:dyDescent="0.3">
      <c r="A11" s="79" t="s">
        <v>23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x14ac:dyDescent="0.3">
      <c r="A12" s="56" t="s">
        <v>24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x14ac:dyDescent="0.3">
      <c r="A13" s="59" t="s">
        <v>25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x14ac:dyDescent="0.3">
      <c r="A14" s="62" t="s">
        <v>26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x14ac:dyDescent="0.3">
      <c r="A15" s="65" t="s">
        <v>28</v>
      </c>
      <c r="B15" s="66"/>
      <c r="C15" s="66"/>
      <c r="D15" s="67"/>
      <c r="E15" s="67"/>
      <c r="F15" s="67"/>
      <c r="G15" s="67"/>
      <c r="H15" s="67"/>
      <c r="I15" s="67"/>
      <c r="J15" s="67"/>
      <c r="K15" s="67"/>
      <c r="L15" s="68"/>
    </row>
    <row r="16" spans="1:12" x14ac:dyDescent="0.3">
      <c r="A16" s="75" t="s">
        <v>20</v>
      </c>
      <c r="B16" s="76"/>
      <c r="C16" s="76"/>
      <c r="L16" s="49"/>
    </row>
    <row r="17" spans="1:12" x14ac:dyDescent="0.3">
      <c r="A17" s="77">
        <f>MAX(J3:J8)</f>
        <v>682</v>
      </c>
      <c r="B17" s="78"/>
      <c r="C17" s="78"/>
      <c r="L17" s="49"/>
    </row>
    <row r="18" spans="1:12" x14ac:dyDescent="0.3">
      <c r="A18" s="69" t="s">
        <v>29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ht="15" thickBot="1" x14ac:dyDescent="0.35">
      <c r="A19" s="72" t="s">
        <v>33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4"/>
    </row>
  </sheetData>
  <mergeCells count="11">
    <mergeCell ref="A18:L18"/>
    <mergeCell ref="A19:L19"/>
    <mergeCell ref="A16:C16"/>
    <mergeCell ref="A17:C17"/>
    <mergeCell ref="A1:C1"/>
    <mergeCell ref="A11:L11"/>
    <mergeCell ref="D1:L1"/>
    <mergeCell ref="A12:L12"/>
    <mergeCell ref="A13:L13"/>
    <mergeCell ref="A14:L14"/>
    <mergeCell ref="A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Products</vt:lpstr>
      <vt:lpstr>Orders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2015-06-05T18:17:20Z</dcterms:created>
  <dcterms:modified xsi:type="dcterms:W3CDTF">2026-08-10T13:22:14Z</dcterms:modified>
</cp:coreProperties>
</file>