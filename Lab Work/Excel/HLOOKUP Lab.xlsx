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rnab\Documents\Anudip-Data Analytics\Excel\Homework\"/>
    </mc:Choice>
  </mc:AlternateContent>
  <xr:revisionPtr revIDLastSave="0" documentId="13_ncr:1_{A3F014AF-2DBF-48C3-B19C-4EC653F72D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1" l="1"/>
  <c r="C37" i="1"/>
  <c r="D37" i="1"/>
  <c r="E37" i="1"/>
  <c r="F37" i="1"/>
  <c r="B37" i="1"/>
  <c r="G33" i="1"/>
  <c r="C33" i="1"/>
  <c r="D33" i="1"/>
  <c r="E33" i="1"/>
  <c r="F33" i="1"/>
  <c r="B33" i="1"/>
  <c r="G29" i="1"/>
  <c r="C29" i="1"/>
  <c r="D29" i="1"/>
  <c r="E29" i="1"/>
  <c r="F29" i="1"/>
  <c r="B29" i="1"/>
  <c r="B21" i="1"/>
  <c r="B25" i="1"/>
  <c r="C25" i="1" s="1"/>
  <c r="D25" i="1" s="1"/>
  <c r="E25" i="1" s="1"/>
  <c r="F25" i="1" s="1"/>
  <c r="B13" i="1"/>
  <c r="B17" i="1"/>
  <c r="G25" i="1" l="1"/>
</calcChain>
</file>

<file path=xl/sharedStrings.xml><?xml version="1.0" encoding="utf-8"?>
<sst xmlns="http://schemas.openxmlformats.org/spreadsheetml/2006/main" count="55" uniqueCount="25">
  <si>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</si>
  <si>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</si>
  <si>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</si>
  <si>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</si>
  <si>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</si>
  <si>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</si>
  <si>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</si>
  <si>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</si>
  <si>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</si>
  <si>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</si>
  <si>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</si>
  <si>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4. Use HLOOKUP to find the sales for each month for a product, then calculate the total sales for that product.</t>
  </si>
  <si>
    <t>6. Use HLOOKUP to find the minimum sales value for Product F across all months.</t>
  </si>
  <si>
    <t>HLOOKUP EXERCISES</t>
  </si>
  <si>
    <t>QUESTIONS and SOLUTIONS</t>
  </si>
  <si>
    <r>
      <t xml:space="preserve">1. Use HLOOKUP to find the </t>
    </r>
    <r>
      <rPr>
        <b/>
        <sz val="11"/>
        <color theme="1"/>
        <rFont val="Calibri"/>
        <family val="2"/>
        <scheme val="minor"/>
      </rPr>
      <t>sales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Product A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March</t>
    </r>
    <r>
      <rPr>
        <sz val="11"/>
        <color theme="1"/>
        <rFont val="Calibri"/>
        <family val="2"/>
        <scheme val="minor"/>
      </rPr>
      <t>.</t>
    </r>
  </si>
  <si>
    <r>
      <t xml:space="preserve">2. Use HLOOKUP to find the sales for </t>
    </r>
    <r>
      <rPr>
        <b/>
        <sz val="11"/>
        <color theme="1"/>
        <rFont val="Calibri"/>
        <family val="2"/>
        <scheme val="minor"/>
      </rPr>
      <t>Product D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May</t>
    </r>
    <r>
      <rPr>
        <sz val="11"/>
        <color theme="1"/>
        <rFont val="Calibri"/>
        <family val="2"/>
        <scheme val="minor"/>
      </rPr>
      <t>.</t>
    </r>
  </si>
  <si>
    <r>
      <t xml:space="preserve">3. Use HLOOKUP to find the sales for </t>
    </r>
    <r>
      <rPr>
        <b/>
        <sz val="11"/>
        <color theme="1"/>
        <rFont val="Calibri"/>
        <family val="2"/>
        <scheme val="minor"/>
      </rPr>
      <t>Product C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February</t>
    </r>
    <r>
      <rPr>
        <sz val="11"/>
        <color theme="1"/>
        <rFont val="Calibri"/>
        <family val="2"/>
        <scheme val="minor"/>
      </rPr>
      <t>.</t>
    </r>
  </si>
  <si>
    <t>Select Product</t>
  </si>
  <si>
    <t>Total Sales</t>
  </si>
  <si>
    <r>
      <t>5. Use HLOOKUP to find the</t>
    </r>
    <r>
      <rPr>
        <b/>
        <sz val="11"/>
        <color theme="1"/>
        <rFont val="Calibri"/>
        <family val="2"/>
        <scheme val="minor"/>
      </rPr>
      <t xml:space="preserve"> maximum sales</t>
    </r>
    <r>
      <rPr>
        <sz val="11"/>
        <color theme="1"/>
        <rFont val="Calibri"/>
        <family val="2"/>
        <scheme val="minor"/>
      </rPr>
      <t xml:space="preserve"> value for </t>
    </r>
    <r>
      <rPr>
        <b/>
        <sz val="11"/>
        <color theme="1"/>
        <rFont val="Calibri"/>
        <family val="2"/>
        <scheme val="minor"/>
      </rPr>
      <t>Product B</t>
    </r>
    <r>
      <rPr>
        <sz val="11"/>
        <color theme="1"/>
        <rFont val="Calibri"/>
        <family val="2"/>
        <scheme val="minor"/>
      </rPr>
      <t xml:space="preserve"> across all months.</t>
    </r>
  </si>
  <si>
    <t>Max sales</t>
  </si>
  <si>
    <t>Min Sales</t>
  </si>
  <si>
    <r>
      <t xml:space="preserve">7. Use HLOOKUP to find the </t>
    </r>
    <r>
      <rPr>
        <b/>
        <sz val="11"/>
        <color theme="1"/>
        <rFont val="Calibri"/>
        <family val="2"/>
        <scheme val="minor"/>
      </rPr>
      <t>average sales</t>
    </r>
    <r>
      <rPr>
        <sz val="11"/>
        <color theme="1"/>
        <rFont val="Calibri"/>
        <family val="2"/>
        <scheme val="minor"/>
      </rPr>
      <t xml:space="preserve"> value for Product E across all months.</t>
    </r>
  </si>
  <si>
    <t>Avg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</si>
</sst>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1" xfId="0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0" fillId="3" borderId="6" xfId="0" applyFill="1" applyBorder="1"/>
    <xf numFmtId="0" fontId="2" fillId="2" borderId="7" xfId="0" applyFont="1" applyFill="1" applyBorder="1"/>
    <xf numFmtId="0" fontId="0" fillId="3" borderId="8" xfId="0" applyFill="1" applyBorder="1"/>
    <xf numFmtId="0" fontId="0" fillId="3" borderId="9" xfId="0" applyFill="1" applyBorder="1"/>
    <xf numFmtId="0" fontId="3" fillId="0" borderId="0" xfId="0" applyFont="1"/>
    <xf numFmtId="0" fontId="2" fillId="0" borderId="0" xfId="0" applyFont="1"/>
    <xf numFmtId="0" fontId="2" fillId="2" borderId="1" xfId="0" applyFont="1" applyFill="1" applyBorder="1"/>
    <xf numFmtId="0" fontId="0" fillId="4" borderId="1" xfId="0" applyFill="1" applyBorder="1"/>
    <xf numFmtId="0" fontId="2" fillId="5" borderId="1" xfId="0" applyFont="1" applyFill="1" applyBorder="1"/>
    <xf numFmtId="0" fontId="0" fillId="6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G38" sqref="G38"/>
    </sheetView>
  </sheetViews>
  <sheetFormatPr defaultRowHeight="14.4" x14ac:dyDescent="0.3"/>
  <cols>
    <col min="1" max="1" width="13.33203125" customWidth="1"/>
    <col min="7" max="7" width="9.88671875" bestFit="1" customWidth="1"/>
  </cols>
  <sheetData>
    <row r="1" spans="1:6" ht="15" thickBot="1" x14ac:dyDescent="0.35">
      <c r="A1" s="10" t="s">
        <v>13</v>
      </c>
    </row>
    <row r="2" spans="1:6" x14ac:dyDescent="0.3">
      <c r="A2" s="2"/>
      <c r="B2" s="3" t="s">
        <v>0</v>
      </c>
      <c r="C2" s="3" t="s">
        <v>1</v>
      </c>
      <c r="D2" s="3" t="s">
        <v>2</v>
      </c>
      <c r="E2" s="3" t="s">
        <v>3</v>
      </c>
      <c r="F2" s="4" t="s">
        <v>4</v>
      </c>
    </row>
    <row r="3" spans="1:6" x14ac:dyDescent="0.3">
      <c r="A3" s="5" t="s">
        <v>5</v>
      </c>
      <c r="B3" s="1">
        <v>120</v>
      </c>
      <c r="C3" s="1">
        <v>130</v>
      </c>
      <c r="D3" s="1">
        <v>140</v>
      </c>
      <c r="E3" s="1">
        <v>150</v>
      </c>
      <c r="F3" s="6">
        <v>160</v>
      </c>
    </row>
    <row r="4" spans="1:6" x14ac:dyDescent="0.3">
      <c r="A4" s="5" t="s">
        <v>6</v>
      </c>
      <c r="B4" s="1">
        <v>150</v>
      </c>
      <c r="C4" s="1">
        <v>160</v>
      </c>
      <c r="D4" s="1">
        <v>170</v>
      </c>
      <c r="E4" s="1">
        <v>180</v>
      </c>
      <c r="F4" s="6">
        <v>190</v>
      </c>
    </row>
    <row r="5" spans="1:6" x14ac:dyDescent="0.3">
      <c r="A5" s="5" t="s">
        <v>7</v>
      </c>
      <c r="B5" s="1">
        <v>200</v>
      </c>
      <c r="C5" s="1">
        <v>210</v>
      </c>
      <c r="D5" s="1">
        <v>220</v>
      </c>
      <c r="E5" s="1">
        <v>230</v>
      </c>
      <c r="F5" s="6">
        <v>240</v>
      </c>
    </row>
    <row r="6" spans="1:6" x14ac:dyDescent="0.3">
      <c r="A6" s="5" t="s">
        <v>8</v>
      </c>
      <c r="B6" s="1">
        <v>90</v>
      </c>
      <c r="C6" s="1">
        <v>100</v>
      </c>
      <c r="D6" s="1">
        <v>110</v>
      </c>
      <c r="E6" s="1">
        <v>120</v>
      </c>
      <c r="F6" s="6">
        <v>130</v>
      </c>
    </row>
    <row r="7" spans="1:6" x14ac:dyDescent="0.3">
      <c r="A7" s="5" t="s">
        <v>9</v>
      </c>
      <c r="B7" s="1">
        <v>220</v>
      </c>
      <c r="C7" s="1">
        <v>230</v>
      </c>
      <c r="D7" s="1">
        <v>240</v>
      </c>
      <c r="E7" s="1">
        <v>250</v>
      </c>
      <c r="F7" s="6">
        <v>260</v>
      </c>
    </row>
    <row r="8" spans="1:6" ht="15" thickBot="1" x14ac:dyDescent="0.35">
      <c r="A8" s="7" t="s">
        <v>10</v>
      </c>
      <c r="B8" s="8">
        <v>130</v>
      </c>
      <c r="C8" s="8">
        <v>140</v>
      </c>
      <c r="D8" s="8">
        <v>150</v>
      </c>
      <c r="E8" s="8">
        <v>160</v>
      </c>
      <c r="F8" s="9">
        <v>170</v>
      </c>
    </row>
    <row r="9" spans="1:6" x14ac:dyDescent="0.3">
      <c r="A9" s="11"/>
    </row>
    <row r="10" spans="1:6" x14ac:dyDescent="0.3">
      <c r="A10" s="10" t="s">
        <v>14</v>
      </c>
    </row>
    <row r="11" spans="1:6" x14ac:dyDescent="0.3">
      <c r="A11" t="s">
        <v>15</v>
      </c>
    </row>
    <row r="12" spans="1:6" x14ac:dyDescent="0.3">
      <c r="A12" s="12"/>
      <c r="B12" s="12" t="s">
        <v>5</v>
      </c>
    </row>
    <row r="13" spans="1:6" x14ac:dyDescent="0.3">
      <c r="A13" s="12" t="s">
        <v>2</v>
      </c>
      <c r="B13" s="13">
        <f>HLOOKUP(A13,A2:F3,2,0)</f>
        <v>140</v>
      </c>
    </row>
    <row r="15" spans="1:6" x14ac:dyDescent="0.3">
      <c r="A15" t="s">
        <v>16</v>
      </c>
    </row>
    <row r="16" spans="1:6" x14ac:dyDescent="0.3">
      <c r="A16" s="12"/>
      <c r="B16" s="12" t="s">
        <v>8</v>
      </c>
    </row>
    <row r="17" spans="1:7" x14ac:dyDescent="0.3">
      <c r="A17" s="12" t="s">
        <v>4</v>
      </c>
      <c r="B17" s="13">
        <f>HLOOKUP(A17,A2:F6,5,0)</f>
        <v>130</v>
      </c>
    </row>
    <row r="19" spans="1:7" x14ac:dyDescent="0.3">
      <c r="A19" t="s">
        <v>17</v>
      </c>
    </row>
    <row r="20" spans="1:7" x14ac:dyDescent="0.3">
      <c r="A20" s="12"/>
      <c r="B20" s="12" t="s">
        <v>7</v>
      </c>
    </row>
    <row r="21" spans="1:7" x14ac:dyDescent="0.3">
      <c r="A21" s="12" t="s">
        <v>1</v>
      </c>
      <c r="B21" s="13">
        <f>HLOOKUP(A21,A2:F5,4,0)</f>
        <v>210</v>
      </c>
    </row>
    <row r="23" spans="1:7" x14ac:dyDescent="0.3">
      <c r="A23" t="s">
        <v>11</v>
      </c>
    </row>
    <row r="24" spans="1:7" x14ac:dyDescent="0.3">
      <c r="A24" s="12" t="s">
        <v>18</v>
      </c>
      <c r="B24" s="12" t="s">
        <v>0</v>
      </c>
      <c r="C24" s="12" t="s">
        <v>1</v>
      </c>
      <c r="D24" s="12" t="s">
        <v>2</v>
      </c>
      <c r="E24" s="12" t="s">
        <v>3</v>
      </c>
      <c r="F24" s="12" t="s">
        <v>4</v>
      </c>
      <c r="G24" s="14" t="s">
        <v>19</v>
      </c>
    </row>
    <row r="25" spans="1:7" x14ac:dyDescent="0.3">
      <c r="A25" s="12" t="s">
        <v>8</v>
      </c>
      <c r="B25" s="13">
        <f>HLOOKUP(B24,A2:F8,MATCH(A25,A2:A8,0),0)</f>
        <v>90</v>
      </c>
      <c r="C25" s="13">
        <f>HLOOKUP(C24,B2:G8,MATCH(B25,B2:B8,0),0)</f>
        <v>100</v>
      </c>
      <c r="D25" s="13">
        <f>HLOOKUP(D24,C2:H8,MATCH(C25,C2:C8,0),0)</f>
        <v>110</v>
      </c>
      <c r="E25" s="13">
        <f>HLOOKUP(E24,D2:I8,MATCH(D25,D2:D8,0),0)</f>
        <v>120</v>
      </c>
      <c r="F25" s="13">
        <f>HLOOKUP(F24,E2:J8,MATCH(E25,E2:E8,0),0)</f>
        <v>130</v>
      </c>
      <c r="G25" s="15">
        <f>SUM(B25:F25)</f>
        <v>550</v>
      </c>
    </row>
    <row r="27" spans="1:7" x14ac:dyDescent="0.3">
      <c r="A27" t="s">
        <v>20</v>
      </c>
    </row>
    <row r="28" spans="1:7" x14ac:dyDescent="0.3">
      <c r="A28" s="12"/>
      <c r="B28" s="12" t="s">
        <v>0</v>
      </c>
      <c r="C28" s="12" t="s">
        <v>1</v>
      </c>
      <c r="D28" s="12" t="s">
        <v>2</v>
      </c>
      <c r="E28" s="12" t="s">
        <v>3</v>
      </c>
      <c r="F28" s="12" t="s">
        <v>4</v>
      </c>
      <c r="G28" s="14" t="s">
        <v>21</v>
      </c>
    </row>
    <row r="29" spans="1:7" x14ac:dyDescent="0.3">
      <c r="A29" s="16" t="s">
        <v>6</v>
      </c>
      <c r="B29" s="13">
        <f>HLOOKUP(B28,A2:F4,3,0)</f>
        <v>150</v>
      </c>
      <c r="C29" s="13">
        <f t="shared" ref="C29:F29" si="0">HLOOKUP(C28,B2:G4,3,0)</f>
        <v>160</v>
      </c>
      <c r="D29" s="13">
        <f t="shared" si="0"/>
        <v>170</v>
      </c>
      <c r="E29" s="13">
        <f t="shared" si="0"/>
        <v>180</v>
      </c>
      <c r="F29" s="13">
        <f t="shared" si="0"/>
        <v>190</v>
      </c>
      <c r="G29" s="15">
        <f>MAX(B29:F29)</f>
        <v>190</v>
      </c>
    </row>
    <row r="31" spans="1:7" x14ac:dyDescent="0.3">
      <c r="A31" t="s">
        <v>12</v>
      </c>
    </row>
    <row r="32" spans="1:7" x14ac:dyDescent="0.3">
      <c r="A32" s="12"/>
      <c r="B32" s="12" t="s">
        <v>0</v>
      </c>
      <c r="C32" s="12" t="s">
        <v>1</v>
      </c>
      <c r="D32" s="12" t="s">
        <v>2</v>
      </c>
      <c r="E32" s="12" t="s">
        <v>3</v>
      </c>
      <c r="F32" s="12" t="s">
        <v>4</v>
      </c>
      <c r="G32" s="14" t="s">
        <v>22</v>
      </c>
    </row>
    <row r="33" spans="1:7" x14ac:dyDescent="0.3">
      <c r="A33" s="16" t="s">
        <v>10</v>
      </c>
      <c r="B33" s="13">
        <f>HLOOKUP(B32,A2:F8,7,0)</f>
        <v>130</v>
      </c>
      <c r="C33" s="13">
        <f t="shared" ref="C33:F33" si="1">HLOOKUP(C32,B2:G8,7,0)</f>
        <v>140</v>
      </c>
      <c r="D33" s="13">
        <f t="shared" si="1"/>
        <v>150</v>
      </c>
      <c r="E33" s="13">
        <f t="shared" si="1"/>
        <v>160</v>
      </c>
      <c r="F33" s="13">
        <f t="shared" si="1"/>
        <v>170</v>
      </c>
      <c r="G33" s="15">
        <f>MIN(B33:F33)</f>
        <v>130</v>
      </c>
    </row>
    <row r="35" spans="1:7" x14ac:dyDescent="0.3">
      <c r="A35" t="s">
        <v>23</v>
      </c>
    </row>
    <row r="36" spans="1:7" x14ac:dyDescent="0.3">
      <c r="A36" s="12"/>
      <c r="B36" s="12" t="s">
        <v>0</v>
      </c>
      <c r="C36" s="12" t="s">
        <v>1</v>
      </c>
      <c r="D36" s="12" t="s">
        <v>2</v>
      </c>
      <c r="E36" s="12" t="s">
        <v>3</v>
      </c>
      <c r="F36" s="12" t="s">
        <v>4</v>
      </c>
      <c r="G36" s="14" t="s">
        <v>24</v>
      </c>
    </row>
    <row r="37" spans="1:7" x14ac:dyDescent="0.3">
      <c r="A37" s="16" t="s">
        <v>9</v>
      </c>
      <c r="B37" s="13">
        <f>HLOOKUP(B36,A2:F8,6,0)</f>
        <v>220</v>
      </c>
      <c r="C37" s="13">
        <f t="shared" ref="C37:F37" si="2">HLOOKUP(C36,B2:G8,6,0)</f>
        <v>230</v>
      </c>
      <c r="D37" s="13">
        <f t="shared" si="2"/>
        <v>240</v>
      </c>
      <c r="E37" s="13">
        <f t="shared" si="2"/>
        <v>250</v>
      </c>
      <c r="F37" s="13">
        <f t="shared" si="2"/>
        <v>260</v>
      </c>
      <c r="G37" s="15">
        <f>AVERAGE(B37:F37)</f>
        <v>240</v>
      </c>
    </row>
  </sheetData>
  <phoneticPr fontId="1" type="noConversion"/>
  <dataValidations count="1">
    <dataValidation type="list" allowBlank="1" showInputMessage="1" showErrorMessage="1" sqref="A25" xr:uid="{D78338B7-289D-4E73-A445-3143168793B8}">
      <formula1>$A$3:$A$8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Bose</dc:creator>
  <cp:lastModifiedBy>Arnab Bose</cp:lastModifiedBy>
  <dcterms:created xsi:type="dcterms:W3CDTF">2015-06-05T18:17:20Z</dcterms:created>
  <dcterms:modified xsi:type="dcterms:W3CDTF">2026-08-10T15:55:43Z</dcterms:modified>
</cp:coreProperties>
</file>