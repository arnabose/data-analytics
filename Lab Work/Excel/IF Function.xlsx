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Homework\"/>
    </mc:Choice>
  </mc:AlternateContent>
  <xr:revisionPtr revIDLastSave="0" documentId="13_ncr:1_{14929533-082D-4634-B06A-B11D0D5F13BF}" xr6:coauthVersionLast="47" xr6:coauthVersionMax="47" xr10:uidLastSave="{00000000-0000-0000-0000-000000000000}"/>
  <bookViews>
    <workbookView xWindow="-108" yWindow="-108" windowWidth="23256" windowHeight="12456" xr2:uid="{994C7ADE-8F71-4F04-9E68-BE1F6499F5CA}"/>
  </bookViews>
  <sheets>
    <sheet name="Sheet1" sheetId="1" r:id="rId1"/>
  </sheets>
  <definedNames>
    <definedName name="SalesData">Sheet1!$A$1:$E$7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4" i="1" l="1"/>
  <c r="L24" i="1"/>
  <c r="K24" i="1"/>
  <c r="J24" i="1"/>
  <c r="I24" i="1"/>
  <c r="H24" i="1"/>
  <c r="G24" i="1"/>
  <c r="F24" i="1"/>
  <c r="M23" i="1"/>
  <c r="L23" i="1"/>
  <c r="K23" i="1"/>
  <c r="J23" i="1"/>
  <c r="I23" i="1"/>
  <c r="H23" i="1"/>
  <c r="G23" i="1"/>
  <c r="F23" i="1"/>
  <c r="M22" i="1"/>
  <c r="L22" i="1"/>
  <c r="K22" i="1"/>
  <c r="J22" i="1"/>
  <c r="I22" i="1"/>
  <c r="H22" i="1"/>
  <c r="G22" i="1"/>
  <c r="F22" i="1"/>
  <c r="M21" i="1"/>
  <c r="L21" i="1"/>
  <c r="K21" i="1"/>
  <c r="J21" i="1"/>
  <c r="I21" i="1"/>
  <c r="H21" i="1"/>
  <c r="G21" i="1"/>
  <c r="F21" i="1"/>
  <c r="M20" i="1"/>
  <c r="L20" i="1"/>
  <c r="K20" i="1"/>
  <c r="J20" i="1"/>
  <c r="I20" i="1"/>
  <c r="H20" i="1"/>
  <c r="G20" i="1"/>
  <c r="F20" i="1"/>
  <c r="M19" i="1"/>
  <c r="L19" i="1"/>
  <c r="K19" i="1"/>
  <c r="J19" i="1"/>
  <c r="I19" i="1"/>
  <c r="H19" i="1"/>
  <c r="G19" i="1"/>
  <c r="F19" i="1"/>
</calcChain>
</file>

<file path=xl/sharedStrings.xml><?xml version="1.0" encoding="utf-8"?>
<sst xmlns="http://schemas.openxmlformats.org/spreadsheetml/2006/main" count="51" uniqueCount="32">
  <si>
    <t>ProductID</t>
  </si>
  <si>
    <t>Product</t>
  </si>
  <si>
    <t>Sales</t>
  </si>
  <si>
    <t>Target</t>
  </si>
  <si>
    <t>Region</t>
  </si>
  <si>
    <t>North</t>
  </si>
  <si>
    <t>South</t>
  </si>
  <si>
    <t>East</t>
  </si>
  <si>
    <t>West</t>
  </si>
  <si>
    <t>Product F</t>
  </si>
  <si>
    <t>Product A</t>
  </si>
  <si>
    <t>Product B</t>
  </si>
  <si>
    <t>Product C</t>
  </si>
  <si>
    <t>Product D</t>
  </si>
  <si>
    <t>Product E</t>
  </si>
  <si>
    <t>1. Use the IF function to evaluate whether each product met its sales target.</t>
  </si>
  <si>
    <t>Assume you have the following dataset in an Excel worksheet starting from cell A1.</t>
  </si>
  <si>
    <t>Q1 Sales Target</t>
  </si>
  <si>
    <t>2. Use the IF function to determine if a product is eligible for a regional bonus. Products in the "North" region with sales over 200 are eligible.</t>
  </si>
  <si>
    <t>Q2. Bonus Eligibility</t>
  </si>
  <si>
    <t>3. Use nested IF functions to assign a commission rate based on sales. Sales &gt;= 200 get a 10% commission, sales &gt;= 150 get a 7% commission, and others get a 5% commission.</t>
  </si>
  <si>
    <t>Q3. Comission Rate</t>
  </si>
  <si>
    <t>4. Use the IF function to calculate a bonus amount. If sales met or exceeded the target, the bonus is 10% of the sales; otherwise, it's 5%.</t>
  </si>
  <si>
    <t>Q4. Bonus Amount</t>
  </si>
  <si>
    <t xml:space="preserve">5. Use the IF function to categorize sales performance as "Excellent" (&gt;=200), "Good" (&gt;=150), or "Needs Improvement" (&lt;150). </t>
  </si>
  <si>
    <t>Q5. Performance</t>
  </si>
  <si>
    <t>6. Use the IF function to assign a price tier based on the sales value. "High" for sales &gt; 200, "Medium" for sales between 100 and 200, and "Low" for sales &lt; 100.</t>
  </si>
  <si>
    <t>Q6. Price Tier</t>
  </si>
  <si>
    <t>7. Use the IF function to calculate the year-end bonus. If sales &gt;= 150 and region is "North", the bonus is $500, otherwise, it's $300.</t>
  </si>
  <si>
    <t>Q7. Year End Bonus</t>
  </si>
  <si>
    <t>8. Use the IF function to mark high performers. A product is a high performer if its sales are in the top 25% of all sales.</t>
  </si>
  <si>
    <t>Q8.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</si>
</sst>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7CB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B7FFF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B98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6" borderId="1" xfId="0" applyFill="1" applyBorder="1"/>
    <xf numFmtId="0" fontId="0" fillId="0" borderId="0" xfId="0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1" fillId="2" borderId="11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1" fillId="7" borderId="11" xfId="0" applyFont="1" applyFill="1" applyBorder="1"/>
    <xf numFmtId="0" fontId="0" fillId="4" borderId="12" xfId="0" applyFill="1" applyBorder="1"/>
    <xf numFmtId="0" fontId="0" fillId="4" borderId="13" xfId="0" applyFill="1" applyBorder="1"/>
    <xf numFmtId="0" fontId="1" fillId="8" borderId="11" xfId="0" applyFont="1" applyFill="1" applyBorder="1"/>
    <xf numFmtId="0" fontId="0" fillId="9" borderId="12" xfId="0" applyFill="1" applyBorder="1"/>
    <xf numFmtId="0" fontId="0" fillId="9" borderId="13" xfId="0" applyFill="1" applyBorder="1"/>
    <xf numFmtId="0" fontId="1" fillId="10" borderId="11" xfId="0" applyFont="1" applyFill="1" applyBorder="1"/>
    <xf numFmtId="0" fontId="0" fillId="11" borderId="12" xfId="0" applyFill="1" applyBorder="1"/>
    <xf numFmtId="0" fontId="0" fillId="11" borderId="13" xfId="0" applyFill="1" applyBorder="1"/>
    <xf numFmtId="0" fontId="1" fillId="12" borderId="11" xfId="0" applyFont="1" applyFill="1" applyBorder="1"/>
    <xf numFmtId="0" fontId="0" fillId="13" borderId="12" xfId="0" applyFill="1" applyBorder="1"/>
    <xf numFmtId="0" fontId="0" fillId="13" borderId="13" xfId="0" applyFill="1" applyBorder="1"/>
    <xf numFmtId="0" fontId="1" fillId="14" borderId="11" xfId="0" applyFont="1" applyFill="1" applyBorder="1"/>
    <xf numFmtId="0" fontId="0" fillId="15" borderId="12" xfId="0" applyFill="1" applyBorder="1"/>
    <xf numFmtId="0" fontId="0" fillId="15" borderId="13" xfId="0" applyFill="1" applyBorder="1"/>
    <xf numFmtId="0" fontId="1" fillId="16" borderId="11" xfId="0" applyFont="1" applyFill="1" applyBorder="1"/>
    <xf numFmtId="0" fontId="0" fillId="17" borderId="12" xfId="0" applyFill="1" applyBorder="1"/>
    <xf numFmtId="0" fontId="0" fillId="17" borderId="13" xfId="0" applyFill="1" applyBorder="1"/>
    <xf numFmtId="0" fontId="1" fillId="18" borderId="11" xfId="0" applyFont="1" applyFill="1" applyBorder="1"/>
    <xf numFmtId="0" fontId="0" fillId="19" borderId="12" xfId="0" applyFill="1" applyBorder="1"/>
    <xf numFmtId="0" fontId="0" fillId="19" borderId="13" xfId="0" applyFill="1" applyBorder="1"/>
    <xf numFmtId="0" fontId="1" fillId="2" borderId="1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6" borderId="18" xfId="0" applyFill="1" applyBorder="1"/>
    <xf numFmtId="0" fontId="0" fillId="6" borderId="2" xfId="0" applyFill="1" applyBorder="1"/>
    <xf numFmtId="0" fontId="0" fillId="6" borderId="19" xfId="0" applyFill="1" applyBorder="1"/>
    <xf numFmtId="0" fontId="2" fillId="0" borderId="14" xfId="0" applyFont="1" applyBorder="1"/>
    <xf numFmtId="0" fontId="2" fillId="0" borderId="15" xfId="0" applyFont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7" borderId="6" xfId="0" applyFont="1" applyFill="1" applyBorder="1"/>
    <xf numFmtId="0" fontId="1" fillId="7" borderId="1" xfId="0" applyFont="1" applyFill="1" applyBorder="1"/>
    <xf numFmtId="0" fontId="1" fillId="7" borderId="7" xfId="0" applyFont="1" applyFill="1" applyBorder="1"/>
    <xf numFmtId="0" fontId="1" fillId="8" borderId="6" xfId="0" applyFont="1" applyFill="1" applyBorder="1"/>
    <xf numFmtId="0" fontId="1" fillId="8" borderId="1" xfId="0" applyFont="1" applyFill="1" applyBorder="1"/>
    <xf numFmtId="0" fontId="1" fillId="8" borderId="7" xfId="0" applyFont="1" applyFill="1" applyBorder="1"/>
    <xf numFmtId="0" fontId="1" fillId="10" borderId="6" xfId="0" applyFont="1" applyFill="1" applyBorder="1"/>
    <xf numFmtId="0" fontId="1" fillId="10" borderId="1" xfId="0" applyFont="1" applyFill="1" applyBorder="1"/>
    <xf numFmtId="0" fontId="1" fillId="10" borderId="7" xfId="0" applyFont="1" applyFill="1" applyBorder="1"/>
    <xf numFmtId="0" fontId="1" fillId="12" borderId="6" xfId="0" applyFont="1" applyFill="1" applyBorder="1"/>
    <xf numFmtId="0" fontId="1" fillId="12" borderId="1" xfId="0" applyFont="1" applyFill="1" applyBorder="1"/>
    <xf numFmtId="0" fontId="1" fillId="12" borderId="7" xfId="0" applyFont="1" applyFill="1" applyBorder="1"/>
    <xf numFmtId="0" fontId="1" fillId="14" borderId="6" xfId="0" applyFont="1" applyFill="1" applyBorder="1"/>
    <xf numFmtId="0" fontId="1" fillId="14" borderId="1" xfId="0" applyFont="1" applyFill="1" applyBorder="1"/>
    <xf numFmtId="0" fontId="1" fillId="14" borderId="7" xfId="0" applyFont="1" applyFill="1" applyBorder="1"/>
    <xf numFmtId="0" fontId="1" fillId="16" borderId="6" xfId="0" applyFont="1" applyFill="1" applyBorder="1"/>
    <xf numFmtId="0" fontId="1" fillId="16" borderId="1" xfId="0" applyFont="1" applyFill="1" applyBorder="1"/>
    <xf numFmtId="0" fontId="1" fillId="16" borderId="7" xfId="0" applyFont="1" applyFill="1" applyBorder="1"/>
    <xf numFmtId="0" fontId="1" fillId="18" borderId="8" xfId="0" applyFont="1" applyFill="1" applyBorder="1"/>
    <xf numFmtId="0" fontId="1" fillId="18" borderId="9" xfId="0" applyFont="1" applyFill="1" applyBorder="1"/>
    <xf numFmtId="0" fontId="1" fillId="18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989"/>
      <color rgb="FFFF6600"/>
      <color rgb="FFB7FFF1"/>
      <color rgb="FF00FFCC"/>
      <color rgb="FFFF97CB"/>
      <color rgb="FFFF3399"/>
      <color rgb="FFCCE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A18D-F3C2-4C49-ADC5-F115AC8DB9B6}">
  <dimension ref="A1:M24"/>
  <sheetViews>
    <sheetView tabSelected="1" workbookViewId="0">
      <selection activeCell="O11" sqref="O11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5.21875" bestFit="1" customWidth="1"/>
    <col min="4" max="4" width="6.33203125" bestFit="1" customWidth="1"/>
    <col min="5" max="5" width="6.77734375" bestFit="1" customWidth="1"/>
    <col min="6" max="6" width="13.88671875" bestFit="1" customWidth="1"/>
    <col min="7" max="7" width="17.6640625" bestFit="1" customWidth="1"/>
    <col min="8" max="8" width="17.33203125" bestFit="1" customWidth="1"/>
    <col min="9" max="9" width="17" bestFit="1" customWidth="1"/>
    <col min="10" max="10" width="17.77734375" bestFit="1" customWidth="1"/>
    <col min="11" max="11" width="12" bestFit="1" customWidth="1"/>
    <col min="12" max="12" width="17.5546875" bestFit="1" customWidth="1"/>
    <col min="13" max="13" width="15.33203125" bestFit="1" customWidth="1"/>
    <col min="14" max="14" width="9" customWidth="1"/>
  </cols>
  <sheetData>
    <row r="1" spans="1:12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36"/>
      <c r="G1" s="36"/>
      <c r="H1" s="36"/>
      <c r="I1" s="36"/>
      <c r="J1" s="36"/>
      <c r="K1" s="36"/>
      <c r="L1" s="37"/>
    </row>
    <row r="2" spans="1:12" x14ac:dyDescent="0.3">
      <c r="A2" s="6">
        <v>101</v>
      </c>
      <c r="B2" s="1" t="s">
        <v>10</v>
      </c>
      <c r="C2" s="1">
        <v>120</v>
      </c>
      <c r="D2" s="1">
        <v>150</v>
      </c>
      <c r="E2" s="7" t="s">
        <v>5</v>
      </c>
      <c r="F2" s="2"/>
      <c r="G2" s="2"/>
      <c r="H2" s="2"/>
      <c r="I2" s="2"/>
      <c r="J2" s="2"/>
      <c r="K2" s="2"/>
      <c r="L2" s="38"/>
    </row>
    <row r="3" spans="1:12" x14ac:dyDescent="0.3">
      <c r="A3" s="6">
        <v>102</v>
      </c>
      <c r="B3" s="1" t="s">
        <v>11</v>
      </c>
      <c r="C3" s="1">
        <v>150</v>
      </c>
      <c r="D3" s="1">
        <v>140</v>
      </c>
      <c r="E3" s="7" t="s">
        <v>6</v>
      </c>
      <c r="F3" s="2"/>
      <c r="G3" s="2"/>
      <c r="H3" s="2"/>
      <c r="I3" s="2"/>
      <c r="J3" s="2"/>
      <c r="K3" s="2"/>
      <c r="L3" s="38"/>
    </row>
    <row r="4" spans="1:12" x14ac:dyDescent="0.3">
      <c r="A4" s="6">
        <v>103</v>
      </c>
      <c r="B4" s="1" t="s">
        <v>12</v>
      </c>
      <c r="C4" s="1">
        <v>200</v>
      </c>
      <c r="D4" s="1">
        <v>200</v>
      </c>
      <c r="E4" s="7" t="s">
        <v>7</v>
      </c>
      <c r="F4" s="2"/>
      <c r="G4" s="2"/>
      <c r="H4" s="2"/>
      <c r="I4" s="2"/>
      <c r="J4" s="2"/>
      <c r="K4" s="2"/>
      <c r="L4" s="38"/>
    </row>
    <row r="5" spans="1:12" x14ac:dyDescent="0.3">
      <c r="A5" s="6">
        <v>104</v>
      </c>
      <c r="B5" s="1" t="s">
        <v>13</v>
      </c>
      <c r="C5" s="1">
        <v>90</v>
      </c>
      <c r="D5" s="1">
        <v>100</v>
      </c>
      <c r="E5" s="7" t="s">
        <v>8</v>
      </c>
      <c r="F5" s="2"/>
      <c r="G5" s="2"/>
      <c r="H5" s="2"/>
      <c r="I5" s="2"/>
      <c r="J5" s="2"/>
      <c r="K5" s="2"/>
      <c r="L5" s="38"/>
    </row>
    <row r="6" spans="1:12" x14ac:dyDescent="0.3">
      <c r="A6" s="6">
        <v>105</v>
      </c>
      <c r="B6" s="1" t="s">
        <v>14</v>
      </c>
      <c r="C6" s="1">
        <v>220</v>
      </c>
      <c r="D6" s="1">
        <v>210</v>
      </c>
      <c r="E6" s="7" t="s">
        <v>5</v>
      </c>
      <c r="F6" s="2"/>
      <c r="G6" s="2"/>
      <c r="H6" s="2"/>
      <c r="I6" s="2"/>
      <c r="J6" s="2"/>
      <c r="K6" s="2"/>
      <c r="L6" s="38"/>
    </row>
    <row r="7" spans="1:12" ht="15" thickBot="1" x14ac:dyDescent="0.35">
      <c r="A7" s="39">
        <v>106</v>
      </c>
      <c r="B7" s="40" t="s">
        <v>9</v>
      </c>
      <c r="C7" s="40">
        <v>130</v>
      </c>
      <c r="D7" s="40">
        <v>160</v>
      </c>
      <c r="E7" s="41" t="s">
        <v>6</v>
      </c>
      <c r="F7" s="2"/>
      <c r="G7" s="2"/>
      <c r="H7" s="2"/>
      <c r="I7" s="2"/>
      <c r="J7" s="2"/>
      <c r="K7" s="2"/>
      <c r="L7" s="38"/>
    </row>
    <row r="8" spans="1:12" x14ac:dyDescent="0.3">
      <c r="A8" s="42" t="s">
        <v>16</v>
      </c>
      <c r="B8" s="43"/>
      <c r="C8" s="43"/>
      <c r="D8" s="43"/>
      <c r="E8" s="43"/>
      <c r="F8" s="43"/>
      <c r="G8" s="43"/>
      <c r="H8" s="36"/>
      <c r="I8" s="36"/>
      <c r="J8" s="36"/>
      <c r="K8" s="36"/>
      <c r="L8" s="37"/>
    </row>
    <row r="9" spans="1:12" x14ac:dyDescent="0.3">
      <c r="A9" s="44" t="s">
        <v>15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45"/>
    </row>
    <row r="10" spans="1:12" x14ac:dyDescent="0.3">
      <c r="A10" s="46" t="s">
        <v>18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x14ac:dyDescent="0.3">
      <c r="A11" s="49" t="s">
        <v>20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x14ac:dyDescent="0.3">
      <c r="A12" s="52" t="s">
        <v>22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x14ac:dyDescent="0.3">
      <c r="A13" s="55" t="s">
        <v>24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x14ac:dyDescent="0.3">
      <c r="A14" s="58" t="s">
        <v>26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60"/>
    </row>
    <row r="15" spans="1:12" x14ac:dyDescent="0.3">
      <c r="A15" s="61" t="s">
        <v>28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ht="15" thickBot="1" x14ac:dyDescent="0.35">
      <c r="A16" s="64" t="s">
        <v>30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3" ht="15" thickBot="1" x14ac:dyDescent="0.35"/>
    <row r="18" spans="1:13" x14ac:dyDescent="0.3">
      <c r="A18" s="3" t="s">
        <v>0</v>
      </c>
      <c r="B18" s="4" t="s">
        <v>1</v>
      </c>
      <c r="C18" s="4" t="s">
        <v>2</v>
      </c>
      <c r="D18" s="4" t="s">
        <v>3</v>
      </c>
      <c r="E18" s="5" t="s">
        <v>4</v>
      </c>
      <c r="F18" s="11" t="s">
        <v>17</v>
      </c>
      <c r="G18" s="14" t="s">
        <v>19</v>
      </c>
      <c r="H18" s="17" t="s">
        <v>21</v>
      </c>
      <c r="I18" s="20" t="s">
        <v>23</v>
      </c>
      <c r="J18" s="23" t="s">
        <v>25</v>
      </c>
      <c r="K18" s="26" t="s">
        <v>27</v>
      </c>
      <c r="L18" s="29" t="s">
        <v>29</v>
      </c>
      <c r="M18" s="32" t="s">
        <v>31</v>
      </c>
    </row>
    <row r="19" spans="1:13" x14ac:dyDescent="0.3">
      <c r="A19" s="6">
        <v>101</v>
      </c>
      <c r="B19" s="1" t="s">
        <v>10</v>
      </c>
      <c r="C19" s="1">
        <v>120</v>
      </c>
      <c r="D19" s="1">
        <v>150</v>
      </c>
      <c r="E19" s="7" t="s">
        <v>5</v>
      </c>
      <c r="F19" s="12" t="str">
        <f>IF(C19:C24 &gt;= D19:D24, "Met", "Not Met")</f>
        <v>Not Met</v>
      </c>
      <c r="G19" s="15" t="str">
        <f>IF(AND(E19:E24 = "North",C19:C24&gt;200), "Eligible", "Not Eligible")</f>
        <v>Not Eligible</v>
      </c>
      <c r="H19" s="18" t="str">
        <f>IF(C19&gt;=200,"10%",IF(C19&gt;=150,"7%","5%"))</f>
        <v>5%</v>
      </c>
      <c r="I19" s="21">
        <f>IF(C19&gt;=D19,C19*10%,C19*5%)</f>
        <v>6</v>
      </c>
      <c r="J19" s="24" t="str">
        <f>_xlfn.IFS(C19&gt;=200,"Excellent",C19&gt;=150,"Good",C19&lt;150,"Needs Improvement")</f>
        <v>Needs Improvement</v>
      </c>
      <c r="K19" s="27" t="str">
        <f>_xlfn.IFS(C19&gt;200,"High",C19&gt;=100,"Medium",C19&lt;100,"Low")</f>
        <v>Medium</v>
      </c>
      <c r="L19" s="30" t="str">
        <f>IF(AND(C19&gt;=150,E19="North"),"$500","$300")</f>
        <v>$300</v>
      </c>
      <c r="M19" s="33" t="str">
        <f>IF(C19&gt;=_xlfn.PERCENTILE.INC(C19:C24,0.75),"High Performer","No")</f>
        <v>No</v>
      </c>
    </row>
    <row r="20" spans="1:13" x14ac:dyDescent="0.3">
      <c r="A20" s="6">
        <v>102</v>
      </c>
      <c r="B20" s="1" t="s">
        <v>11</v>
      </c>
      <c r="C20" s="1">
        <v>150</v>
      </c>
      <c r="D20" s="1">
        <v>140</v>
      </c>
      <c r="E20" s="7" t="s">
        <v>6</v>
      </c>
      <c r="F20" s="12" t="str">
        <f>IF(C20:C32 &gt;= D20:D32, "Met", "Not Met")</f>
        <v>Met</v>
      </c>
      <c r="G20" s="15" t="str">
        <f>IF(AND(E20:E32 = "North",C20:C32&gt;200), "Eligible", "Not Eligible")</f>
        <v>Not Eligible</v>
      </c>
      <c r="H20" s="18" t="str">
        <f t="shared" ref="H20:H24" si="0">IF(C20&gt;=200,"10%",IF(C20&gt;=150,"7%","5%"))</f>
        <v>7%</v>
      </c>
      <c r="I20" s="21">
        <f t="shared" ref="I20:I24" si="1">IF(C20&gt;=D20,C20*10%,C20*5%)</f>
        <v>15</v>
      </c>
      <c r="J20" s="24" t="str">
        <f t="shared" ref="J20:J24" si="2">_xlfn.IFS(C20&gt;=200,"Excellent",C20&gt;=150,"Good",C20&lt;150,"Needs Improvement")</f>
        <v>Good</v>
      </c>
      <c r="K20" s="27" t="str">
        <f t="shared" ref="K20:K24" si="3">_xlfn.IFS(C20&gt;200,"High",C20&gt;=100,"Medium",C20&lt;100,"Low")</f>
        <v>Medium</v>
      </c>
      <c r="L20" s="30" t="str">
        <f t="shared" ref="L20:L24" si="4">IF(AND(C20&gt;=150,E20="North"),"$500","$300")</f>
        <v>$300</v>
      </c>
      <c r="M20" s="33" t="str">
        <f>IF(C20&gt;=_xlfn.PERCENTILE.INC(C20:C32,0.75),"High Performer","No")</f>
        <v>No</v>
      </c>
    </row>
    <row r="21" spans="1:13" x14ac:dyDescent="0.3">
      <c r="A21" s="6">
        <v>103</v>
      </c>
      <c r="B21" s="1" t="s">
        <v>12</v>
      </c>
      <c r="C21" s="1">
        <v>200</v>
      </c>
      <c r="D21" s="1">
        <v>200</v>
      </c>
      <c r="E21" s="7" t="s">
        <v>7</v>
      </c>
      <c r="F21" s="12" t="str">
        <f>IF(C21:C33 &gt;= D21:D33, "Met", "Not Met")</f>
        <v>Met</v>
      </c>
      <c r="G21" s="15" t="str">
        <f>IF(AND(E21:E33 = "North",C21:C33&gt;200), "Eligible", "Not Eligible")</f>
        <v>Not Eligible</v>
      </c>
      <c r="H21" s="18" t="str">
        <f t="shared" si="0"/>
        <v>10%</v>
      </c>
      <c r="I21" s="21">
        <f t="shared" si="1"/>
        <v>20</v>
      </c>
      <c r="J21" s="24" t="str">
        <f t="shared" si="2"/>
        <v>Excellent</v>
      </c>
      <c r="K21" s="27" t="str">
        <f t="shared" si="3"/>
        <v>Medium</v>
      </c>
      <c r="L21" s="30" t="str">
        <f t="shared" si="4"/>
        <v>$300</v>
      </c>
      <c r="M21" s="33" t="str">
        <f>IF(C21&gt;=_xlfn.PERCENTILE.INC(C21:C33,0.75),"High Performer","No")</f>
        <v>No</v>
      </c>
    </row>
    <row r="22" spans="1:13" x14ac:dyDescent="0.3">
      <c r="A22" s="6">
        <v>104</v>
      </c>
      <c r="B22" s="1" t="s">
        <v>13</v>
      </c>
      <c r="C22" s="1">
        <v>90</v>
      </c>
      <c r="D22" s="1">
        <v>100</v>
      </c>
      <c r="E22" s="7" t="s">
        <v>8</v>
      </c>
      <c r="F22" s="12" t="str">
        <f>IF(C22:C34 &gt;= D22:D34, "Met", "Not Met")</f>
        <v>Not Met</v>
      </c>
      <c r="G22" s="15" t="str">
        <f>IF(AND(E22:E34 = "North",C22:C34&gt;200), "Eligible", "Not Eligible")</f>
        <v>Not Eligible</v>
      </c>
      <c r="H22" s="18" t="str">
        <f t="shared" si="0"/>
        <v>5%</v>
      </c>
      <c r="I22" s="21">
        <f t="shared" si="1"/>
        <v>4.5</v>
      </c>
      <c r="J22" s="24" t="str">
        <f t="shared" si="2"/>
        <v>Needs Improvement</v>
      </c>
      <c r="K22" s="27" t="str">
        <f t="shared" si="3"/>
        <v>Low</v>
      </c>
      <c r="L22" s="30" t="str">
        <f t="shared" si="4"/>
        <v>$300</v>
      </c>
      <c r="M22" s="33" t="str">
        <f>IF(C22&gt;=_xlfn.PERCENTILE.INC(C22:C34,0.75),"High Performer","No")</f>
        <v>No</v>
      </c>
    </row>
    <row r="23" spans="1:13" x14ac:dyDescent="0.3">
      <c r="A23" s="6">
        <v>105</v>
      </c>
      <c r="B23" s="1" t="s">
        <v>14</v>
      </c>
      <c r="C23" s="1">
        <v>220</v>
      </c>
      <c r="D23" s="1">
        <v>210</v>
      </c>
      <c r="E23" s="7" t="s">
        <v>5</v>
      </c>
      <c r="F23" s="12" t="str">
        <f>IF(C23:C35 &gt;= D23:D35, "Met", "Not Met")</f>
        <v>Met</v>
      </c>
      <c r="G23" s="15" t="str">
        <f>IF(AND(E23:E35 = "North",C23:C35&gt;200), "Eligible", "Not Eligible")</f>
        <v>Eligible</v>
      </c>
      <c r="H23" s="18" t="str">
        <f t="shared" si="0"/>
        <v>10%</v>
      </c>
      <c r="I23" s="21">
        <f t="shared" si="1"/>
        <v>22</v>
      </c>
      <c r="J23" s="24" t="str">
        <f t="shared" si="2"/>
        <v>Excellent</v>
      </c>
      <c r="K23" s="27" t="str">
        <f t="shared" si="3"/>
        <v>High</v>
      </c>
      <c r="L23" s="30" t="str">
        <f t="shared" si="4"/>
        <v>$500</v>
      </c>
      <c r="M23" s="33" t="str">
        <f>IF(C23&gt;=_xlfn.PERCENTILE.INC(C23:C35,0.75),"High Performer","No")</f>
        <v>High Performer</v>
      </c>
    </row>
    <row r="24" spans="1:13" ht="15" thickBot="1" x14ac:dyDescent="0.35">
      <c r="A24" s="8">
        <v>106</v>
      </c>
      <c r="B24" s="9" t="s">
        <v>9</v>
      </c>
      <c r="C24" s="9">
        <v>130</v>
      </c>
      <c r="D24" s="9">
        <v>160</v>
      </c>
      <c r="E24" s="10" t="s">
        <v>6</v>
      </c>
      <c r="F24" s="13" t="str">
        <f>IF(C24:C36 &gt;= D24:D36, "Met", "Not Met")</f>
        <v>Not Met</v>
      </c>
      <c r="G24" s="16" t="str">
        <f>IF(AND(E24:E36 = "North",C24:C36&gt;200), "Eligible", "Not Eligible")</f>
        <v>Not Eligible</v>
      </c>
      <c r="H24" s="19" t="str">
        <f t="shared" si="0"/>
        <v>5%</v>
      </c>
      <c r="I24" s="22">
        <f t="shared" si="1"/>
        <v>6.5</v>
      </c>
      <c r="J24" s="25" t="str">
        <f t="shared" si="2"/>
        <v>Needs Improvement</v>
      </c>
      <c r="K24" s="28" t="str">
        <f t="shared" si="3"/>
        <v>Medium</v>
      </c>
      <c r="L24" s="31" t="str">
        <f t="shared" si="4"/>
        <v>$300</v>
      </c>
      <c r="M24" s="34" t="str">
        <f>IF(C24&gt;=_xlfn.PERCENTILE.INC(C24:C36,0.75),"High Performer","No")</f>
        <v>High Performer</v>
      </c>
    </row>
  </sheetData>
  <mergeCells count="8">
    <mergeCell ref="A10:L10"/>
    <mergeCell ref="A9:L9"/>
    <mergeCell ref="A11:L11"/>
    <mergeCell ref="A12:L12"/>
    <mergeCell ref="A13:L13"/>
    <mergeCell ref="A14:L14"/>
    <mergeCell ref="A15:L15"/>
    <mergeCell ref="A16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2026-08-03T12:39:01Z</dcterms:created>
  <dcterms:modified xsi:type="dcterms:W3CDTF">2026-08-03T14:28:14Z</dcterms:modified>
</cp:coreProperties>
</file>